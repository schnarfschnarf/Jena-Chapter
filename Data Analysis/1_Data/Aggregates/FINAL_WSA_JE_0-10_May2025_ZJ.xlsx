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mm68tulo\Desktop\Jena Chapter\Data Analysis\1_Data\Aggregates\"/>
    </mc:Choice>
  </mc:AlternateContent>
  <xr:revisionPtr revIDLastSave="0" documentId="13_ncr:1_{1E873DA3-255C-42F2-98F6-211B1742D1CE}" xr6:coauthVersionLast="47" xr6:coauthVersionMax="47" xr10:uidLastSave="{00000000-0000-0000-0000-000000000000}"/>
  <bookViews>
    <workbookView xWindow="-120" yWindow="-120" windowWidth="29040" windowHeight="15720" activeTab="1" xr2:uid="{00000000-000D-0000-FFFF-FFFF00000000}"/>
  </bookViews>
  <sheets>
    <sheet name="Metadata_WSA_JE_0-10_May2025_ZJ" sheetId="14" r:id="rId1"/>
    <sheet name="Data_WSA_JE_0-10_May2025_ZJ"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0" i="12" l="1"/>
  <c r="E55" i="12"/>
  <c r="E67" i="12"/>
  <c r="E152" i="12"/>
  <c r="E85" i="12"/>
  <c r="E175" i="12"/>
  <c r="E82" i="12"/>
  <c r="E15" i="12"/>
  <c r="E108" i="12"/>
  <c r="E137" i="12"/>
  <c r="E120" i="12"/>
  <c r="E202" i="12"/>
  <c r="E155" i="12"/>
  <c r="E4" i="12"/>
  <c r="E227" i="12"/>
  <c r="E54" i="12"/>
  <c r="E161" i="12"/>
  <c r="E22" i="12"/>
  <c r="E173" i="12"/>
  <c r="E181" i="12"/>
  <c r="E111" i="12"/>
  <c r="E49" i="12"/>
  <c r="E63" i="12"/>
  <c r="E134" i="12"/>
  <c r="E28" i="12"/>
  <c r="E18" i="12"/>
  <c r="E140" i="12"/>
  <c r="E37" i="12"/>
  <c r="E20" i="12"/>
  <c r="E167" i="12"/>
  <c r="E76" i="12"/>
  <c r="E94" i="12"/>
  <c r="E229" i="12"/>
  <c r="E58" i="12"/>
  <c r="E146" i="12"/>
  <c r="E105" i="12"/>
  <c r="E73" i="12"/>
  <c r="E46" i="12"/>
  <c r="E131" i="12"/>
  <c r="E208" i="12"/>
  <c r="E158" i="12"/>
  <c r="E205" i="12"/>
  <c r="E31" i="12"/>
  <c r="E7" i="12"/>
  <c r="E170" i="12"/>
  <c r="E40" i="12"/>
  <c r="E3" i="12"/>
  <c r="E99" i="12"/>
  <c r="E184" i="12"/>
  <c r="E128" i="12"/>
  <c r="E125" i="12"/>
  <c r="E143" i="12"/>
  <c r="E187" i="12"/>
  <c r="E215" i="12"/>
  <c r="E70" i="12"/>
  <c r="E10" i="12"/>
  <c r="E34" i="12"/>
  <c r="E212" i="12"/>
  <c r="E52" i="12"/>
  <c r="E193" i="12"/>
  <c r="E199" i="12"/>
  <c r="E25" i="12"/>
  <c r="E12" i="12"/>
  <c r="E196" i="12"/>
  <c r="E91" i="12"/>
  <c r="E102" i="12"/>
  <c r="E149" i="12"/>
  <c r="E151" i="12"/>
  <c r="E190" i="12"/>
  <c r="E66" i="12"/>
  <c r="E79" i="12"/>
  <c r="E117" i="12"/>
  <c r="E218" i="12"/>
  <c r="E221" i="12"/>
  <c r="E88" i="12"/>
  <c r="E224" i="12"/>
  <c r="E96" i="12"/>
  <c r="E164" i="12"/>
  <c r="E43" i="12"/>
  <c r="E114" i="12"/>
  <c r="E232" i="12"/>
  <c r="E48" i="12"/>
  <c r="E110" i="12"/>
  <c r="E30" i="12"/>
  <c r="E75" i="12"/>
  <c r="E93" i="12"/>
  <c r="E127" i="12"/>
  <c r="E154" i="12"/>
  <c r="E69" i="12"/>
  <c r="E6" i="12"/>
  <c r="E195" i="12"/>
  <c r="E17" i="12"/>
  <c r="E133" i="12"/>
  <c r="E183" i="12"/>
  <c r="E139" i="12"/>
  <c r="E148" i="12"/>
  <c r="E142" i="12"/>
  <c r="E36" i="12"/>
  <c r="E42" i="12"/>
  <c r="E231" i="12"/>
  <c r="E72" i="12"/>
  <c r="E163" i="12"/>
  <c r="E122" i="12"/>
  <c r="E57" i="12"/>
  <c r="E19" i="12"/>
  <c r="E81" i="12"/>
  <c r="E104" i="12"/>
  <c r="E39" i="12"/>
  <c r="E169" i="12"/>
  <c r="E27" i="12"/>
  <c r="E21" i="12"/>
  <c r="E84" i="12"/>
  <c r="E210" i="12"/>
  <c r="E201" i="12"/>
  <c r="E33" i="12"/>
  <c r="E226" i="12"/>
  <c r="E189" i="12"/>
  <c r="E51" i="12"/>
  <c r="E90" i="12"/>
  <c r="E157" i="12"/>
  <c r="E166" i="12"/>
  <c r="E217" i="12"/>
  <c r="E45" i="12"/>
  <c r="E207" i="12"/>
  <c r="E14" i="12"/>
  <c r="E98" i="12"/>
  <c r="E9" i="12"/>
  <c r="E130" i="12"/>
  <c r="E178" i="12"/>
  <c r="E220" i="12"/>
  <c r="E24" i="12"/>
  <c r="E119" i="12"/>
  <c r="E177" i="12"/>
  <c r="E62" i="12"/>
  <c r="E107" i="12"/>
  <c r="E136" i="12"/>
  <c r="E160" i="12"/>
  <c r="E204" i="12"/>
  <c r="E186" i="12"/>
  <c r="E172" i="12"/>
  <c r="E116" i="12"/>
  <c r="E65" i="12"/>
  <c r="E124" i="12"/>
  <c r="E198" i="12"/>
  <c r="E101" i="12"/>
  <c r="E223" i="12"/>
  <c r="E113" i="12"/>
  <c r="E87" i="12"/>
  <c r="E78" i="12"/>
  <c r="E180" i="12"/>
  <c r="E150" i="12"/>
  <c r="E192" i="12"/>
  <c r="E214" i="12"/>
  <c r="E145" i="12"/>
  <c r="E135" i="12"/>
  <c r="E47" i="12"/>
  <c r="E8" i="12"/>
  <c r="E2" i="12"/>
  <c r="E26" i="12"/>
  <c r="E38" i="12"/>
  <c r="E35" i="12"/>
  <c r="E165" i="12"/>
  <c r="E159" i="12"/>
  <c r="E156" i="12"/>
  <c r="E29" i="12"/>
  <c r="E44" i="12"/>
  <c r="E16" i="12"/>
  <c r="E13" i="12"/>
  <c r="E50" i="12"/>
  <c r="E171" i="12"/>
  <c r="E11" i="12"/>
  <c r="E23" i="12"/>
  <c r="E129" i="12"/>
  <c r="E162" i="12"/>
  <c r="E123" i="12"/>
  <c r="E126" i="12"/>
  <c r="E141" i="12"/>
  <c r="E53" i="12"/>
  <c r="E147" i="12"/>
  <c r="E118" i="12"/>
  <c r="E32" i="12"/>
  <c r="E5" i="12"/>
  <c r="E56" i="12"/>
  <c r="E121" i="12"/>
  <c r="E138" i="12"/>
  <c r="E168" i="12"/>
  <c r="E176" i="12"/>
  <c r="E153" i="12"/>
  <c r="E144" i="12"/>
  <c r="E174" i="12"/>
  <c r="E132" i="12"/>
  <c r="E200" i="12"/>
  <c r="E86" i="12"/>
  <c r="E219" i="12"/>
  <c r="E209" i="12"/>
  <c r="E109" i="12"/>
  <c r="E230" i="12"/>
  <c r="E74" i="12"/>
  <c r="E194" i="12"/>
  <c r="E197" i="12"/>
  <c r="E225" i="12"/>
  <c r="E228" i="12"/>
  <c r="E179" i="12"/>
  <c r="E211" i="12"/>
  <c r="E185" i="12"/>
  <c r="E61" i="12"/>
  <c r="E206" i="12"/>
  <c r="E222" i="12"/>
  <c r="E106" i="12"/>
  <c r="E71" i="12"/>
  <c r="E216" i="12"/>
  <c r="E77" i="12"/>
  <c r="E203" i="12"/>
  <c r="E188" i="12"/>
  <c r="E182" i="12"/>
  <c r="E191" i="12"/>
  <c r="E80" i="12"/>
  <c r="E103" i="12"/>
  <c r="E59" i="12"/>
  <c r="E83" i="12"/>
  <c r="E97" i="12"/>
  <c r="E115" i="12"/>
  <c r="E92" i="12"/>
  <c r="E68" i="12"/>
  <c r="E95" i="12"/>
  <c r="E112" i="12"/>
  <c r="E41" i="12"/>
  <c r="E64" i="12"/>
  <c r="E100" i="12"/>
  <c r="E213" i="12"/>
  <c r="E8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Simone Cesarz</author>
    <author>Lochner, Alfred</author>
  </authors>
  <commentList>
    <comment ref="B8" authorId="0" shapeId="0" xr:uid="{848AD7CC-A095-4AA6-8CD9-7954EA50B3CC}">
      <text>
        <r>
          <rPr>
            <b/>
            <sz val="9"/>
            <color indexed="81"/>
            <rFont val="Segoe UI"/>
            <family val="2"/>
          </rPr>
          <t>Simone Cesarz:</t>
        </r>
        <r>
          <rPr>
            <sz val="9"/>
            <color indexed="81"/>
            <rFont val="Segoe UI"/>
            <family val="2"/>
          </rPr>
          <t xml:space="preserve">
Generally, the PI, group head owns the data.</t>
        </r>
      </text>
    </comment>
    <comment ref="B15" authorId="0" shapeId="0" xr:uid="{04A41D20-5BDF-4A38-9105-85A2E95C7E40}">
      <text>
        <r>
          <rPr>
            <b/>
            <sz val="9"/>
            <color indexed="81"/>
            <rFont val="Segoe UI"/>
            <family val="2"/>
          </rPr>
          <t>Simone Cesarz:</t>
        </r>
        <r>
          <rPr>
            <sz val="9"/>
            <color indexed="81"/>
            <rFont val="Segoe UI"/>
            <family val="2"/>
          </rPr>
          <t xml:space="preserve">
Person who did the lab work &amp; created the raw data
</t>
        </r>
      </text>
    </comment>
    <comment ref="B26" authorId="0" shapeId="0" xr:uid="{A4B3B558-C7AF-4ECA-BD51-BC3A8AEB1BBA}">
      <text>
        <r>
          <rPr>
            <b/>
            <sz val="9"/>
            <color indexed="81"/>
            <rFont val="Segoe UI"/>
            <family val="2"/>
          </rPr>
          <t>Simone Cesarz:</t>
        </r>
        <r>
          <rPr>
            <sz val="9"/>
            <color indexed="81"/>
            <rFont val="Segoe UI"/>
            <family val="2"/>
          </rPr>
          <t xml:space="preserve">
Description where samples where taken</t>
        </r>
      </text>
    </comment>
    <comment ref="B27" authorId="0" shapeId="0" xr:uid="{B808032F-48D4-47BF-8C8F-9A0C4D7F2950}">
      <text>
        <r>
          <rPr>
            <b/>
            <sz val="9"/>
            <color indexed="81"/>
            <rFont val="Segoe UI"/>
            <family val="2"/>
          </rPr>
          <t>Simone Cesarz:</t>
        </r>
        <r>
          <rPr>
            <sz val="9"/>
            <color indexed="81"/>
            <rFont val="Segoe UI"/>
            <family val="2"/>
          </rPr>
          <t xml:space="preserve">
Provide the coordinates of your sampling location per site.</t>
        </r>
      </text>
    </comment>
    <comment ref="B33" authorId="0" shapeId="0" xr:uid="{8C16BCD6-4B51-4ED9-BDA7-C858F05668A2}">
      <text>
        <r>
          <rPr>
            <b/>
            <sz val="9"/>
            <color indexed="81"/>
            <rFont val="Segoe UI"/>
            <family val="2"/>
          </rPr>
          <t>Simone Cesarz:</t>
        </r>
        <r>
          <rPr>
            <sz val="9"/>
            <color indexed="81"/>
            <rFont val="Segoe UI"/>
            <family val="2"/>
          </rPr>
          <t xml:space="preserve">
For every data you need to specify the method</t>
        </r>
      </text>
    </comment>
    <comment ref="B36" authorId="0" shapeId="0" xr:uid="{2D16F465-1F6C-4CE9-963A-721A02AE7601}">
      <text>
        <r>
          <rPr>
            <b/>
            <sz val="9"/>
            <color indexed="81"/>
            <rFont val="Segoe UI"/>
            <family val="2"/>
          </rPr>
          <t>Simone Cesarz:</t>
        </r>
        <r>
          <rPr>
            <sz val="9"/>
            <color indexed="81"/>
            <rFont val="Segoe UI"/>
            <family val="2"/>
          </rPr>
          <t xml:space="preserve">
Please add information of samples were frozen (-20°), cooled (+4°C), or air-dried (room tempearture) prior to the measurement/after sievieng. This helps us in case of time series measurements to treat the samples the same next time.</t>
        </r>
      </text>
    </comment>
    <comment ref="B37" authorId="1" shapeId="0" xr:uid="{7E13D35B-3FEE-4912-85DC-ECE97E017A5C}">
      <text>
        <r>
          <rPr>
            <b/>
            <sz val="9"/>
            <color indexed="81"/>
            <rFont val="Segoe UI"/>
            <charset val="1"/>
          </rPr>
          <t>Lochner, Alfred:</t>
        </r>
        <r>
          <rPr>
            <sz val="9"/>
            <color indexed="81"/>
            <rFont val="Segoe UI"/>
            <charset val="1"/>
          </rPr>
          <t xml:space="preserve">
This is often a technician</t>
        </r>
      </text>
    </comment>
  </commentList>
</comments>
</file>

<file path=xl/sharedStrings.xml><?xml version="1.0" encoding="utf-8"?>
<sst xmlns="http://schemas.openxmlformats.org/spreadsheetml/2006/main" count="495" uniqueCount="186">
  <si>
    <t>Column name</t>
  </si>
  <si>
    <t>nico.eisenhauer@idiv.de</t>
  </si>
  <si>
    <t>Germany</t>
  </si>
  <si>
    <t>Source</t>
  </si>
  <si>
    <t>Longitude</t>
  </si>
  <si>
    <t>Description/Unit</t>
  </si>
  <si>
    <t>Position</t>
  </si>
  <si>
    <t>Phone</t>
  </si>
  <si>
    <t>Email:</t>
  </si>
  <si>
    <t>Prof. Dr. Nico Eisenhauer</t>
  </si>
  <si>
    <t>Professor, Head of Experimental Interaction Ecology, iDiv, Leipzig University</t>
  </si>
  <si>
    <t>+493419733167</t>
  </si>
  <si>
    <t>Geographic description</t>
  </si>
  <si>
    <t>Latitude</t>
  </si>
  <si>
    <t>Experiment/Site</t>
  </si>
  <si>
    <t>Country</t>
  </si>
  <si>
    <t>General sampling design</t>
  </si>
  <si>
    <t>Attribute name</t>
  </si>
  <si>
    <t>Type</t>
  </si>
  <si>
    <t>Missing</t>
  </si>
  <si>
    <t>Source:</t>
  </si>
  <si>
    <t>Description/Unit:</t>
  </si>
  <si>
    <t>Type:</t>
  </si>
  <si>
    <t>Missing:</t>
  </si>
  <si>
    <t>Description of the content, unit</t>
  </si>
  <si>
    <t>factor, integer, or numeric</t>
  </si>
  <si>
    <t>how missing values are displayed</t>
  </si>
  <si>
    <t>Usage rights:</t>
  </si>
  <si>
    <t>Funding:</t>
  </si>
  <si>
    <t>Position:</t>
  </si>
  <si>
    <t>Adress:</t>
  </si>
  <si>
    <t>Phone:</t>
  </si>
  <si>
    <r>
      <t xml:space="preserve">In some cases data was obtained by other sources, e.g. the TreeDivNetDatabase </t>
    </r>
    <r>
      <rPr>
        <sz val="11"/>
        <color rgb="FFFF0000"/>
        <rFont val="Calibri"/>
        <family val="2"/>
        <scheme val="minor"/>
      </rPr>
      <t>(where does the data come from?)</t>
    </r>
  </si>
  <si>
    <t>Data owner</t>
  </si>
  <si>
    <t>1. General metadata</t>
  </si>
  <si>
    <t>Institute/Organization</t>
  </si>
  <si>
    <t>Puschstr. 4, 04103 Leipzig, Germany</t>
  </si>
  <si>
    <t>German Centre for Integrative Biodiversity Research (iDiv) Halle-Jena-Leipzig</t>
  </si>
  <si>
    <t>❶</t>
  </si>
  <si>
    <t>❷</t>
  </si>
  <si>
    <t>Sent when /to</t>
  </si>
  <si>
    <t>Publication</t>
  </si>
  <si>
    <t>3. Geographic metadata</t>
  </si>
  <si>
    <t>4. Temporal metadata</t>
  </si>
  <si>
    <t>Sampling date</t>
  </si>
  <si>
    <t>Date of measurement</t>
  </si>
  <si>
    <t>5. Methods metadata</t>
  </si>
  <si>
    <t>Explanation of cells:</t>
  </si>
  <si>
    <t>Contact, data creator: raw data &amp; lab work</t>
  </si>
  <si>
    <t>Person doing Measurement/method 1 in the lab</t>
  </si>
  <si>
    <t>Zarah Janda</t>
  </si>
  <si>
    <t>PhD Researcher</t>
  </si>
  <si>
    <t>+49 341 9733172</t>
  </si>
  <si>
    <t>zarah.janda@idiv.de</t>
  </si>
  <si>
    <t>DFG</t>
  </si>
  <si>
    <t>Jena Main Experiment</t>
  </si>
  <si>
    <t>May</t>
  </si>
  <si>
    <t>Metadata</t>
  </si>
  <si>
    <t>6. Data table metadata</t>
  </si>
  <si>
    <t xml:space="preserve">Abstract
</t>
  </si>
  <si>
    <t>Munschek et al</t>
  </si>
  <si>
    <t>2. Tracking information</t>
  </si>
  <si>
    <t>N 50.951224 E 11.621264</t>
  </si>
  <si>
    <t>Coordinates</t>
  </si>
  <si>
    <t>Jena, Thuringia, Germany</t>
  </si>
  <si>
    <t>Water-stable Aggregates</t>
  </si>
  <si>
    <t>Marius Munschek, 20.11.2025</t>
  </si>
  <si>
    <t>Plot/Subplot/Site</t>
  </si>
  <si>
    <t>m sample (g)</t>
  </si>
  <si>
    <t>B2A13</t>
  </si>
  <si>
    <t>B4A15</t>
  </si>
  <si>
    <t>B2A17</t>
  </si>
  <si>
    <t>B2A03</t>
  </si>
  <si>
    <t>B1A17</t>
  </si>
  <si>
    <t>B2A21</t>
  </si>
  <si>
    <t>B2A15</t>
  </si>
  <si>
    <t>B2A04</t>
  </si>
  <si>
    <t>B2A14</t>
  </si>
  <si>
    <t>B2A22</t>
  </si>
  <si>
    <t>B2A16</t>
  </si>
  <si>
    <t>B2A10</t>
  </si>
  <si>
    <t>B2A01</t>
  </si>
  <si>
    <t>B2A18</t>
  </si>
  <si>
    <t>B2A09</t>
  </si>
  <si>
    <t>B4A07</t>
  </si>
  <si>
    <t>B4A02</t>
  </si>
  <si>
    <t>B4A06</t>
  </si>
  <si>
    <t>B4A11</t>
  </si>
  <si>
    <t>B2A08</t>
  </si>
  <si>
    <t>B4A16</t>
  </si>
  <si>
    <t>B2A05</t>
  </si>
  <si>
    <t>B2A19</t>
  </si>
  <si>
    <t>B4A18</t>
  </si>
  <si>
    <t>B4A12</t>
  </si>
  <si>
    <t>B2A02</t>
  </si>
  <si>
    <t>B4A04</t>
  </si>
  <si>
    <t>B4A14</t>
  </si>
  <si>
    <t>B4A01</t>
  </si>
  <si>
    <t>B4A21</t>
  </si>
  <si>
    <t>B4A20</t>
  </si>
  <si>
    <t>B4A09</t>
  </si>
  <si>
    <t>B4A08</t>
  </si>
  <si>
    <t>B2A06</t>
  </si>
  <si>
    <t>B4A22</t>
  </si>
  <si>
    <t>B2A20</t>
  </si>
  <si>
    <t>B4A13</t>
  </si>
  <si>
    <t>B4A17</t>
  </si>
  <si>
    <t>B2A12</t>
  </si>
  <si>
    <t>B4A10</t>
  </si>
  <si>
    <t>B3A06</t>
  </si>
  <si>
    <t>B3A23</t>
  </si>
  <si>
    <t>B3A11</t>
  </si>
  <si>
    <t>B3A14</t>
  </si>
  <si>
    <t>B3A24</t>
  </si>
  <si>
    <t>B3A21</t>
  </si>
  <si>
    <t>B3A13</t>
  </si>
  <si>
    <t>B3A08</t>
  </si>
  <si>
    <t>B3A02</t>
  </si>
  <si>
    <t>B1A22</t>
  </si>
  <si>
    <t>B1A02</t>
  </si>
  <si>
    <t>B1A14</t>
  </si>
  <si>
    <t>B3A01</t>
  </si>
  <si>
    <t>B3A12</t>
  </si>
  <si>
    <t>B1A21</t>
  </si>
  <si>
    <t>B3A09</t>
  </si>
  <si>
    <t>B3A04</t>
  </si>
  <si>
    <t>B3A03</t>
  </si>
  <si>
    <t>B3A19</t>
  </si>
  <si>
    <t>B3A05</t>
  </si>
  <si>
    <t>B1A11</t>
  </si>
  <si>
    <t>B1A04</t>
  </si>
  <si>
    <t>B3A22</t>
  </si>
  <si>
    <t>B1A20</t>
  </si>
  <si>
    <t>B1A05</t>
  </si>
  <si>
    <t>B1A06</t>
  </si>
  <si>
    <t>B1A18</t>
  </si>
  <si>
    <t>B1A13</t>
  </si>
  <si>
    <t>B1A07</t>
  </si>
  <si>
    <t>B3A16</t>
  </si>
  <si>
    <t>B3A17</t>
  </si>
  <si>
    <t>B3A20</t>
  </si>
  <si>
    <t>B1A08</t>
  </si>
  <si>
    <t>B1A15</t>
  </si>
  <si>
    <t>B1A16</t>
  </si>
  <si>
    <t>B1A12</t>
  </si>
  <si>
    <t>B1A01</t>
  </si>
  <si>
    <t>B1A03</t>
  </si>
  <si>
    <t>B1A19</t>
  </si>
  <si>
    <t>B3A07</t>
  </si>
  <si>
    <r>
      <t xml:space="preserve">m beaker empty "unstable" (g) </t>
    </r>
    <r>
      <rPr>
        <b/>
        <sz val="10"/>
        <color theme="1"/>
        <rFont val="Arial"/>
        <family val="2"/>
      </rPr>
      <t>US</t>
    </r>
  </si>
  <si>
    <t>m beaker dry "unstable" (g)</t>
  </si>
  <si>
    <t>m H2O "stable" (g)</t>
  </si>
  <si>
    <t>m beaker empty "stable" (g)</t>
  </si>
  <si>
    <t>m beaker dry "stable" (g)</t>
  </si>
  <si>
    <t>m Na2PO3 "stable" (g)</t>
  </si>
  <si>
    <t>WSA (%)</t>
  </si>
  <si>
    <t>m sand + org. rest</t>
  </si>
  <si>
    <t>Aggregates overall (%)</t>
  </si>
  <si>
    <t>measured</t>
  </si>
  <si>
    <t>run</t>
  </si>
  <si>
    <t>m beaker empty "unstable" (g) US</t>
  </si>
  <si>
    <t>Date of WSA measurement</t>
  </si>
  <si>
    <t>Unique PlotID of Jena Main Plots, consisting of Block (1-4) and Plot number (1-24)</t>
  </si>
  <si>
    <t>Dried soil sample weighed for measurement ranging from 1.9 to 2.1 g. Needed for calculation of aggregates %</t>
  </si>
  <si>
    <t>Empty beaker before adding of soil solution</t>
  </si>
  <si>
    <t>Beaker with soil after drying (getting rid of solving agent)</t>
  </si>
  <si>
    <t>calculated weight of unstable aggregates by substracting beaker weight after drying with empty beaker weight</t>
  </si>
  <si>
    <t>Empty beaker before adding of soil salt solution</t>
  </si>
  <si>
    <t>Beaker withsalt and soil after drying (getting rid of solving agent)</t>
  </si>
  <si>
    <t>Percentage of water stable aggregates considering the weight of the salt solution</t>
  </si>
  <si>
    <t>Remainings of dried soil that stayed in the sieve</t>
  </si>
  <si>
    <t>Percentage of all aggregates when considering sand and organic rest</t>
  </si>
  <si>
    <t>Ranging from 1 to 3</t>
  </si>
  <si>
    <t>Calculated weight of stable aggregates by substracting beaker weight after drying with empty beaker weight</t>
  </si>
  <si>
    <t>Numeric</t>
  </si>
  <si>
    <t xml:space="preserve"> </t>
  </si>
  <si>
    <t>September &amp; Ocotber</t>
  </si>
  <si>
    <t>09. + 10.2025</t>
  </si>
  <si>
    <r>
      <t>Aggregate samples were taken from three soil cores of 10 cm depth and 2 cm diameter. The cores were gently broken apart and aggregates were taken from the middle. Afterwards, they were stored in cups to avoid futher irritations. To prepare WSA measurements samples were dried for 48 hours at room temperature and then fractionated to 1-4 mm. 2 g (+/- 0.1) per sample were soaked and oscillated in 80 mL distilled water for three and five minutes, respectively. The procedure was repeated with a dispersing solution (2,0 g L</t>
    </r>
    <r>
      <rPr>
        <vertAlign val="superscript"/>
        <sz val="11"/>
        <color theme="1"/>
        <rFont val="Calibri"/>
        <family val="2"/>
        <scheme val="minor"/>
      </rPr>
      <t>-1</t>
    </r>
    <r>
      <rPr>
        <sz val="11"/>
        <color theme="1"/>
        <rFont val="Calibri"/>
        <family val="2"/>
        <scheme val="minor"/>
      </rPr>
      <t xml:space="preserve"> (NaPO</t>
    </r>
    <r>
      <rPr>
        <vertAlign val="subscript"/>
        <sz val="11"/>
        <color theme="1"/>
        <rFont val="Calibri"/>
        <family val="2"/>
        <scheme val="minor"/>
      </rPr>
      <t>3</t>
    </r>
    <r>
      <rPr>
        <sz val="11"/>
        <color theme="1"/>
        <rFont val="Calibri"/>
        <family val="2"/>
        <scheme val="minor"/>
      </rPr>
      <t>)</t>
    </r>
    <r>
      <rPr>
        <vertAlign val="subscript"/>
        <sz val="11"/>
        <color theme="1"/>
        <rFont val="Calibri"/>
        <family val="2"/>
        <scheme val="minor"/>
      </rPr>
      <t>n</t>
    </r>
    <r>
      <rPr>
        <sz val="11"/>
        <color theme="1"/>
        <rFont val="Calibri"/>
        <family val="2"/>
        <scheme val="minor"/>
      </rPr>
      <t xml:space="preserve"> and 0.45 g L</t>
    </r>
    <r>
      <rPr>
        <vertAlign val="superscript"/>
        <sz val="11"/>
        <color theme="1"/>
        <rFont val="Calibri"/>
        <family val="2"/>
        <scheme val="minor"/>
      </rPr>
      <t>-1</t>
    </r>
    <r>
      <rPr>
        <sz val="11"/>
        <color theme="1"/>
        <rFont val="Calibri"/>
        <family val="2"/>
        <scheme val="minor"/>
      </rPr>
      <t xml:space="preserve"> Na</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r>
      <rPr>
        <sz val="11"/>
        <color theme="1"/>
        <rFont val="Calibri"/>
        <family val="2"/>
        <scheme val="minor"/>
      </rPr>
      <t>) for five minutes. Fractions were dried at 105°C for 24 h and weighed. WSA (%) was calculates as: WSA [%] =(mass of water-stable aggregates − mass of dispersant): (sum of both fractions − mass of dispersant) x 100                                                                 Each sample was analyzed in triplicate.</t>
    </r>
  </si>
  <si>
    <t>iDiv, EIE, Leipzig, Germany</t>
  </si>
  <si>
    <t>People involved</t>
  </si>
  <si>
    <t>All samples taken on the same day by the same person (ZJ).</t>
  </si>
  <si>
    <t>Sophie Horbach, student helper under supervision of ZJ.</t>
  </si>
  <si>
    <t>Integer</t>
  </si>
  <si>
    <t>N/A</t>
  </si>
  <si>
    <t>Plotcode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</si>
</sst>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sz val="11"/>
      <color rgb="FF000000"/>
      <name val="Calibri"/>
      <family val="2"/>
      <scheme val="minor"/>
    </font>
    <font>
      <sz val="8"/>
      <color theme="1"/>
      <name val="Calibri"/>
      <family val="2"/>
      <scheme val="minor"/>
    </font>
    <font>
      <sz val="9"/>
      <color indexed="81"/>
      <name val="Segoe UI"/>
      <family val="2"/>
    </font>
    <font>
      <b/>
      <sz val="9"/>
      <color indexed="81"/>
      <name val="Segoe UI"/>
      <family val="2"/>
    </font>
    <font>
      <b/>
      <sz val="22"/>
      <name val="Calibri"/>
      <family val="2"/>
      <scheme val="minor"/>
    </font>
    <font>
      <sz val="11"/>
      <color theme="1"/>
      <name val="Calibri"/>
      <family val="2"/>
    </font>
    <font>
      <sz val="9"/>
      <color indexed="81"/>
      <name val="Segoe UI"/>
      <charset val="1"/>
    </font>
    <font>
      <b/>
      <sz val="9"/>
      <color indexed="81"/>
      <name val="Segoe UI"/>
      <charset val="1"/>
    </font>
    <font>
      <vertAlign val="subscript"/>
      <sz val="11"/>
      <color theme="1"/>
      <name val="Calibri"/>
      <family val="2"/>
      <scheme val="minor"/>
    </font>
    <font>
      <vertAlign val="superscript"/>
      <sz val="11"/>
      <color theme="1"/>
      <name val="Calibri"/>
      <family val="2"/>
      <scheme val="minor"/>
    </font>
    <font>
      <sz val="10"/>
      <color theme="1"/>
      <name val="Arial"/>
      <family val="2"/>
    </font>
    <font>
      <b/>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56">
    <xf numFmtId="0" fontId="0" fillId="0" borderId="0" xfId="0"/>
    <xf numFmtId="0" fontId="0" fillId="0" borderId="0" xfId="0" applyFill="1" applyBorder="1"/>
    <xf numFmtId="0" fontId="16" fillId="0" borderId="0" xfId="0" applyFont="1"/>
    <xf numFmtId="0" fontId="0" fillId="33" borderId="0" xfId="0" applyFill="1"/>
    <xf numFmtId="0" fontId="20" fillId="0" borderId="0" xfId="0" applyFont="1"/>
    <xf numFmtId="0" fontId="21" fillId="0" borderId="0" xfId="0" applyFont="1" applyAlignment="1">
      <alignment vertical="center"/>
    </xf>
    <xf numFmtId="0" fontId="14" fillId="0" borderId="0" xfId="0" applyFont="1"/>
    <xf numFmtId="0" fontId="0" fillId="0" borderId="0" xfId="0" applyAlignment="1">
      <alignment horizontal="left" vertical="top" wrapText="1"/>
    </xf>
    <xf numFmtId="0" fontId="0" fillId="0" borderId="0" xfId="0" applyFill="1"/>
    <xf numFmtId="0" fontId="24" fillId="0" borderId="0" xfId="0" applyFont="1" applyFill="1"/>
    <xf numFmtId="0" fontId="18" fillId="0" borderId="0" xfId="0" applyFont="1" applyFill="1"/>
    <xf numFmtId="0" fontId="16" fillId="0" borderId="0" xfId="0" applyFont="1" applyAlignment="1">
      <alignment horizontal="left" vertical="top"/>
    </xf>
    <xf numFmtId="0" fontId="16" fillId="0" borderId="0" xfId="0" applyFont="1" applyAlignment="1">
      <alignment horizontal="left" vertical="top" wrapText="1"/>
    </xf>
    <xf numFmtId="0" fontId="16" fillId="34" borderId="0" xfId="0" applyFont="1" applyFill="1"/>
    <xf numFmtId="0" fontId="0" fillId="34" borderId="0" xfId="0" applyFill="1"/>
    <xf numFmtId="0" fontId="16" fillId="0" borderId="0" xfId="0" applyFont="1" applyFill="1"/>
    <xf numFmtId="0" fontId="16" fillId="0" borderId="0" xfId="0" applyFont="1" applyFill="1" applyAlignment="1">
      <alignment horizontal="left" vertical="top"/>
    </xf>
    <xf numFmtId="0" fontId="16" fillId="0" borderId="0" xfId="0" applyFont="1" applyFill="1" applyAlignment="1">
      <alignment wrapText="1"/>
    </xf>
    <xf numFmtId="0" fontId="0" fillId="0" borderId="0" xfId="0" applyAlignment="1">
      <alignment horizontal="left" vertical="top"/>
    </xf>
    <xf numFmtId="0" fontId="16" fillId="0" borderId="0" xfId="0" applyFont="1" applyAlignment="1">
      <alignment vertical="top" wrapText="1"/>
    </xf>
    <xf numFmtId="0" fontId="16" fillId="34" borderId="10" xfId="0" applyFont="1" applyFill="1" applyBorder="1"/>
    <xf numFmtId="0" fontId="0" fillId="34" borderId="10" xfId="0" applyFill="1" applyBorder="1"/>
    <xf numFmtId="0" fontId="16" fillId="0" borderId="0" xfId="0" applyFont="1" applyFill="1" applyAlignment="1">
      <alignment horizontal="center" vertical="center"/>
    </xf>
    <xf numFmtId="0" fontId="0" fillId="0" borderId="0" xfId="0"/>
    <xf numFmtId="0" fontId="0" fillId="0" borderId="0" xfId="0" applyFill="1" applyBorder="1"/>
    <xf numFmtId="0" fontId="0" fillId="0" borderId="0" xfId="0" applyFont="1" applyAlignment="1">
      <alignment vertical="center"/>
    </xf>
    <xf numFmtId="0" fontId="0" fillId="0" borderId="0" xfId="0"/>
    <xf numFmtId="0" fontId="19" fillId="0" borderId="0" xfId="42"/>
    <xf numFmtId="0" fontId="0" fillId="0" borderId="0" xfId="0" quotePrefix="1"/>
    <xf numFmtId="0" fontId="16" fillId="0" borderId="0" xfId="0" applyFont="1" applyFill="1" applyAlignment="1">
      <alignment horizontal="center" vertical="center"/>
    </xf>
    <xf numFmtId="0" fontId="0" fillId="0" borderId="0" xfId="0" applyFill="1"/>
    <xf numFmtId="14" fontId="0" fillId="0" borderId="0" xfId="0" applyNumberFormat="1" applyFill="1"/>
    <xf numFmtId="0" fontId="0" fillId="0" borderId="0" xfId="0" applyAlignment="1">
      <alignment vertical="top" wrapText="1"/>
    </xf>
    <xf numFmtId="0" fontId="30" fillId="0" borderId="12" xfId="0" applyFont="1" applyBorder="1" applyAlignment="1">
      <alignment horizontal="center" vertical="center" wrapText="1"/>
    </xf>
    <xf numFmtId="0" fontId="30" fillId="0" borderId="0" xfId="0" applyFont="1" applyAlignment="1">
      <alignment horizontal="center" vertical="center" wrapText="1"/>
    </xf>
    <xf numFmtId="0" fontId="0" fillId="0" borderId="0" xfId="0" applyAlignment="1">
      <alignment horizontal="left"/>
    </xf>
    <xf numFmtId="0" fontId="0" fillId="0" borderId="0" xfId="0" applyAlignment="1"/>
    <xf numFmtId="49" fontId="30" fillId="0" borderId="0" xfId="0" applyNumberFormat="1" applyFont="1" applyAlignment="1">
      <alignment horizontal="left" vertical="center" wrapText="1"/>
    </xf>
    <xf numFmtId="49" fontId="30" fillId="0" borderId="12" xfId="0" applyNumberFormat="1" applyFont="1" applyBorder="1" applyAlignment="1">
      <alignment horizontal="left" vertical="center" wrapText="1"/>
    </xf>
    <xf numFmtId="49" fontId="0" fillId="0" borderId="0" xfId="0" applyNumberFormat="1" applyAlignment="1">
      <alignment horizontal="left" wrapText="1"/>
    </xf>
    <xf numFmtId="2" fontId="30" fillId="0" borderId="12" xfId="0" applyNumberFormat="1" applyFont="1" applyBorder="1" applyAlignment="1">
      <alignment horizontal="left" vertical="center" wrapText="1"/>
    </xf>
    <xf numFmtId="2" fontId="0" fillId="0" borderId="0" xfId="0" applyNumberFormat="1" applyFill="1" applyBorder="1" applyAlignment="1">
      <alignment horizontal="left"/>
    </xf>
    <xf numFmtId="14" fontId="30" fillId="0" borderId="13" xfId="0" applyNumberFormat="1" applyFont="1" applyBorder="1" applyAlignment="1">
      <alignment horizontal="left" vertical="center" wrapText="1"/>
    </xf>
    <xf numFmtId="2" fontId="30" fillId="0" borderId="13" xfId="0" applyNumberFormat="1" applyFont="1" applyBorder="1" applyAlignment="1">
      <alignment horizontal="left" vertical="center" wrapText="1"/>
    </xf>
    <xf numFmtId="2" fontId="30" fillId="0" borderId="0" xfId="0" applyNumberFormat="1" applyFont="1" applyAlignment="1">
      <alignment horizontal="left" vertical="center" wrapText="1"/>
    </xf>
    <xf numFmtId="2" fontId="0" fillId="0" borderId="0" xfId="0" applyNumberFormat="1" applyAlignment="1">
      <alignment horizontal="left"/>
    </xf>
    <xf numFmtId="14" fontId="30" fillId="0" borderId="0" xfId="0" applyNumberFormat="1" applyFont="1" applyAlignment="1">
      <alignment horizontal="left" vertical="center" wrapText="1"/>
    </xf>
    <xf numFmtId="14" fontId="0" fillId="0" borderId="0" xfId="0" applyNumberFormat="1" applyAlignment="1">
      <alignment horizontal="left"/>
    </xf>
    <xf numFmtId="2" fontId="0" fillId="35" borderId="0" xfId="0" applyNumberFormat="1" applyFill="1" applyAlignment="1">
      <alignment horizontal="left"/>
    </xf>
    <xf numFmtId="0" fontId="25"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wrapText="1"/>
    </xf>
    <xf numFmtId="0" fontId="16" fillId="34" borderId="0" xfId="0" applyFont="1" applyFill="1" applyAlignment="1">
      <alignment horizontal="left" vertical="top"/>
    </xf>
    <xf numFmtId="0" fontId="0" fillId="0" borderId="0" xfId="0" applyAlignment="1">
      <alignment horizontal="left"/>
    </xf>
    <xf numFmtId="0" fontId="0" fillId="0" borderId="11" xfId="0" applyBorder="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nico.eisenhauer@idiv.d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4393-0D5B-4F53-ABB5-B40064E55190}">
  <dimension ref="A1:M80"/>
  <sheetViews>
    <sheetView topLeftCell="A43" workbookViewId="0">
      <selection activeCell="B3" sqref="B3"/>
    </sheetView>
  </sheetViews>
  <sheetFormatPr defaultColWidth="11.42578125" defaultRowHeight="15" x14ac:dyDescent="0.25"/>
  <cols>
    <col min="1" max="1" width="3.7109375" customWidth="1"/>
    <col min="2" max="2" width="31.28515625" customWidth="1"/>
    <col min="3" max="3" width="21" customWidth="1"/>
    <col min="5" max="5" width="27.5703125" bestFit="1" customWidth="1"/>
  </cols>
  <sheetData>
    <row r="1" spans="1:13" ht="28.5" x14ac:dyDescent="0.45">
      <c r="B1" s="9" t="s">
        <v>57</v>
      </c>
      <c r="C1" s="10"/>
      <c r="D1" s="10"/>
      <c r="E1" s="10"/>
      <c r="F1" s="10"/>
      <c r="G1" s="10"/>
      <c r="H1" s="10"/>
      <c r="I1" s="10"/>
      <c r="J1" s="10"/>
      <c r="K1" s="10"/>
      <c r="L1" s="10"/>
      <c r="M1" s="10"/>
    </row>
    <row r="2" spans="1:13" x14ac:dyDescent="0.25">
      <c r="B2" s="13" t="s">
        <v>34</v>
      </c>
      <c r="C2" s="3"/>
      <c r="D2" s="3"/>
      <c r="E2" s="3"/>
      <c r="F2" s="3"/>
      <c r="G2" s="3"/>
      <c r="H2" s="3"/>
      <c r="I2" s="3"/>
      <c r="J2" s="3"/>
      <c r="K2" s="3"/>
      <c r="L2" s="3"/>
      <c r="M2" s="3"/>
    </row>
    <row r="3" spans="1:13" ht="111.75" customHeight="1" x14ac:dyDescent="0.25">
      <c r="A3" s="29"/>
      <c r="B3" s="12" t="s">
        <v>59</v>
      </c>
      <c r="C3" s="51"/>
      <c r="D3" s="51"/>
      <c r="E3" s="51"/>
      <c r="F3" s="51"/>
      <c r="G3" s="51"/>
      <c r="H3" s="51"/>
      <c r="I3" s="51"/>
      <c r="J3" s="51"/>
      <c r="K3" s="51"/>
      <c r="L3" s="51"/>
      <c r="M3" s="51"/>
    </row>
    <row r="4" spans="1:13" x14ac:dyDescent="0.25">
      <c r="B4" s="2" t="s">
        <v>27</v>
      </c>
    </row>
    <row r="5" spans="1:13" x14ac:dyDescent="0.25">
      <c r="B5" s="2" t="s">
        <v>28</v>
      </c>
      <c r="C5" t="s">
        <v>54</v>
      </c>
    </row>
    <row r="6" spans="1:13" x14ac:dyDescent="0.25">
      <c r="B6" s="2"/>
    </row>
    <row r="7" spans="1:13" x14ac:dyDescent="0.25">
      <c r="B7" s="13" t="s">
        <v>180</v>
      </c>
      <c r="C7" s="14"/>
      <c r="D7" s="14"/>
      <c r="E7" s="14"/>
      <c r="F7" s="14"/>
      <c r="G7" s="14"/>
      <c r="H7" s="14"/>
      <c r="I7" s="14"/>
      <c r="J7" s="14"/>
      <c r="K7" s="14"/>
      <c r="L7" s="14"/>
      <c r="M7" s="14"/>
    </row>
    <row r="8" spans="1:13" x14ac:dyDescent="0.25">
      <c r="A8" s="49" t="s">
        <v>38</v>
      </c>
      <c r="B8" s="13" t="s">
        <v>33</v>
      </c>
      <c r="C8" s="26" t="s">
        <v>9</v>
      </c>
    </row>
    <row r="9" spans="1:13" x14ac:dyDescent="0.25">
      <c r="A9" s="50"/>
      <c r="B9" s="2" t="s">
        <v>29</v>
      </c>
      <c r="C9" s="26" t="s">
        <v>10</v>
      </c>
    </row>
    <row r="10" spans="1:13" x14ac:dyDescent="0.25">
      <c r="A10" s="50"/>
      <c r="B10" s="2" t="s">
        <v>35</v>
      </c>
      <c r="C10" s="26" t="s">
        <v>37</v>
      </c>
    </row>
    <row r="11" spans="1:13" x14ac:dyDescent="0.25">
      <c r="A11" s="50"/>
      <c r="B11" s="2" t="s">
        <v>30</v>
      </c>
      <c r="C11" s="26" t="s">
        <v>36</v>
      </c>
    </row>
    <row r="12" spans="1:13" x14ac:dyDescent="0.25">
      <c r="A12" s="50"/>
      <c r="B12" s="2" t="s">
        <v>31</v>
      </c>
      <c r="C12" s="28" t="s">
        <v>11</v>
      </c>
    </row>
    <row r="13" spans="1:13" x14ac:dyDescent="0.25">
      <c r="A13" s="50"/>
      <c r="B13" s="2" t="s">
        <v>8</v>
      </c>
      <c r="C13" s="27" t="s">
        <v>1</v>
      </c>
    </row>
    <row r="14" spans="1:13" x14ac:dyDescent="0.25">
      <c r="A14" s="49" t="s">
        <v>39</v>
      </c>
      <c r="B14" s="2"/>
      <c r="C14" s="26"/>
    </row>
    <row r="15" spans="1:13" x14ac:dyDescent="0.25">
      <c r="A15" s="50"/>
      <c r="B15" s="13" t="s">
        <v>48</v>
      </c>
      <c r="C15" s="26" t="s">
        <v>50</v>
      </c>
    </row>
    <row r="16" spans="1:13" x14ac:dyDescent="0.25">
      <c r="A16" s="50"/>
      <c r="B16" s="15" t="s">
        <v>6</v>
      </c>
      <c r="C16" s="26" t="s">
        <v>51</v>
      </c>
    </row>
    <row r="17" spans="1:13" x14ac:dyDescent="0.25">
      <c r="A17" s="50"/>
      <c r="B17" s="2" t="s">
        <v>35</v>
      </c>
      <c r="C17" s="26" t="s">
        <v>37</v>
      </c>
    </row>
    <row r="18" spans="1:13" x14ac:dyDescent="0.25">
      <c r="A18" s="50"/>
      <c r="B18" s="2" t="s">
        <v>30</v>
      </c>
      <c r="C18" s="26" t="s">
        <v>36</v>
      </c>
    </row>
    <row r="19" spans="1:13" x14ac:dyDescent="0.25">
      <c r="A19" s="50"/>
      <c r="B19" s="15" t="s">
        <v>7</v>
      </c>
      <c r="C19" s="26" t="s">
        <v>52</v>
      </c>
    </row>
    <row r="20" spans="1:13" x14ac:dyDescent="0.25">
      <c r="B20" s="15" t="s">
        <v>8</v>
      </c>
      <c r="C20" s="26" t="s">
        <v>53</v>
      </c>
    </row>
    <row r="21" spans="1:13" x14ac:dyDescent="0.25">
      <c r="B21" s="13" t="s">
        <v>61</v>
      </c>
    </row>
    <row r="22" spans="1:13" x14ac:dyDescent="0.25">
      <c r="B22" s="2" t="s">
        <v>40</v>
      </c>
      <c r="C22" t="s">
        <v>66</v>
      </c>
    </row>
    <row r="23" spans="1:13" x14ac:dyDescent="0.25">
      <c r="B23" s="2" t="s">
        <v>41</v>
      </c>
      <c r="C23" t="s">
        <v>60</v>
      </c>
    </row>
    <row r="25" spans="1:13" x14ac:dyDescent="0.25">
      <c r="B25" s="13" t="s">
        <v>42</v>
      </c>
      <c r="C25" s="3"/>
      <c r="D25" s="3"/>
      <c r="E25" s="3"/>
      <c r="F25" s="3"/>
      <c r="G25" s="3"/>
      <c r="H25" s="3"/>
      <c r="I25" s="3"/>
      <c r="J25" s="3"/>
      <c r="K25" s="3"/>
      <c r="L25" s="3"/>
      <c r="M25" s="3"/>
    </row>
    <row r="26" spans="1:13" x14ac:dyDescent="0.25">
      <c r="A26" s="29"/>
      <c r="B26" s="16" t="s">
        <v>12</v>
      </c>
      <c r="C26" s="51" t="s">
        <v>64</v>
      </c>
      <c r="D26" s="51"/>
      <c r="E26" s="51"/>
      <c r="F26" s="51"/>
      <c r="G26" s="51"/>
      <c r="H26" s="51"/>
      <c r="I26" s="51"/>
      <c r="J26" s="51"/>
      <c r="K26" s="51"/>
      <c r="L26" s="51"/>
      <c r="M26" s="51"/>
    </row>
    <row r="27" spans="1:13" x14ac:dyDescent="0.25">
      <c r="A27" s="29"/>
      <c r="B27" s="17" t="s">
        <v>63</v>
      </c>
      <c r="C27" s="2" t="s">
        <v>14</v>
      </c>
      <c r="D27" s="2" t="s">
        <v>15</v>
      </c>
      <c r="E27" s="2" t="s">
        <v>13</v>
      </c>
      <c r="F27" s="2" t="s">
        <v>4</v>
      </c>
    </row>
    <row r="28" spans="1:13" x14ac:dyDescent="0.25">
      <c r="A28" s="30"/>
      <c r="B28" t="s">
        <v>62</v>
      </c>
      <c r="C28" s="24" t="s">
        <v>55</v>
      </c>
      <c r="D28" s="23" t="s">
        <v>2</v>
      </c>
      <c r="E28" s="25">
        <v>50.951158</v>
      </c>
      <c r="F28" s="24">
        <v>11.620583</v>
      </c>
    </row>
    <row r="29" spans="1:13" x14ac:dyDescent="0.25">
      <c r="A29" s="30"/>
      <c r="B29" s="13" t="s">
        <v>43</v>
      </c>
      <c r="C29" s="13"/>
      <c r="D29" s="13"/>
      <c r="E29" s="13"/>
      <c r="F29" s="13"/>
      <c r="G29" s="13"/>
      <c r="H29" s="13"/>
      <c r="I29" s="13"/>
      <c r="J29" s="13"/>
      <c r="K29" s="13"/>
      <c r="L29" s="13"/>
      <c r="M29" s="14"/>
    </row>
    <row r="30" spans="1:13" x14ac:dyDescent="0.25">
      <c r="A30" s="29"/>
      <c r="B30" s="15" t="s">
        <v>44</v>
      </c>
      <c r="C30" s="4" t="s">
        <v>55</v>
      </c>
      <c r="D30">
        <v>2025</v>
      </c>
      <c r="E30" s="8" t="s">
        <v>56</v>
      </c>
      <c r="F30" s="8">
        <v>27</v>
      </c>
      <c r="G30" s="31">
        <v>45804</v>
      </c>
      <c r="H30" s="15"/>
      <c r="I30" s="15"/>
      <c r="J30" s="15"/>
      <c r="K30" s="15"/>
      <c r="L30" s="15"/>
      <c r="M30" s="8"/>
    </row>
    <row r="31" spans="1:13" x14ac:dyDescent="0.25">
      <c r="A31" s="30"/>
      <c r="B31" s="2" t="s">
        <v>45</v>
      </c>
      <c r="C31" t="s">
        <v>179</v>
      </c>
      <c r="D31">
        <v>2025</v>
      </c>
      <c r="E31" t="s">
        <v>176</v>
      </c>
      <c r="G31" t="s">
        <v>177</v>
      </c>
    </row>
    <row r="32" spans="1:13" x14ac:dyDescent="0.25">
      <c r="A32" s="30"/>
      <c r="C32" s="4"/>
    </row>
    <row r="33" spans="1:13" x14ac:dyDescent="0.25">
      <c r="A33" s="30"/>
      <c r="B33" s="13" t="s">
        <v>46</v>
      </c>
      <c r="C33" s="13"/>
      <c r="D33" s="13"/>
      <c r="E33" s="13"/>
      <c r="F33" s="13"/>
      <c r="G33" s="13"/>
      <c r="H33" s="13"/>
      <c r="I33" s="13"/>
      <c r="J33" s="13"/>
      <c r="K33" s="13"/>
      <c r="L33" s="13"/>
      <c r="M33" s="14"/>
    </row>
    <row r="34" spans="1:13" s="18" customFormat="1" x14ac:dyDescent="0.25">
      <c r="A34" s="29"/>
      <c r="B34" s="11" t="s">
        <v>16</v>
      </c>
      <c r="C34" s="51" t="s">
        <v>181</v>
      </c>
      <c r="D34" s="51"/>
      <c r="E34" s="51"/>
      <c r="F34" s="51"/>
      <c r="G34" s="51"/>
      <c r="H34" s="51"/>
      <c r="I34" s="51"/>
      <c r="J34" s="51"/>
      <c r="K34" s="51"/>
      <c r="L34" s="51"/>
      <c r="M34" s="51"/>
    </row>
    <row r="35" spans="1:13" s="7" customFormat="1" ht="134.25" customHeight="1" x14ac:dyDescent="0.25">
      <c r="A35" s="29"/>
      <c r="B35" s="19" t="s">
        <v>65</v>
      </c>
      <c r="C35" s="52" t="s">
        <v>178</v>
      </c>
      <c r="D35" s="52"/>
      <c r="E35" s="52"/>
      <c r="F35" s="52"/>
      <c r="G35" s="52"/>
      <c r="H35" s="52"/>
      <c r="I35" s="52"/>
      <c r="J35" s="52"/>
      <c r="K35" s="52"/>
      <c r="L35" s="52"/>
      <c r="M35" s="32"/>
    </row>
    <row r="36" spans="1:13" s="7" customFormat="1" x14ac:dyDescent="0.25">
      <c r="A36" s="22"/>
      <c r="B36" s="19"/>
      <c r="C36" s="51"/>
      <c r="D36" s="51"/>
      <c r="E36" s="51"/>
      <c r="F36" s="51"/>
      <c r="G36" s="51"/>
      <c r="H36" s="51"/>
      <c r="I36" s="51"/>
      <c r="J36" s="51"/>
      <c r="K36" s="51"/>
      <c r="L36" s="51"/>
      <c r="M36" s="51"/>
    </row>
    <row r="37" spans="1:13" s="7" customFormat="1" ht="43.5" customHeight="1" x14ac:dyDescent="0.25">
      <c r="A37" s="22"/>
      <c r="B37" s="19" t="s">
        <v>49</v>
      </c>
      <c r="C37" s="52" t="s">
        <v>182</v>
      </c>
      <c r="D37" s="52"/>
      <c r="E37" s="52"/>
      <c r="F37" s="32"/>
    </row>
    <row r="38" spans="1:13" x14ac:dyDescent="0.25">
      <c r="B38" s="6"/>
      <c r="C38" s="5"/>
    </row>
    <row r="40" spans="1:13" x14ac:dyDescent="0.25">
      <c r="B40" s="53" t="s">
        <v>58</v>
      </c>
      <c r="C40" s="53"/>
      <c r="D40" s="53"/>
      <c r="E40" s="53"/>
      <c r="F40" s="53"/>
      <c r="G40" s="53"/>
      <c r="H40" s="53"/>
      <c r="I40" s="53"/>
      <c r="J40" s="53"/>
      <c r="K40" s="53"/>
      <c r="L40" s="53"/>
      <c r="M40" s="14"/>
    </row>
    <row r="41" spans="1:13" x14ac:dyDescent="0.25">
      <c r="B41" t="s">
        <v>47</v>
      </c>
      <c r="C41" s="30"/>
    </row>
    <row r="42" spans="1:13" x14ac:dyDescent="0.25">
      <c r="B42" t="s">
        <v>17</v>
      </c>
      <c r="C42" t="s">
        <v>0</v>
      </c>
    </row>
    <row r="43" spans="1:13" x14ac:dyDescent="0.25">
      <c r="B43" t="s">
        <v>20</v>
      </c>
      <c r="C43" t="s">
        <v>32</v>
      </c>
    </row>
    <row r="44" spans="1:13" x14ac:dyDescent="0.25">
      <c r="B44" t="s">
        <v>21</v>
      </c>
      <c r="C44" t="s">
        <v>24</v>
      </c>
    </row>
    <row r="45" spans="1:13" x14ac:dyDescent="0.25">
      <c r="B45" t="s">
        <v>22</v>
      </c>
      <c r="C45" t="s">
        <v>25</v>
      </c>
    </row>
    <row r="46" spans="1:13" x14ac:dyDescent="0.25">
      <c r="B46" t="s">
        <v>23</v>
      </c>
      <c r="C46" t="s">
        <v>26</v>
      </c>
    </row>
    <row r="48" spans="1:13" x14ac:dyDescent="0.25">
      <c r="B48" s="20" t="s">
        <v>17</v>
      </c>
      <c r="C48" s="20" t="s">
        <v>3</v>
      </c>
      <c r="D48" s="20" t="s">
        <v>5</v>
      </c>
      <c r="E48" s="21"/>
      <c r="F48" s="21"/>
      <c r="G48" s="21"/>
      <c r="H48" s="21"/>
      <c r="I48" s="21"/>
      <c r="J48" s="21"/>
      <c r="K48" s="21"/>
      <c r="L48" s="20" t="s">
        <v>18</v>
      </c>
      <c r="M48" s="20" t="s">
        <v>19</v>
      </c>
    </row>
    <row r="49" spans="1:13" x14ac:dyDescent="0.25">
      <c r="A49" s="29"/>
      <c r="B49" t="s">
        <v>67</v>
      </c>
      <c r="D49" s="55" t="s">
        <v>162</v>
      </c>
      <c r="E49" s="55"/>
      <c r="F49" s="55"/>
      <c r="G49" s="55"/>
      <c r="H49" s="55"/>
      <c r="I49" s="55"/>
      <c r="J49" s="55"/>
      <c r="K49" s="55"/>
      <c r="L49" t="s">
        <v>183</v>
      </c>
      <c r="M49" t="s">
        <v>184</v>
      </c>
    </row>
    <row r="50" spans="1:13" x14ac:dyDescent="0.25">
      <c r="B50" t="s">
        <v>68</v>
      </c>
      <c r="D50" s="54" t="s">
        <v>163</v>
      </c>
      <c r="E50" s="54"/>
      <c r="F50" s="54"/>
      <c r="G50" s="54"/>
      <c r="H50" s="54"/>
      <c r="I50" s="54"/>
      <c r="J50" s="54"/>
      <c r="K50" s="54"/>
      <c r="L50" t="s">
        <v>174</v>
      </c>
      <c r="M50" s="26" t="s">
        <v>184</v>
      </c>
    </row>
    <row r="51" spans="1:13" x14ac:dyDescent="0.25">
      <c r="B51" t="s">
        <v>160</v>
      </c>
      <c r="D51" s="54" t="s">
        <v>164</v>
      </c>
      <c r="E51" s="54"/>
      <c r="F51" s="54"/>
      <c r="G51" s="54"/>
      <c r="H51" s="54"/>
      <c r="I51" s="54"/>
      <c r="J51" s="54"/>
      <c r="K51" s="54"/>
      <c r="L51" s="26" t="s">
        <v>174</v>
      </c>
      <c r="M51" s="26" t="s">
        <v>184</v>
      </c>
    </row>
    <row r="52" spans="1:13" x14ac:dyDescent="0.25">
      <c r="B52" t="s">
        <v>150</v>
      </c>
      <c r="D52" s="54" t="s">
        <v>165</v>
      </c>
      <c r="E52" s="54"/>
      <c r="F52" s="54"/>
      <c r="G52" s="54"/>
      <c r="H52" s="54"/>
      <c r="I52" s="54"/>
      <c r="J52" s="54"/>
      <c r="K52" s="54"/>
      <c r="L52" s="26" t="s">
        <v>174</v>
      </c>
      <c r="M52" s="26" t="s">
        <v>184</v>
      </c>
    </row>
    <row r="53" spans="1:13" x14ac:dyDescent="0.25">
      <c r="B53" t="s">
        <v>151</v>
      </c>
      <c r="D53" s="35" t="s">
        <v>166</v>
      </c>
      <c r="E53" s="35"/>
      <c r="F53" s="35"/>
      <c r="G53" s="35"/>
      <c r="H53" s="35"/>
      <c r="I53" s="35"/>
      <c r="J53" s="35"/>
      <c r="K53" s="35"/>
      <c r="L53" s="26" t="s">
        <v>174</v>
      </c>
      <c r="M53" s="26" t="s">
        <v>184</v>
      </c>
    </row>
    <row r="54" spans="1:13" x14ac:dyDescent="0.25">
      <c r="B54" t="s">
        <v>152</v>
      </c>
      <c r="D54" s="54" t="s">
        <v>167</v>
      </c>
      <c r="E54" s="54"/>
      <c r="F54" s="54"/>
      <c r="G54" s="54"/>
      <c r="H54" s="54"/>
      <c r="I54" s="54"/>
      <c r="J54" s="54"/>
      <c r="K54" s="54"/>
      <c r="L54" s="26" t="s">
        <v>174</v>
      </c>
      <c r="M54" s="26" t="s">
        <v>184</v>
      </c>
    </row>
    <row r="55" spans="1:13" x14ac:dyDescent="0.25">
      <c r="B55" t="s">
        <v>153</v>
      </c>
      <c r="D55" s="54" t="s">
        <v>168</v>
      </c>
      <c r="E55" s="54"/>
      <c r="F55" s="54"/>
      <c r="G55" s="54"/>
      <c r="H55" s="54"/>
      <c r="I55" s="54"/>
      <c r="J55" s="54"/>
      <c r="K55" s="54"/>
      <c r="L55" s="26" t="s">
        <v>174</v>
      </c>
      <c r="M55" s="26" t="s">
        <v>184</v>
      </c>
    </row>
    <row r="56" spans="1:13" x14ac:dyDescent="0.25">
      <c r="B56" t="s">
        <v>154</v>
      </c>
      <c r="D56" s="54" t="s">
        <v>173</v>
      </c>
      <c r="E56" s="54"/>
      <c r="F56" s="54"/>
      <c r="G56" s="54"/>
      <c r="H56" s="54"/>
      <c r="I56" s="54"/>
      <c r="J56" s="54"/>
      <c r="K56" s="54"/>
      <c r="L56" s="26" t="s">
        <v>174</v>
      </c>
      <c r="M56" s="26" t="s">
        <v>184</v>
      </c>
    </row>
    <row r="57" spans="1:13" x14ac:dyDescent="0.25">
      <c r="B57" t="s">
        <v>155</v>
      </c>
      <c r="D57" s="54" t="s">
        <v>169</v>
      </c>
      <c r="E57" s="54"/>
      <c r="F57" s="54"/>
      <c r="G57" s="54"/>
      <c r="H57" s="54"/>
      <c r="I57" s="54"/>
      <c r="J57" s="54"/>
      <c r="K57" s="54"/>
      <c r="L57" s="26" t="s">
        <v>174</v>
      </c>
      <c r="M57" s="26" t="s">
        <v>184</v>
      </c>
    </row>
    <row r="58" spans="1:13" x14ac:dyDescent="0.25">
      <c r="B58" t="s">
        <v>156</v>
      </c>
      <c r="D58" s="54" t="s">
        <v>170</v>
      </c>
      <c r="E58" s="54"/>
      <c r="F58" s="54"/>
      <c r="G58" s="54"/>
      <c r="H58" s="54"/>
      <c r="I58" s="54"/>
      <c r="J58" s="54"/>
      <c r="K58" s="54"/>
      <c r="L58" s="26" t="s">
        <v>174</v>
      </c>
      <c r="M58" s="26" t="s">
        <v>184</v>
      </c>
    </row>
    <row r="59" spans="1:13" x14ac:dyDescent="0.25">
      <c r="B59" t="s">
        <v>157</v>
      </c>
      <c r="D59" s="54" t="s">
        <v>171</v>
      </c>
      <c r="E59" s="54"/>
      <c r="F59" s="54"/>
      <c r="G59" s="54"/>
      <c r="H59" s="54"/>
      <c r="I59" s="54"/>
      <c r="J59" s="54"/>
      <c r="K59" s="54"/>
      <c r="L59" s="26" t="s">
        <v>174</v>
      </c>
      <c r="M59" s="26" t="s">
        <v>184</v>
      </c>
    </row>
    <row r="60" spans="1:13" x14ac:dyDescent="0.25">
      <c r="B60" t="s">
        <v>158</v>
      </c>
      <c r="D60" s="54" t="s">
        <v>161</v>
      </c>
      <c r="E60" s="54"/>
      <c r="F60" s="54"/>
      <c r="G60" s="54"/>
      <c r="H60" s="54"/>
      <c r="I60" s="54"/>
      <c r="J60" s="54"/>
      <c r="K60" s="54"/>
      <c r="L60" t="s">
        <v>183</v>
      </c>
      <c r="M60" s="26" t="s">
        <v>184</v>
      </c>
    </row>
    <row r="61" spans="1:13" x14ac:dyDescent="0.25">
      <c r="B61" t="s">
        <v>159</v>
      </c>
      <c r="D61" s="54" t="s">
        <v>172</v>
      </c>
      <c r="E61" s="54"/>
      <c r="F61" s="54"/>
      <c r="G61" s="54"/>
      <c r="H61" s="54"/>
      <c r="I61" s="54"/>
      <c r="J61" s="54"/>
      <c r="K61" s="54"/>
      <c r="L61" s="26" t="s">
        <v>174</v>
      </c>
      <c r="M61" s="26" t="s">
        <v>184</v>
      </c>
    </row>
    <row r="62" spans="1:13" x14ac:dyDescent="0.25">
      <c r="D62" s="36"/>
      <c r="E62" s="36"/>
      <c r="F62" s="36"/>
      <c r="G62" s="36"/>
      <c r="H62" s="36"/>
      <c r="I62" s="36"/>
      <c r="J62" s="36"/>
      <c r="K62" s="36"/>
    </row>
    <row r="63" spans="1:13" x14ac:dyDescent="0.25">
      <c r="D63" s="36"/>
      <c r="E63" s="36"/>
      <c r="F63" s="36"/>
      <c r="G63" s="36"/>
      <c r="H63" s="36"/>
      <c r="I63" s="36"/>
      <c r="J63" s="36"/>
      <c r="K63" s="36"/>
    </row>
    <row r="64" spans="1:13" x14ac:dyDescent="0.25">
      <c r="D64" s="36"/>
      <c r="E64" s="36"/>
      <c r="F64" s="36"/>
      <c r="G64" s="36"/>
      <c r="H64" s="36"/>
      <c r="I64" s="36"/>
      <c r="J64" s="36"/>
      <c r="K64" s="36"/>
    </row>
    <row r="65" spans="3:11" x14ac:dyDescent="0.25">
      <c r="D65" s="36"/>
      <c r="E65" s="36"/>
      <c r="F65" s="36"/>
      <c r="G65" s="36"/>
      <c r="H65" s="36"/>
      <c r="I65" s="36"/>
      <c r="J65" s="36"/>
      <c r="K65" s="36"/>
    </row>
    <row r="80" spans="3:11" x14ac:dyDescent="0.25">
      <c r="C80" t="s">
        <v>175</v>
      </c>
    </row>
  </sheetData>
  <mergeCells count="21">
    <mergeCell ref="D61:K61"/>
    <mergeCell ref="B40:L40"/>
    <mergeCell ref="C26:M26"/>
    <mergeCell ref="C34:M34"/>
    <mergeCell ref="D60:K60"/>
    <mergeCell ref="D49:K49"/>
    <mergeCell ref="D50:K50"/>
    <mergeCell ref="D51:K51"/>
    <mergeCell ref="D52:K52"/>
    <mergeCell ref="D54:K54"/>
    <mergeCell ref="D55:K55"/>
    <mergeCell ref="D56:K56"/>
    <mergeCell ref="D57:K57"/>
    <mergeCell ref="D58:K58"/>
    <mergeCell ref="D59:K59"/>
    <mergeCell ref="A8:A13"/>
    <mergeCell ref="A14:A19"/>
    <mergeCell ref="C3:M3"/>
    <mergeCell ref="C37:E37"/>
    <mergeCell ref="C35:L35"/>
    <mergeCell ref="C36:M36"/>
  </mergeCells>
  <hyperlinks>
    <hyperlink ref="C13" r:id="rId1" xr:uid="{1F5AD951-3627-4794-A67B-CD080265E539}"/>
  </hyperlinks>
  <pageMargins left="0.7" right="0.7" top="0.78740157499999996" bottom="0.78740157499999996" header="0.3" footer="0.3"/>
  <pageSetup paperSize="9"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1"/>
  <sheetViews>
    <sheetView tabSelected="1" zoomScale="120" zoomScaleNormal="120" workbookViewId="0">
      <selection activeCell="Q7" sqref="Q7"/>
    </sheetView>
  </sheetViews>
  <sheetFormatPr defaultColWidth="11.42578125" defaultRowHeight="15" x14ac:dyDescent="0.25"/>
  <cols>
    <col min="1" max="1" width="10.85546875" style="39"/>
    <col min="2" max="5" width="10.85546875" style="45"/>
    <col min="6" max="8" width="12" style="41" customWidth="1"/>
    <col min="9" max="9" width="13.5703125" style="41" customWidth="1"/>
    <col min="10" max="10" width="12" style="41" customWidth="1"/>
    <col min="11" max="11" width="19.140625" style="41" customWidth="1"/>
    <col min="12" max="12" width="10.85546875" style="47"/>
    <col min="13" max="13" width="10.85546875" style="45"/>
    <col min="14" max="14" width="10.85546875" style="26"/>
    <col min="15" max="18" width="12" style="1" customWidth="1"/>
    <col min="19" max="19" width="17.140625" style="1" bestFit="1" customWidth="1"/>
    <col min="20" max="20" width="20.140625" style="1" bestFit="1" customWidth="1"/>
    <col min="21" max="21" width="12.42578125" style="1" bestFit="1" customWidth="1"/>
    <col min="22" max="22" width="16.7109375" style="1" bestFit="1" customWidth="1"/>
    <col min="23" max="23" width="13" style="1" bestFit="1" customWidth="1"/>
    <col min="24" max="25" width="13" style="1" customWidth="1"/>
    <col min="26" max="31" width="14.85546875" style="1" bestFit="1" customWidth="1"/>
    <col min="32" max="39" width="14.85546875" style="1" customWidth="1"/>
    <col min="40" max="16384" width="11.42578125" style="1"/>
  </cols>
  <sheetData>
    <row r="1" spans="1:14" ht="51" x14ac:dyDescent="0.25">
      <c r="A1" s="38" t="s">
        <v>185</v>
      </c>
      <c r="B1" s="40" t="s">
        <v>68</v>
      </c>
      <c r="C1" s="40" t="s">
        <v>149</v>
      </c>
      <c r="D1" s="40" t="s">
        <v>150</v>
      </c>
      <c r="E1" s="40" t="s">
        <v>151</v>
      </c>
      <c r="F1" s="41" t="s">
        <v>152</v>
      </c>
      <c r="G1" s="41" t="s">
        <v>153</v>
      </c>
      <c r="H1" s="41" t="s">
        <v>154</v>
      </c>
      <c r="I1" s="41" t="s">
        <v>155</v>
      </c>
      <c r="J1" s="41" t="s">
        <v>156</v>
      </c>
      <c r="K1" s="41" t="s">
        <v>157</v>
      </c>
      <c r="L1" s="42" t="s">
        <v>158</v>
      </c>
      <c r="M1" s="43" t="s">
        <v>159</v>
      </c>
      <c r="N1" s="33"/>
    </row>
    <row r="2" spans="1:14" x14ac:dyDescent="0.25">
      <c r="A2" s="39" t="s">
        <v>145</v>
      </c>
      <c r="B2" s="45">
        <v>1.96</v>
      </c>
      <c r="C2" s="45">
        <v>70.12</v>
      </c>
      <c r="D2" s="45">
        <v>70.55</v>
      </c>
      <c r="E2" s="45">
        <f t="shared" ref="E2:E65" si="0">D2-C2</f>
        <v>0.42999999999999261</v>
      </c>
      <c r="F2" s="41">
        <v>69.88</v>
      </c>
      <c r="G2" s="41">
        <v>71.42</v>
      </c>
      <c r="H2" s="41">
        <v>1.5400000000000063</v>
      </c>
      <c r="I2" s="41">
        <v>75.927221833450361</v>
      </c>
      <c r="J2" s="41">
        <v>0.17375000000000118</v>
      </c>
      <c r="K2" s="41">
        <v>91.135204081632594</v>
      </c>
      <c r="L2" s="47">
        <v>45925</v>
      </c>
      <c r="M2" s="45">
        <v>1</v>
      </c>
      <c r="N2" s="34"/>
    </row>
    <row r="3" spans="1:14" x14ac:dyDescent="0.25">
      <c r="A3" s="39" t="s">
        <v>145</v>
      </c>
      <c r="B3" s="45">
        <v>1.95</v>
      </c>
      <c r="C3" s="45">
        <v>68.55</v>
      </c>
      <c r="D3" s="45">
        <v>69</v>
      </c>
      <c r="E3" s="45">
        <f t="shared" si="0"/>
        <v>0.45000000000000284</v>
      </c>
      <c r="F3" s="41">
        <v>71.209999999999994</v>
      </c>
      <c r="G3" s="41">
        <v>72.66</v>
      </c>
      <c r="H3" s="41">
        <v>1.4500000000000028</v>
      </c>
      <c r="I3" s="41">
        <v>73.780043699927091</v>
      </c>
      <c r="J3" s="41">
        <v>0.23374999999999435</v>
      </c>
      <c r="K3" s="41">
        <v>88.012820512820795</v>
      </c>
      <c r="L3" s="47">
        <v>45940</v>
      </c>
      <c r="M3" s="45">
        <v>3</v>
      </c>
      <c r="N3" s="34"/>
    </row>
    <row r="4" spans="1:14" x14ac:dyDescent="0.25">
      <c r="A4" s="39" t="s">
        <v>145</v>
      </c>
      <c r="B4" s="45">
        <v>1.97</v>
      </c>
      <c r="C4" s="45">
        <v>69.03</v>
      </c>
      <c r="D4" s="45">
        <v>69.39</v>
      </c>
      <c r="E4" s="45">
        <f t="shared" si="0"/>
        <v>0.35999999999999943</v>
      </c>
      <c r="F4" s="41">
        <v>69.05</v>
      </c>
      <c r="G4" s="41">
        <v>70.69</v>
      </c>
      <c r="H4" s="41">
        <v>1.6400000000000006</v>
      </c>
      <c r="I4" s="41">
        <v>80.178940123881659</v>
      </c>
      <c r="J4" s="41">
        <v>0.15375000000000005</v>
      </c>
      <c r="K4" s="41">
        <v>92.195431472081211</v>
      </c>
      <c r="L4" s="47">
        <v>45943</v>
      </c>
      <c r="M4" s="45">
        <v>3</v>
      </c>
      <c r="N4" s="34"/>
    </row>
    <row r="5" spans="1:14" x14ac:dyDescent="0.25">
      <c r="A5" s="37" t="s">
        <v>119</v>
      </c>
      <c r="B5" s="44">
        <v>2.0099999999999998</v>
      </c>
      <c r="C5" s="44">
        <v>69.48</v>
      </c>
      <c r="D5" s="44">
        <v>69.81</v>
      </c>
      <c r="E5" s="45">
        <f t="shared" si="0"/>
        <v>0.32999999999999829</v>
      </c>
      <c r="F5" s="41">
        <v>68.48</v>
      </c>
      <c r="G5" s="41">
        <v>70.19</v>
      </c>
      <c r="H5" s="41">
        <v>1.7099999999999937</v>
      </c>
      <c r="I5" s="41">
        <v>82.222222222222243</v>
      </c>
      <c r="J5" s="41">
        <v>0.15375000000000782</v>
      </c>
      <c r="K5" s="41">
        <v>92.350746268656323</v>
      </c>
      <c r="L5" s="46">
        <v>45915</v>
      </c>
      <c r="M5" s="44">
        <v>1</v>
      </c>
      <c r="N5" s="34"/>
    </row>
    <row r="6" spans="1:14" x14ac:dyDescent="0.25">
      <c r="A6" s="39" t="s">
        <v>119</v>
      </c>
      <c r="B6" s="45">
        <v>2</v>
      </c>
      <c r="C6" s="45">
        <v>68.31</v>
      </c>
      <c r="D6" s="45">
        <v>68.63</v>
      </c>
      <c r="E6" s="45">
        <f t="shared" si="0"/>
        <v>0.31999999999999318</v>
      </c>
      <c r="F6" s="41">
        <v>70.41</v>
      </c>
      <c r="G6" s="41">
        <v>72.09</v>
      </c>
      <c r="H6" s="41">
        <v>1.6800000000000068</v>
      </c>
      <c r="I6" s="41">
        <v>82.381280110117373</v>
      </c>
      <c r="J6" s="41">
        <v>0.18375000000000008</v>
      </c>
      <c r="K6" s="41">
        <v>90.8125</v>
      </c>
      <c r="L6" s="47">
        <v>45932</v>
      </c>
      <c r="M6" s="45">
        <v>2</v>
      </c>
      <c r="N6" s="34"/>
    </row>
    <row r="7" spans="1:14" x14ac:dyDescent="0.25">
      <c r="A7" s="39" t="s">
        <v>119</v>
      </c>
      <c r="B7" s="45">
        <v>1.96</v>
      </c>
      <c r="C7" s="45">
        <v>71.28</v>
      </c>
      <c r="D7" s="45">
        <v>71.599999999999994</v>
      </c>
      <c r="E7" s="45">
        <f t="shared" si="0"/>
        <v>0.31999999999999318</v>
      </c>
      <c r="F7" s="41">
        <v>70.28</v>
      </c>
      <c r="G7" s="41">
        <v>71.89</v>
      </c>
      <c r="H7" s="41">
        <v>1.6099999999999994</v>
      </c>
      <c r="I7" s="41">
        <v>81.675017895490654</v>
      </c>
      <c r="J7" s="41">
        <v>0.21375000000000743</v>
      </c>
      <c r="K7" s="41">
        <v>89.09438775510165</v>
      </c>
      <c r="L7" s="47">
        <v>45940</v>
      </c>
      <c r="M7" s="45">
        <v>3</v>
      </c>
      <c r="N7" s="34"/>
    </row>
    <row r="8" spans="1:14" x14ac:dyDescent="0.25">
      <c r="A8" s="39" t="s">
        <v>146</v>
      </c>
      <c r="B8" s="45">
        <v>2.02</v>
      </c>
      <c r="C8" s="45">
        <v>69.7</v>
      </c>
      <c r="D8" s="45">
        <v>70.400000000000006</v>
      </c>
      <c r="E8" s="45">
        <f t="shared" si="0"/>
        <v>0.70000000000000284</v>
      </c>
      <c r="F8" s="41">
        <v>69.599999999999994</v>
      </c>
      <c r="G8" s="41">
        <v>70.849999999999994</v>
      </c>
      <c r="H8" s="41">
        <v>1.25</v>
      </c>
      <c r="I8" s="41">
        <v>60.368011323425243</v>
      </c>
      <c r="J8" s="41">
        <v>0.25374999999999726</v>
      </c>
      <c r="K8" s="41">
        <v>87.438118811881324</v>
      </c>
      <c r="L8" s="47">
        <v>45925</v>
      </c>
      <c r="M8" s="45">
        <v>1</v>
      </c>
      <c r="N8" s="34"/>
    </row>
    <row r="9" spans="1:14" x14ac:dyDescent="0.25">
      <c r="A9" s="39" t="s">
        <v>146</v>
      </c>
      <c r="B9" s="45">
        <v>1.95</v>
      </c>
      <c r="C9" s="45">
        <v>70.55</v>
      </c>
      <c r="D9" s="45">
        <v>71.150000000000006</v>
      </c>
      <c r="E9" s="45">
        <f t="shared" si="0"/>
        <v>0.60000000000000853</v>
      </c>
      <c r="F9" s="41">
        <v>70.180000000000007</v>
      </c>
      <c r="G9" s="41">
        <v>71.459999999999994</v>
      </c>
      <c r="H9" s="41">
        <v>1.2799999999999869</v>
      </c>
      <c r="I9" s="41">
        <v>64.627855563742955</v>
      </c>
      <c r="J9" s="41">
        <v>0.25375000000000458</v>
      </c>
      <c r="K9" s="41">
        <v>86.987179487179262</v>
      </c>
      <c r="L9" s="47">
        <v>45930</v>
      </c>
      <c r="M9" s="45">
        <v>2</v>
      </c>
      <c r="N9" s="34"/>
    </row>
    <row r="10" spans="1:14" x14ac:dyDescent="0.25">
      <c r="A10" s="39" t="s">
        <v>146</v>
      </c>
      <c r="B10" s="45">
        <v>1.95</v>
      </c>
      <c r="C10" s="45">
        <v>70.55</v>
      </c>
      <c r="D10" s="45">
        <v>71.209999999999994</v>
      </c>
      <c r="E10" s="45">
        <f t="shared" si="0"/>
        <v>0.65999999999999659</v>
      </c>
      <c r="F10" s="41">
        <v>69.069999999999993</v>
      </c>
      <c r="G10" s="41">
        <v>70.290000000000006</v>
      </c>
      <c r="H10" s="41">
        <v>1.2200000000000131</v>
      </c>
      <c r="I10" s="41">
        <v>61.090641120118327</v>
      </c>
      <c r="J10" s="41">
        <v>0.25374999999999037</v>
      </c>
      <c r="K10" s="41">
        <v>86.987179487179972</v>
      </c>
      <c r="L10" s="47">
        <v>45940</v>
      </c>
      <c r="M10" s="45">
        <v>3</v>
      </c>
      <c r="N10" s="34"/>
    </row>
    <row r="11" spans="1:14" x14ac:dyDescent="0.25">
      <c r="A11" s="37" t="s">
        <v>130</v>
      </c>
      <c r="B11" s="44">
        <v>1.95</v>
      </c>
      <c r="C11" s="44">
        <v>42.02</v>
      </c>
      <c r="D11" s="44">
        <v>42.82</v>
      </c>
      <c r="E11" s="45">
        <f t="shared" si="0"/>
        <v>0.79999999999999716</v>
      </c>
      <c r="F11" s="41">
        <v>69.319999999999993</v>
      </c>
      <c r="G11" s="41">
        <v>70.540000000000006</v>
      </c>
      <c r="H11" s="41">
        <v>1.2200000000000131</v>
      </c>
      <c r="I11" s="41">
        <v>56.432947583390458</v>
      </c>
      <c r="J11" s="41">
        <v>0.1137499999999898</v>
      </c>
      <c r="K11" s="41">
        <v>94.166666666667183</v>
      </c>
      <c r="L11" s="46">
        <v>45924</v>
      </c>
      <c r="M11" s="44">
        <v>1</v>
      </c>
      <c r="N11" s="34"/>
    </row>
    <row r="12" spans="1:14" x14ac:dyDescent="0.25">
      <c r="A12" s="39" t="s">
        <v>130</v>
      </c>
      <c r="B12" s="45">
        <v>1.99</v>
      </c>
      <c r="C12" s="45">
        <v>71</v>
      </c>
      <c r="D12" s="45">
        <v>71.900000000000006</v>
      </c>
      <c r="E12" s="45">
        <f t="shared" si="0"/>
        <v>0.90000000000000568</v>
      </c>
      <c r="F12" s="41">
        <v>67.91</v>
      </c>
      <c r="G12" s="41">
        <v>69.040000000000006</v>
      </c>
      <c r="H12" s="41">
        <v>1.1300000000000097</v>
      </c>
      <c r="I12" s="41">
        <v>51.252538930264144</v>
      </c>
      <c r="J12" s="41">
        <v>0.14374999999998461</v>
      </c>
      <c r="K12" s="41">
        <v>92.776381909548505</v>
      </c>
      <c r="L12" s="47">
        <v>45940</v>
      </c>
      <c r="M12" s="45">
        <v>3</v>
      </c>
      <c r="N12" s="34"/>
    </row>
    <row r="13" spans="1:14" x14ac:dyDescent="0.25">
      <c r="A13" s="39" t="s">
        <v>133</v>
      </c>
      <c r="B13" s="45">
        <v>2.0299999999999998</v>
      </c>
      <c r="C13" s="45">
        <v>68.67</v>
      </c>
      <c r="D13" s="45">
        <v>69.510000000000005</v>
      </c>
      <c r="E13" s="45">
        <f t="shared" si="0"/>
        <v>0.84000000000000341</v>
      </c>
      <c r="F13" s="41">
        <v>71.13</v>
      </c>
      <c r="G13" s="41">
        <v>72.37</v>
      </c>
      <c r="H13" s="41">
        <v>1.2400000000000091</v>
      </c>
      <c r="I13" s="41">
        <v>55.702043506921662</v>
      </c>
      <c r="J13" s="41">
        <v>0.13374999999998738</v>
      </c>
      <c r="K13" s="41">
        <v>93.411330049261707</v>
      </c>
      <c r="L13" s="47">
        <v>45925</v>
      </c>
      <c r="M13" s="45">
        <v>1</v>
      </c>
      <c r="N13" s="34"/>
    </row>
    <row r="14" spans="1:14" x14ac:dyDescent="0.25">
      <c r="A14" s="39" t="s">
        <v>133</v>
      </c>
      <c r="B14" s="45">
        <v>1.95</v>
      </c>
      <c r="C14" s="45">
        <v>69.14</v>
      </c>
      <c r="D14" s="45">
        <v>69.84</v>
      </c>
      <c r="E14" s="45">
        <f t="shared" si="0"/>
        <v>0.70000000000000284</v>
      </c>
      <c r="F14" s="41">
        <v>69.569999999999993</v>
      </c>
      <c r="G14" s="41">
        <v>70.83</v>
      </c>
      <c r="H14" s="41">
        <v>1.2600000000000051</v>
      </c>
      <c r="I14" s="41">
        <v>60.591133004926121</v>
      </c>
      <c r="J14" s="41">
        <v>0.17374999999999208</v>
      </c>
      <c r="K14" s="41">
        <v>91.089743589744003</v>
      </c>
      <c r="L14" s="47">
        <v>45930</v>
      </c>
      <c r="M14" s="45">
        <v>2</v>
      </c>
      <c r="N14" s="34"/>
    </row>
    <row r="15" spans="1:14" x14ac:dyDescent="0.25">
      <c r="A15" s="39" t="s">
        <v>133</v>
      </c>
      <c r="B15" s="45">
        <v>1.96</v>
      </c>
      <c r="C15" s="45">
        <v>69.92</v>
      </c>
      <c r="D15" s="45">
        <v>70.62</v>
      </c>
      <c r="E15" s="45">
        <f t="shared" si="0"/>
        <v>0.70000000000000284</v>
      </c>
      <c r="F15" s="41">
        <v>69.28</v>
      </c>
      <c r="G15" s="41">
        <v>70.540000000000006</v>
      </c>
      <c r="H15" s="41">
        <v>1.2600000000000051</v>
      </c>
      <c r="I15" s="41">
        <v>60.591133004926121</v>
      </c>
      <c r="J15" s="41">
        <v>0.18374999999999209</v>
      </c>
      <c r="K15" s="41">
        <v>90.625000000000398</v>
      </c>
      <c r="L15" s="47">
        <v>45943</v>
      </c>
      <c r="M15" s="45">
        <v>3</v>
      </c>
      <c r="N15" s="34"/>
    </row>
    <row r="16" spans="1:14" x14ac:dyDescent="0.25">
      <c r="A16" s="39" t="s">
        <v>134</v>
      </c>
      <c r="B16" s="45">
        <v>1.95</v>
      </c>
      <c r="C16" s="45">
        <v>68.040000000000006</v>
      </c>
      <c r="D16" s="45">
        <v>68.44</v>
      </c>
      <c r="E16" s="45">
        <f t="shared" si="0"/>
        <v>0.39999999999999147</v>
      </c>
      <c r="F16" s="41">
        <v>69.38</v>
      </c>
      <c r="G16" s="41">
        <v>70.959999999999994</v>
      </c>
      <c r="H16" s="41">
        <v>1.5799999999999983</v>
      </c>
      <c r="I16" s="41">
        <v>77.731384829506268</v>
      </c>
      <c r="J16" s="41">
        <v>0.15375000000001027</v>
      </c>
      <c r="K16" s="41">
        <v>92.115384615384087</v>
      </c>
      <c r="L16" s="47">
        <v>45925</v>
      </c>
      <c r="M16" s="45">
        <v>1</v>
      </c>
      <c r="N16" s="34"/>
    </row>
    <row r="17" spans="1:14" x14ac:dyDescent="0.25">
      <c r="A17" s="39" t="s">
        <v>134</v>
      </c>
      <c r="B17" s="45">
        <v>1.97</v>
      </c>
      <c r="C17" s="45">
        <v>70.989999999999995</v>
      </c>
      <c r="D17" s="45">
        <v>71.349999999999994</v>
      </c>
      <c r="E17" s="45">
        <f t="shared" si="0"/>
        <v>0.35999999999999943</v>
      </c>
      <c r="F17" s="41">
        <v>70.03</v>
      </c>
      <c r="G17" s="41">
        <v>71.66</v>
      </c>
      <c r="H17" s="41">
        <v>1.6299999999999955</v>
      </c>
      <c r="I17" s="41">
        <v>80.069204152249114</v>
      </c>
      <c r="J17" s="41">
        <v>0.16375000000000517</v>
      </c>
      <c r="K17" s="41">
        <v>91.687817258882987</v>
      </c>
      <c r="L17" s="47">
        <v>45932</v>
      </c>
      <c r="M17" s="45">
        <v>2</v>
      </c>
      <c r="N17" s="34"/>
    </row>
    <row r="18" spans="1:14" x14ac:dyDescent="0.25">
      <c r="A18" s="39" t="s">
        <v>134</v>
      </c>
      <c r="B18" s="45">
        <v>1.95</v>
      </c>
      <c r="C18" s="45">
        <v>69.569999999999993</v>
      </c>
      <c r="D18" s="45">
        <v>69.900000000000006</v>
      </c>
      <c r="E18" s="45">
        <f t="shared" si="0"/>
        <v>0.33000000000001251</v>
      </c>
      <c r="F18" s="41">
        <v>71.25</v>
      </c>
      <c r="G18" s="41">
        <v>72.88</v>
      </c>
      <c r="H18" s="41">
        <v>1.6299999999999955</v>
      </c>
      <c r="I18" s="41">
        <v>81.421534130893107</v>
      </c>
      <c r="J18" s="41">
        <v>0.17374999999999208</v>
      </c>
      <c r="K18" s="41">
        <v>91.089743589744003</v>
      </c>
      <c r="L18" s="47">
        <v>45943</v>
      </c>
      <c r="M18" s="45">
        <v>3</v>
      </c>
      <c r="N18" s="34"/>
    </row>
    <row r="19" spans="1:14" x14ac:dyDescent="0.25">
      <c r="A19" s="39" t="s">
        <v>137</v>
      </c>
      <c r="B19" s="45">
        <v>2</v>
      </c>
      <c r="C19" s="45">
        <v>69.569999999999993</v>
      </c>
      <c r="D19" s="45">
        <v>70.459999999999994</v>
      </c>
      <c r="E19" s="45">
        <f t="shared" si="0"/>
        <v>0.89000000000000057</v>
      </c>
      <c r="F19" s="41">
        <v>70.849999999999994</v>
      </c>
      <c r="G19" s="41">
        <v>72</v>
      </c>
      <c r="H19" s="41">
        <v>1.1500000000000057</v>
      </c>
      <c r="I19" s="41">
        <v>52.053872053872183</v>
      </c>
      <c r="J19" s="41">
        <v>0.14374999999999372</v>
      </c>
      <c r="K19" s="41">
        <v>92.812500000000313</v>
      </c>
      <c r="L19" s="47">
        <v>45932</v>
      </c>
      <c r="M19" s="45">
        <v>2</v>
      </c>
      <c r="N19" s="34"/>
    </row>
    <row r="20" spans="1:14" x14ac:dyDescent="0.25">
      <c r="A20" s="39" t="s">
        <v>137</v>
      </c>
      <c r="B20" s="45">
        <v>1.98</v>
      </c>
      <c r="C20" s="45">
        <v>71.819999999999993</v>
      </c>
      <c r="D20" s="45">
        <v>72.5</v>
      </c>
      <c r="E20" s="45">
        <f t="shared" si="0"/>
        <v>0.68000000000000682</v>
      </c>
      <c r="F20" s="41">
        <v>69.69</v>
      </c>
      <c r="G20" s="41">
        <v>71.03</v>
      </c>
      <c r="H20" s="41">
        <v>1.3400000000000034</v>
      </c>
      <c r="I20" s="41">
        <v>62.968005445881381</v>
      </c>
      <c r="J20" s="41">
        <v>0.14374999999998983</v>
      </c>
      <c r="K20" s="41">
        <v>92.739898989899501</v>
      </c>
      <c r="L20" s="47">
        <v>45943</v>
      </c>
      <c r="M20" s="45">
        <v>3</v>
      </c>
      <c r="N20" s="34"/>
    </row>
    <row r="21" spans="1:14" x14ac:dyDescent="0.25">
      <c r="A21" s="39" t="s">
        <v>141</v>
      </c>
      <c r="B21" s="45">
        <v>1.96</v>
      </c>
      <c r="C21" s="45">
        <v>70</v>
      </c>
      <c r="D21" s="45">
        <v>70.599999999999994</v>
      </c>
      <c r="E21" s="45">
        <f t="shared" si="0"/>
        <v>0.59999999999999432</v>
      </c>
      <c r="F21" s="41">
        <v>69.3</v>
      </c>
      <c r="G21" s="41">
        <v>70.61</v>
      </c>
      <c r="H21" s="41">
        <v>1.3100000000000023</v>
      </c>
      <c r="I21" s="41">
        <v>65.242577842143632</v>
      </c>
      <c r="J21" s="41">
        <v>0.23375000000000346</v>
      </c>
      <c r="K21" s="41">
        <v>88.073979591836562</v>
      </c>
      <c r="L21" s="47">
        <v>45932</v>
      </c>
      <c r="M21" s="45">
        <v>2</v>
      </c>
      <c r="N21" s="34"/>
    </row>
    <row r="22" spans="1:14" x14ac:dyDescent="0.25">
      <c r="A22" s="39" t="s">
        <v>141</v>
      </c>
      <c r="B22" s="45">
        <v>1.95</v>
      </c>
      <c r="C22" s="45">
        <v>68.02</v>
      </c>
      <c r="D22" s="45">
        <v>68.73</v>
      </c>
      <c r="E22" s="45">
        <f t="shared" si="0"/>
        <v>0.71000000000000796</v>
      </c>
      <c r="F22" s="41">
        <v>69.53</v>
      </c>
      <c r="G22" s="41">
        <v>70.760000000000005</v>
      </c>
      <c r="H22" s="41">
        <v>1.230000000000004</v>
      </c>
      <c r="I22" s="41">
        <v>59.572953736654618</v>
      </c>
      <c r="J22" s="41">
        <v>0.1937499999999881</v>
      </c>
      <c r="K22" s="41">
        <v>90.06410256410318</v>
      </c>
      <c r="L22" s="47">
        <v>45943</v>
      </c>
      <c r="M22" s="45">
        <v>3</v>
      </c>
      <c r="N22" s="34"/>
    </row>
    <row r="23" spans="1:14" x14ac:dyDescent="0.25">
      <c r="A23" s="37" t="s">
        <v>129</v>
      </c>
      <c r="B23" s="44">
        <v>1.98</v>
      </c>
      <c r="C23" s="44">
        <v>42.9</v>
      </c>
      <c r="D23" s="44">
        <v>43.24</v>
      </c>
      <c r="E23" s="45">
        <f t="shared" si="0"/>
        <v>0.34000000000000341</v>
      </c>
      <c r="F23" s="41">
        <v>70.86</v>
      </c>
      <c r="G23" s="41">
        <v>72.58</v>
      </c>
      <c r="H23" s="41">
        <v>1.7199999999999989</v>
      </c>
      <c r="I23" s="41">
        <v>81.878747501665401</v>
      </c>
      <c r="J23" s="41">
        <v>0.10374999999999779</v>
      </c>
      <c r="K23" s="41">
        <v>94.76010101010111</v>
      </c>
      <c r="L23" s="46">
        <v>45924</v>
      </c>
      <c r="M23" s="44">
        <v>1</v>
      </c>
      <c r="N23" s="34"/>
    </row>
    <row r="24" spans="1:14" x14ac:dyDescent="0.25">
      <c r="A24" s="39" t="s">
        <v>129</v>
      </c>
      <c r="B24" s="45">
        <v>1.96</v>
      </c>
      <c r="C24" s="45">
        <v>69.150000000000006</v>
      </c>
      <c r="D24" s="45">
        <v>69.489999999999995</v>
      </c>
      <c r="E24" s="45">
        <f t="shared" si="0"/>
        <v>0.3399999999999892</v>
      </c>
      <c r="F24" s="41">
        <v>69.25</v>
      </c>
      <c r="G24" s="41">
        <v>70.94</v>
      </c>
      <c r="H24" s="41">
        <v>1.6899999999999977</v>
      </c>
      <c r="I24" s="41">
        <v>81.584292484766877</v>
      </c>
      <c r="J24" s="41">
        <v>0.11375000000001312</v>
      </c>
      <c r="K24" s="41">
        <v>94.196428571427901</v>
      </c>
      <c r="L24" s="47">
        <v>45930</v>
      </c>
      <c r="M24" s="45">
        <v>2</v>
      </c>
      <c r="N24" s="34"/>
    </row>
    <row r="25" spans="1:14" x14ac:dyDescent="0.25">
      <c r="A25" s="39" t="s">
        <v>129</v>
      </c>
      <c r="B25" s="45">
        <v>1.98</v>
      </c>
      <c r="C25" s="45">
        <v>68.94</v>
      </c>
      <c r="D25" s="45">
        <v>69.260000000000005</v>
      </c>
      <c r="E25" s="45">
        <f t="shared" si="0"/>
        <v>0.32000000000000739</v>
      </c>
      <c r="F25" s="41">
        <v>69.55</v>
      </c>
      <c r="G25" s="41">
        <v>71.25</v>
      </c>
      <c r="H25" s="41">
        <v>1.7000000000000028</v>
      </c>
      <c r="I25" s="41">
        <v>82.573179033355714</v>
      </c>
      <c r="J25" s="41">
        <v>0.14374999999998983</v>
      </c>
      <c r="K25" s="41">
        <v>92.739898989899501</v>
      </c>
      <c r="L25" s="47">
        <v>45940</v>
      </c>
      <c r="M25" s="45">
        <v>3</v>
      </c>
      <c r="N25" s="34"/>
    </row>
    <row r="26" spans="1:14" x14ac:dyDescent="0.25">
      <c r="A26" s="39" t="s">
        <v>144</v>
      </c>
      <c r="B26" s="45">
        <v>2.02</v>
      </c>
      <c r="C26" s="45">
        <v>69.09</v>
      </c>
      <c r="D26" s="45">
        <v>69.7</v>
      </c>
      <c r="E26" s="45">
        <f t="shared" si="0"/>
        <v>0.60999999999999943</v>
      </c>
      <c r="F26" s="41">
        <v>71.06</v>
      </c>
      <c r="G26" s="41">
        <v>72.53</v>
      </c>
      <c r="H26" s="41">
        <v>1.4699999999999989</v>
      </c>
      <c r="I26" s="41">
        <v>67.831245880026373</v>
      </c>
      <c r="J26" s="41">
        <v>0.1237500000000018</v>
      </c>
      <c r="K26" s="41">
        <v>93.873762376237536</v>
      </c>
      <c r="L26" s="47">
        <v>45925</v>
      </c>
      <c r="M26" s="45">
        <v>1</v>
      </c>
      <c r="N26" s="34"/>
    </row>
    <row r="27" spans="1:14" x14ac:dyDescent="0.25">
      <c r="A27" s="39" t="s">
        <v>144</v>
      </c>
      <c r="B27" s="45">
        <v>2.02</v>
      </c>
      <c r="C27" s="45">
        <v>68.72</v>
      </c>
      <c r="D27" s="45">
        <v>69.33</v>
      </c>
      <c r="E27" s="45">
        <f t="shared" si="0"/>
        <v>0.60999999999999943</v>
      </c>
      <c r="F27" s="41">
        <v>70.62</v>
      </c>
      <c r="G27" s="41">
        <v>72.06</v>
      </c>
      <c r="H27" s="41">
        <v>1.4399999999999977</v>
      </c>
      <c r="I27" s="41">
        <v>67.314132618888124</v>
      </c>
      <c r="J27" s="41">
        <v>0.15375000000000294</v>
      </c>
      <c r="K27" s="41">
        <v>92.388613861385991</v>
      </c>
      <c r="L27" s="47">
        <v>45932</v>
      </c>
      <c r="M27" s="45">
        <v>2</v>
      </c>
      <c r="N27" s="34"/>
    </row>
    <row r="28" spans="1:14" x14ac:dyDescent="0.25">
      <c r="A28" s="39" t="s">
        <v>144</v>
      </c>
      <c r="B28" s="45">
        <v>2.02</v>
      </c>
      <c r="C28" s="45">
        <v>69.67</v>
      </c>
      <c r="D28" s="45">
        <v>70.33</v>
      </c>
      <c r="E28" s="45">
        <f t="shared" si="0"/>
        <v>0.65999999999999659</v>
      </c>
      <c r="F28" s="41">
        <v>68.92</v>
      </c>
      <c r="G28" s="41">
        <v>70.33</v>
      </c>
      <c r="H28" s="41">
        <v>1.4099999999999966</v>
      </c>
      <c r="I28" s="41">
        <v>65.00994035785294</v>
      </c>
      <c r="J28" s="41">
        <v>0.13375000000000692</v>
      </c>
      <c r="K28" s="41">
        <v>93.37871287128678</v>
      </c>
      <c r="L28" s="47">
        <v>45943</v>
      </c>
      <c r="M28" s="45">
        <v>3</v>
      </c>
      <c r="N28" s="34"/>
    </row>
    <row r="29" spans="1:14" x14ac:dyDescent="0.25">
      <c r="A29" s="39" t="s">
        <v>136</v>
      </c>
      <c r="B29" s="45">
        <v>2.04</v>
      </c>
      <c r="C29" s="45">
        <v>69.58</v>
      </c>
      <c r="D29" s="45">
        <v>70.2</v>
      </c>
      <c r="E29" s="45">
        <f t="shared" si="0"/>
        <v>0.62000000000000455</v>
      </c>
      <c r="F29" s="41">
        <v>70.17</v>
      </c>
      <c r="G29" s="41">
        <v>71.66</v>
      </c>
      <c r="H29" s="41">
        <v>1.4899999999999949</v>
      </c>
      <c r="I29" s="41">
        <v>67.813108371187298</v>
      </c>
      <c r="J29" s="41">
        <v>0.11375000000000068</v>
      </c>
      <c r="K29" s="41">
        <v>94.424019607843107</v>
      </c>
      <c r="L29" s="47">
        <v>45925</v>
      </c>
      <c r="M29" s="45">
        <v>1</v>
      </c>
      <c r="N29" s="34"/>
    </row>
    <row r="30" spans="1:14" x14ac:dyDescent="0.25">
      <c r="A30" s="39" t="s">
        <v>136</v>
      </c>
      <c r="B30" s="45">
        <v>1.99</v>
      </c>
      <c r="C30" s="45">
        <v>71.42</v>
      </c>
      <c r="D30" s="45">
        <v>72.05</v>
      </c>
      <c r="E30" s="45">
        <f t="shared" si="0"/>
        <v>0.62999999999999545</v>
      </c>
      <c r="F30" s="41">
        <v>69.17</v>
      </c>
      <c r="G30" s="41">
        <v>70.61</v>
      </c>
      <c r="H30" s="41">
        <v>1.4399999999999977</v>
      </c>
      <c r="I30" s="41">
        <v>66.600397614314232</v>
      </c>
      <c r="J30" s="41">
        <v>0.10375000000000689</v>
      </c>
      <c r="K30" s="41">
        <v>94.78643216080367</v>
      </c>
      <c r="L30" s="47">
        <v>45936</v>
      </c>
      <c r="M30" s="45">
        <v>2</v>
      </c>
      <c r="N30" s="34"/>
    </row>
    <row r="31" spans="1:14" x14ac:dyDescent="0.25">
      <c r="A31" s="39" t="s">
        <v>136</v>
      </c>
      <c r="B31" s="45">
        <v>1.97</v>
      </c>
      <c r="C31" s="45">
        <v>72.09</v>
      </c>
      <c r="D31" s="45">
        <v>72.72</v>
      </c>
      <c r="E31" s="45">
        <f t="shared" si="0"/>
        <v>0.62999999999999545</v>
      </c>
      <c r="F31" s="41">
        <v>70.47</v>
      </c>
      <c r="G31" s="41">
        <v>71.819999999999993</v>
      </c>
      <c r="H31" s="41">
        <v>1.3499999999999943</v>
      </c>
      <c r="I31" s="41">
        <v>64.926931106471869</v>
      </c>
      <c r="J31" s="41">
        <v>0.17375000000001029</v>
      </c>
      <c r="K31" s="41">
        <v>91.180203045684763</v>
      </c>
      <c r="L31" s="47">
        <v>45940</v>
      </c>
      <c r="M31" s="45">
        <v>3</v>
      </c>
      <c r="N31" s="34"/>
    </row>
    <row r="32" spans="1:14" x14ac:dyDescent="0.25">
      <c r="A32" s="37" t="s">
        <v>120</v>
      </c>
      <c r="B32" s="44">
        <v>2.02</v>
      </c>
      <c r="C32" s="44">
        <v>69.67</v>
      </c>
      <c r="D32" s="44">
        <v>70.150000000000006</v>
      </c>
      <c r="E32" s="45">
        <f t="shared" si="0"/>
        <v>0.48000000000000398</v>
      </c>
      <c r="F32" s="41">
        <v>69.489999999999995</v>
      </c>
      <c r="G32" s="41">
        <v>71.11</v>
      </c>
      <c r="H32" s="41">
        <v>1.6200000000000045</v>
      </c>
      <c r="I32" s="41">
        <v>74.951076320939237</v>
      </c>
      <c r="J32" s="41">
        <v>0.10374999999999157</v>
      </c>
      <c r="K32" s="41">
        <v>94.863861386139021</v>
      </c>
      <c r="L32" s="46">
        <v>45915</v>
      </c>
      <c r="M32" s="44">
        <v>1</v>
      </c>
      <c r="N32" s="34"/>
    </row>
    <row r="33" spans="1:14" x14ac:dyDescent="0.25">
      <c r="A33" s="39" t="s">
        <v>120</v>
      </c>
      <c r="B33" s="45">
        <v>1.95</v>
      </c>
      <c r="C33" s="45">
        <v>69.52</v>
      </c>
      <c r="D33" s="45">
        <v>69.849999999999994</v>
      </c>
      <c r="E33" s="45">
        <f t="shared" si="0"/>
        <v>0.32999999999999829</v>
      </c>
      <c r="F33" s="41">
        <v>70.88</v>
      </c>
      <c r="G33" s="41">
        <v>72.45</v>
      </c>
      <c r="H33" s="41">
        <v>1.5700000000000074</v>
      </c>
      <c r="I33" s="41">
        <v>80.772032046613418</v>
      </c>
      <c r="J33" s="41">
        <v>0.23374999999999435</v>
      </c>
      <c r="K33" s="41">
        <v>88.012820512820795</v>
      </c>
      <c r="L33" s="47">
        <v>45930</v>
      </c>
      <c r="M33" s="45">
        <v>2</v>
      </c>
      <c r="N33" s="34"/>
    </row>
    <row r="34" spans="1:14" x14ac:dyDescent="0.25">
      <c r="A34" s="39" t="s">
        <v>120</v>
      </c>
      <c r="B34" s="45">
        <v>1.98</v>
      </c>
      <c r="C34" s="45">
        <v>69.069999999999993</v>
      </c>
      <c r="D34" s="45">
        <v>69.34</v>
      </c>
      <c r="E34" s="45">
        <f t="shared" si="0"/>
        <v>0.27000000000001023</v>
      </c>
      <c r="F34" s="41">
        <v>69.73</v>
      </c>
      <c r="G34" s="41">
        <v>71.36</v>
      </c>
      <c r="H34" s="41">
        <v>1.6299999999999955</v>
      </c>
      <c r="I34" s="41">
        <v>84.268026219955757</v>
      </c>
      <c r="J34" s="41">
        <v>0.26374999999999438</v>
      </c>
      <c r="K34" s="41">
        <v>86.679292929293212</v>
      </c>
      <c r="L34" s="47">
        <v>45940</v>
      </c>
      <c r="M34" s="45">
        <v>3</v>
      </c>
      <c r="N34" s="34"/>
    </row>
    <row r="35" spans="1:14" x14ac:dyDescent="0.25">
      <c r="A35" s="39" t="s">
        <v>142</v>
      </c>
      <c r="B35" s="45">
        <v>1.97</v>
      </c>
      <c r="C35" s="45">
        <v>70.010000000000005</v>
      </c>
      <c r="D35" s="45">
        <v>70.760000000000005</v>
      </c>
      <c r="E35" s="45">
        <f t="shared" si="0"/>
        <v>0.75</v>
      </c>
      <c r="F35" s="41">
        <v>69.930000000000007</v>
      </c>
      <c r="G35" s="41">
        <v>71.260000000000005</v>
      </c>
      <c r="H35" s="41">
        <v>1.3299999999999983</v>
      </c>
      <c r="I35" s="41">
        <v>60.448253131179918</v>
      </c>
      <c r="J35" s="41">
        <v>7.3750000000001759E-2</v>
      </c>
      <c r="K35" s="41">
        <v>96.256345177664883</v>
      </c>
      <c r="L35" s="47">
        <v>45925</v>
      </c>
      <c r="M35" s="45">
        <v>1</v>
      </c>
      <c r="N35" s="34"/>
    </row>
    <row r="36" spans="1:14" x14ac:dyDescent="0.25">
      <c r="A36" s="39" t="s">
        <v>142</v>
      </c>
      <c r="B36" s="45">
        <v>2.04</v>
      </c>
      <c r="C36" s="45">
        <v>71.430000000000007</v>
      </c>
      <c r="D36" s="45">
        <v>72.209999999999994</v>
      </c>
      <c r="E36" s="45">
        <f t="shared" si="0"/>
        <v>0.77999999999998693</v>
      </c>
      <c r="F36" s="41">
        <v>71.260000000000005</v>
      </c>
      <c r="G36" s="41">
        <v>72.59</v>
      </c>
      <c r="H36" s="41">
        <v>1.3299999999999983</v>
      </c>
      <c r="I36" s="41">
        <v>59.506813757300826</v>
      </c>
      <c r="J36" s="41">
        <v>0.11375000000001489</v>
      </c>
      <c r="K36" s="41">
        <v>94.424019607842396</v>
      </c>
      <c r="L36" s="47">
        <v>45932</v>
      </c>
      <c r="M36" s="45">
        <v>2</v>
      </c>
      <c r="N36" s="34"/>
    </row>
    <row r="37" spans="1:14" x14ac:dyDescent="0.25">
      <c r="A37" s="39" t="s">
        <v>142</v>
      </c>
      <c r="B37" s="45">
        <v>1.96</v>
      </c>
      <c r="C37" s="45">
        <v>69.459999999999994</v>
      </c>
      <c r="D37" s="45">
        <v>70.239999999999995</v>
      </c>
      <c r="E37" s="45">
        <f t="shared" si="0"/>
        <v>0.78000000000000114</v>
      </c>
      <c r="F37" s="41">
        <v>71.41</v>
      </c>
      <c r="G37" s="41">
        <v>72.7</v>
      </c>
      <c r="H37" s="41">
        <v>1.2900000000000063</v>
      </c>
      <c r="I37" s="41">
        <v>58.648111332008057</v>
      </c>
      <c r="J37" s="41">
        <v>7.3749999999992655E-2</v>
      </c>
      <c r="K37" s="41">
        <v>96.237244897959556</v>
      </c>
      <c r="L37" s="47">
        <v>45943</v>
      </c>
      <c r="M37" s="45">
        <v>3</v>
      </c>
      <c r="N37" s="34"/>
    </row>
    <row r="38" spans="1:14" x14ac:dyDescent="0.25">
      <c r="A38" s="39" t="s">
        <v>143</v>
      </c>
      <c r="B38" s="45">
        <v>1.97</v>
      </c>
      <c r="C38" s="45">
        <v>69.77</v>
      </c>
      <c r="D38" s="45">
        <v>70.13</v>
      </c>
      <c r="E38" s="45">
        <f t="shared" si="0"/>
        <v>0.35999999999999943</v>
      </c>
      <c r="F38" s="41">
        <v>68.760000000000005</v>
      </c>
      <c r="G38" s="41">
        <v>70.430000000000007</v>
      </c>
      <c r="H38" s="41">
        <v>1.6700000000000017</v>
      </c>
      <c r="I38" s="41">
        <v>80.501015572105658</v>
      </c>
      <c r="J38" s="41">
        <v>0.12374999999999892</v>
      </c>
      <c r="K38" s="41">
        <v>93.718274111675186</v>
      </c>
      <c r="L38" s="47">
        <v>45925</v>
      </c>
      <c r="M38" s="45">
        <v>1</v>
      </c>
      <c r="N38" s="34"/>
    </row>
    <row r="39" spans="1:14" x14ac:dyDescent="0.25">
      <c r="A39" s="39" t="s">
        <v>143</v>
      </c>
      <c r="B39" s="45">
        <v>2.02</v>
      </c>
      <c r="C39" s="45">
        <v>70.290000000000006</v>
      </c>
      <c r="D39" s="45">
        <v>70.69</v>
      </c>
      <c r="E39" s="45">
        <f t="shared" si="0"/>
        <v>0.39999999999999147</v>
      </c>
      <c r="F39" s="41">
        <v>70.64</v>
      </c>
      <c r="G39" s="41">
        <v>72.3</v>
      </c>
      <c r="H39" s="41">
        <v>1.6599999999999966</v>
      </c>
      <c r="I39" s="41">
        <v>78.680879413724497</v>
      </c>
      <c r="J39" s="41">
        <v>0.14375000000001203</v>
      </c>
      <c r="K39" s="41">
        <v>92.883663366336037</v>
      </c>
      <c r="L39" s="47">
        <v>45932</v>
      </c>
      <c r="M39" s="45">
        <v>2</v>
      </c>
      <c r="N39" s="34"/>
    </row>
    <row r="40" spans="1:14" x14ac:dyDescent="0.25">
      <c r="A40" s="39" t="s">
        <v>143</v>
      </c>
      <c r="B40" s="45">
        <v>1.97</v>
      </c>
      <c r="C40" s="45">
        <v>69.47</v>
      </c>
      <c r="D40" s="45">
        <v>69.87</v>
      </c>
      <c r="E40" s="45">
        <f t="shared" si="0"/>
        <v>0.40000000000000568</v>
      </c>
      <c r="F40" s="41">
        <v>69.989999999999995</v>
      </c>
      <c r="G40" s="41">
        <v>71.599999999999994</v>
      </c>
      <c r="H40" s="41">
        <v>1.6099999999999994</v>
      </c>
      <c r="I40" s="41">
        <v>78.097193702942931</v>
      </c>
      <c r="J40" s="41">
        <v>0.14374999999999494</v>
      </c>
      <c r="K40" s="41">
        <v>92.703045685279434</v>
      </c>
      <c r="L40" s="47">
        <v>45940</v>
      </c>
      <c r="M40" s="45">
        <v>3</v>
      </c>
      <c r="N40" s="34"/>
    </row>
    <row r="41" spans="1:14" x14ac:dyDescent="0.25">
      <c r="A41" s="37" t="s">
        <v>73</v>
      </c>
      <c r="B41" s="44">
        <v>2.02</v>
      </c>
      <c r="C41" s="44">
        <v>69.349999999999994</v>
      </c>
      <c r="D41" s="44">
        <v>69.900000000000006</v>
      </c>
      <c r="E41" s="45">
        <f t="shared" si="0"/>
        <v>0.55000000000001137</v>
      </c>
      <c r="F41" s="41">
        <v>70.17</v>
      </c>
      <c r="G41" s="41">
        <v>71.7</v>
      </c>
      <c r="H41" s="41">
        <v>1.5300000000000011</v>
      </c>
      <c r="I41" s="41">
        <v>70.995385629531555</v>
      </c>
      <c r="J41" s="41">
        <v>0.12374999999998759</v>
      </c>
      <c r="K41" s="41">
        <v>93.873762376238233</v>
      </c>
      <c r="L41" s="46">
        <v>45910</v>
      </c>
      <c r="M41" s="44">
        <v>1</v>
      </c>
      <c r="N41" s="34"/>
    </row>
    <row r="42" spans="1:14" x14ac:dyDescent="0.25">
      <c r="A42" s="39" t="s">
        <v>73</v>
      </c>
      <c r="B42" s="45">
        <v>1.97</v>
      </c>
      <c r="C42" s="45">
        <v>68.569999999999993</v>
      </c>
      <c r="D42" s="45">
        <v>69.319999999999993</v>
      </c>
      <c r="E42" s="45">
        <f t="shared" si="0"/>
        <v>0.75</v>
      </c>
      <c r="F42" s="41">
        <v>68.680000000000007</v>
      </c>
      <c r="G42" s="41">
        <v>69.930000000000007</v>
      </c>
      <c r="H42" s="41">
        <v>1.25</v>
      </c>
      <c r="I42" s="41">
        <v>58.706125258086715</v>
      </c>
      <c r="J42" s="41">
        <v>0.15375000000000005</v>
      </c>
      <c r="K42" s="41">
        <v>92.195431472081211</v>
      </c>
      <c r="L42" s="47">
        <v>45932</v>
      </c>
      <c r="M42" s="45">
        <v>2</v>
      </c>
      <c r="N42" s="34"/>
    </row>
    <row r="43" spans="1:14" x14ac:dyDescent="0.25">
      <c r="A43" s="39" t="s">
        <v>73</v>
      </c>
      <c r="B43" s="45">
        <v>1.98</v>
      </c>
      <c r="C43" s="45">
        <v>68.650000000000006</v>
      </c>
      <c r="D43" s="45">
        <v>69.41</v>
      </c>
      <c r="E43" s="45">
        <f t="shared" si="0"/>
        <v>0.75999999999999091</v>
      </c>
      <c r="F43" s="41">
        <v>70.25</v>
      </c>
      <c r="G43" s="41">
        <v>71.56</v>
      </c>
      <c r="H43" s="41">
        <v>1.3100000000000023</v>
      </c>
      <c r="I43" s="41">
        <v>59.708416169649105</v>
      </c>
      <c r="J43" s="41">
        <v>9.3750000000006883E-2</v>
      </c>
      <c r="K43" s="41">
        <v>95.265151515151175</v>
      </c>
      <c r="L43" s="47">
        <v>45936</v>
      </c>
      <c r="M43" s="45">
        <v>3</v>
      </c>
      <c r="N43" s="34"/>
    </row>
    <row r="44" spans="1:14" x14ac:dyDescent="0.25">
      <c r="A44" s="39" t="s">
        <v>135</v>
      </c>
      <c r="B44" s="45">
        <v>2.0099999999999998</v>
      </c>
      <c r="C44" s="45">
        <v>70.709999999999994</v>
      </c>
      <c r="D44" s="45">
        <v>71.400000000000006</v>
      </c>
      <c r="E44" s="45">
        <f t="shared" si="0"/>
        <v>0.69000000000001194</v>
      </c>
      <c r="F44" s="41">
        <v>69.08</v>
      </c>
      <c r="G44" s="41">
        <v>70.48</v>
      </c>
      <c r="H44" s="41">
        <v>1.4000000000000057</v>
      </c>
      <c r="I44" s="41">
        <v>63.803278688524301</v>
      </c>
      <c r="J44" s="41">
        <v>0.10374999999998225</v>
      </c>
      <c r="K44" s="41">
        <v>94.83830845771233</v>
      </c>
      <c r="L44" s="47">
        <v>45925</v>
      </c>
      <c r="M44" s="45">
        <v>1</v>
      </c>
      <c r="N44" s="34"/>
    </row>
    <row r="45" spans="1:14" x14ac:dyDescent="0.25">
      <c r="A45" s="39" t="s">
        <v>135</v>
      </c>
      <c r="B45" s="45">
        <v>1.97</v>
      </c>
      <c r="C45" s="45">
        <v>69.739999999999995</v>
      </c>
      <c r="D45" s="45">
        <v>70.48</v>
      </c>
      <c r="E45" s="45">
        <f t="shared" si="0"/>
        <v>0.74000000000000909</v>
      </c>
      <c r="F45" s="41">
        <v>69.64</v>
      </c>
      <c r="G45" s="41">
        <v>70.94</v>
      </c>
      <c r="H45" s="41">
        <v>1.2999999999999972</v>
      </c>
      <c r="I45" s="41">
        <v>60.134680134679776</v>
      </c>
      <c r="J45" s="41">
        <v>0.1137499999999938</v>
      </c>
      <c r="K45" s="41">
        <v>94.225888324873409</v>
      </c>
      <c r="L45" s="47">
        <v>45930</v>
      </c>
      <c r="M45" s="45">
        <v>2</v>
      </c>
      <c r="N45" s="34"/>
    </row>
    <row r="46" spans="1:14" x14ac:dyDescent="0.25">
      <c r="A46" s="39" t="s">
        <v>135</v>
      </c>
      <c r="B46" s="45">
        <v>1.97</v>
      </c>
      <c r="C46" s="45">
        <v>69.31</v>
      </c>
      <c r="D46" s="45">
        <v>69.98</v>
      </c>
      <c r="E46" s="45">
        <f t="shared" si="0"/>
        <v>0.67000000000000171</v>
      </c>
      <c r="F46" s="41">
        <v>70.88</v>
      </c>
      <c r="G46" s="41">
        <v>72.209999999999994</v>
      </c>
      <c r="H46" s="41">
        <v>1.3299999999999983</v>
      </c>
      <c r="I46" s="41">
        <v>63.110805230557375</v>
      </c>
      <c r="J46" s="41">
        <v>0.15375000000000005</v>
      </c>
      <c r="K46" s="41">
        <v>92.195431472081211</v>
      </c>
      <c r="L46" s="47">
        <v>45943</v>
      </c>
      <c r="M46" s="45">
        <v>3</v>
      </c>
      <c r="N46" s="34"/>
    </row>
    <row r="47" spans="1:14" x14ac:dyDescent="0.25">
      <c r="A47" s="39" t="s">
        <v>147</v>
      </c>
      <c r="B47" s="45">
        <v>2.0099999999999998</v>
      </c>
      <c r="C47" s="45">
        <v>69.64</v>
      </c>
      <c r="D47" s="45">
        <v>70.08</v>
      </c>
      <c r="E47" s="45">
        <f t="shared" si="0"/>
        <v>0.43999999999999773</v>
      </c>
      <c r="F47" s="41">
        <v>70.430000000000007</v>
      </c>
      <c r="G47" s="41">
        <v>72.02</v>
      </c>
      <c r="H47" s="41">
        <v>1.5899999999999892</v>
      </c>
      <c r="I47" s="41">
        <v>76.167907921462373</v>
      </c>
      <c r="J47" s="41">
        <v>0.16375000000001294</v>
      </c>
      <c r="K47" s="41">
        <v>91.853233830845127</v>
      </c>
      <c r="L47" s="47">
        <v>45925</v>
      </c>
      <c r="M47" s="45">
        <v>1</v>
      </c>
      <c r="N47" s="34"/>
    </row>
    <row r="48" spans="1:14" x14ac:dyDescent="0.25">
      <c r="A48" s="39" t="s">
        <v>147</v>
      </c>
      <c r="B48" s="45">
        <v>2.0299999999999998</v>
      </c>
      <c r="C48" s="45">
        <v>70.64</v>
      </c>
      <c r="D48" s="45">
        <v>71.099999999999994</v>
      </c>
      <c r="E48" s="45">
        <f t="shared" si="0"/>
        <v>0.45999999999999375</v>
      </c>
      <c r="F48" s="41">
        <v>70.819999999999993</v>
      </c>
      <c r="G48" s="41">
        <v>72.45</v>
      </c>
      <c r="H48" s="41">
        <v>1.6300000000000097</v>
      </c>
      <c r="I48" s="41">
        <v>75.868852459016765</v>
      </c>
      <c r="J48" s="41">
        <v>0.12374999999999647</v>
      </c>
      <c r="K48" s="41">
        <v>93.903940886699672</v>
      </c>
      <c r="L48" s="47">
        <v>45936</v>
      </c>
      <c r="M48" s="45">
        <v>2</v>
      </c>
      <c r="N48" s="34"/>
    </row>
    <row r="49" spans="1:14" x14ac:dyDescent="0.25">
      <c r="A49" s="39" t="s">
        <v>147</v>
      </c>
      <c r="B49" s="45">
        <v>1.96</v>
      </c>
      <c r="C49" s="45">
        <v>73.81</v>
      </c>
      <c r="D49" s="45">
        <v>74.290000000000006</v>
      </c>
      <c r="E49" s="45">
        <f t="shared" si="0"/>
        <v>0.48000000000000398</v>
      </c>
      <c r="F49" s="41">
        <v>70.42</v>
      </c>
      <c r="G49" s="41">
        <v>71.900000000000006</v>
      </c>
      <c r="H49" s="41">
        <v>1.480000000000004</v>
      </c>
      <c r="I49" s="41">
        <v>72.976776917663514</v>
      </c>
      <c r="J49" s="41">
        <v>0.18374999999999209</v>
      </c>
      <c r="K49" s="41">
        <v>90.625000000000398</v>
      </c>
      <c r="L49" s="47">
        <v>45943</v>
      </c>
      <c r="M49" s="45">
        <v>3</v>
      </c>
      <c r="N49" s="34"/>
    </row>
    <row r="50" spans="1:14" x14ac:dyDescent="0.25">
      <c r="A50" s="37" t="s">
        <v>132</v>
      </c>
      <c r="B50" s="44">
        <v>1.96</v>
      </c>
      <c r="C50" s="44">
        <v>42.21</v>
      </c>
      <c r="D50" s="44">
        <v>42.59</v>
      </c>
      <c r="E50" s="45">
        <f t="shared" si="0"/>
        <v>0.38000000000000256</v>
      </c>
      <c r="F50" s="41">
        <v>69.430000000000007</v>
      </c>
      <c r="G50" s="41">
        <v>71.040000000000006</v>
      </c>
      <c r="H50" s="41">
        <v>1.6099999999999994</v>
      </c>
      <c r="I50" s="41">
        <v>78.961937716262852</v>
      </c>
      <c r="J50" s="41">
        <v>0.15374999999999805</v>
      </c>
      <c r="K50" s="41">
        <v>92.155612244898052</v>
      </c>
      <c r="L50" s="46">
        <v>45924</v>
      </c>
      <c r="M50" s="44">
        <v>1</v>
      </c>
      <c r="N50" s="34"/>
    </row>
    <row r="51" spans="1:14" x14ac:dyDescent="0.25">
      <c r="A51" s="39" t="s">
        <v>132</v>
      </c>
      <c r="B51" s="45">
        <v>1.98</v>
      </c>
      <c r="C51" s="45">
        <v>69.09</v>
      </c>
      <c r="D51" s="45">
        <v>69.59</v>
      </c>
      <c r="E51" s="45">
        <f t="shared" si="0"/>
        <v>0.5</v>
      </c>
      <c r="F51" s="41">
        <v>69.41</v>
      </c>
      <c r="G51" s="41">
        <v>70.900000000000006</v>
      </c>
      <c r="H51" s="41">
        <v>1.4900000000000091</v>
      </c>
      <c r="I51" s="41">
        <v>72.318339100346165</v>
      </c>
      <c r="J51" s="41">
        <v>0.17374999999999097</v>
      </c>
      <c r="K51" s="41">
        <v>91.224747474747943</v>
      </c>
      <c r="L51" s="47">
        <v>45930</v>
      </c>
      <c r="M51" s="45">
        <v>2</v>
      </c>
      <c r="N51" s="34"/>
    </row>
    <row r="52" spans="1:14" x14ac:dyDescent="0.25">
      <c r="A52" s="39" t="s">
        <v>132</v>
      </c>
      <c r="B52" s="45">
        <v>2.0499999999999998</v>
      </c>
      <c r="C52" s="45">
        <v>69.239999999999995</v>
      </c>
      <c r="D52" s="45">
        <v>69.67</v>
      </c>
      <c r="E52" s="45">
        <f t="shared" si="0"/>
        <v>0.43000000000000682</v>
      </c>
      <c r="F52" s="41">
        <v>69.63</v>
      </c>
      <c r="G52" s="41">
        <v>71.239999999999995</v>
      </c>
      <c r="H52" s="41">
        <v>1.6099999999999994</v>
      </c>
      <c r="I52" s="41">
        <v>76.835016835016546</v>
      </c>
      <c r="J52" s="41">
        <v>0.19374999999999365</v>
      </c>
      <c r="K52" s="41">
        <v>90.548780487805189</v>
      </c>
      <c r="L52" s="47">
        <v>45940</v>
      </c>
      <c r="M52" s="45">
        <v>3</v>
      </c>
      <c r="N52" s="34"/>
    </row>
    <row r="53" spans="1:14" x14ac:dyDescent="0.25">
      <c r="A53" s="37" t="s">
        <v>123</v>
      </c>
      <c r="B53" s="44">
        <v>1.98</v>
      </c>
      <c r="C53" s="44">
        <v>70.040000000000006</v>
      </c>
      <c r="D53" s="44">
        <v>70.61</v>
      </c>
      <c r="E53" s="45">
        <f t="shared" si="0"/>
        <v>0.56999999999999318</v>
      </c>
      <c r="F53" s="41">
        <v>70.22</v>
      </c>
      <c r="G53" s="41">
        <v>71.72</v>
      </c>
      <c r="H53" s="41">
        <v>1.5</v>
      </c>
      <c r="I53" s="41">
        <v>69.781312127236831</v>
      </c>
      <c r="J53" s="41">
        <v>9.3750000000006883E-2</v>
      </c>
      <c r="K53" s="41">
        <v>95.265151515151175</v>
      </c>
      <c r="L53" s="46">
        <v>45915</v>
      </c>
      <c r="M53" s="44">
        <v>1</v>
      </c>
      <c r="N53" s="34"/>
    </row>
    <row r="54" spans="1:14" x14ac:dyDescent="0.25">
      <c r="A54" s="39" t="s">
        <v>123</v>
      </c>
      <c r="B54" s="45">
        <v>1.95</v>
      </c>
      <c r="C54" s="45">
        <v>70.010000000000005</v>
      </c>
      <c r="D54" s="45">
        <v>70.55</v>
      </c>
      <c r="E54" s="45">
        <f t="shared" si="0"/>
        <v>0.53999999999999204</v>
      </c>
      <c r="F54" s="41">
        <v>69.67</v>
      </c>
      <c r="G54" s="41">
        <v>71.12</v>
      </c>
      <c r="H54" s="41">
        <v>1.4500000000000028</v>
      </c>
      <c r="I54" s="41">
        <v>70.103806228374054</v>
      </c>
      <c r="J54" s="41">
        <v>0.14375000000000515</v>
      </c>
      <c r="K54" s="41">
        <v>92.628205128204868</v>
      </c>
      <c r="L54" s="47">
        <v>45943</v>
      </c>
      <c r="M54" s="45">
        <v>3</v>
      </c>
      <c r="N54" s="34"/>
    </row>
    <row r="55" spans="1:14" x14ac:dyDescent="0.25">
      <c r="A55" s="39" t="s">
        <v>123</v>
      </c>
      <c r="B55" s="45">
        <v>2.0099999999999998</v>
      </c>
      <c r="C55" s="45">
        <v>71.040000000000006</v>
      </c>
      <c r="D55" s="45">
        <v>71.53</v>
      </c>
      <c r="E55" s="45">
        <f t="shared" si="0"/>
        <v>0.48999999999999488</v>
      </c>
      <c r="F55" s="41">
        <v>70.540000000000006</v>
      </c>
      <c r="G55" s="41">
        <v>72.09</v>
      </c>
      <c r="H55" s="41">
        <v>1.5499999999999972</v>
      </c>
      <c r="I55" s="41">
        <v>73.602693602693776</v>
      </c>
      <c r="J55" s="41">
        <v>0.15375000000000782</v>
      </c>
      <c r="K55" s="41">
        <v>92.350746268656323</v>
      </c>
      <c r="L55" s="47">
        <v>45944</v>
      </c>
      <c r="M55" s="45">
        <v>3</v>
      </c>
      <c r="N55" s="34"/>
    </row>
    <row r="56" spans="1:14" x14ac:dyDescent="0.25">
      <c r="A56" s="37" t="s">
        <v>118</v>
      </c>
      <c r="B56" s="44">
        <v>2.04</v>
      </c>
      <c r="C56" s="44">
        <v>68.52</v>
      </c>
      <c r="D56" s="44">
        <v>68.87</v>
      </c>
      <c r="E56" s="45">
        <f t="shared" si="0"/>
        <v>0.35000000000000853</v>
      </c>
      <c r="F56" s="41">
        <v>69.569999999999993</v>
      </c>
      <c r="G56" s="41">
        <v>71.37</v>
      </c>
      <c r="H56" s="41">
        <v>1.8000000000000114</v>
      </c>
      <c r="I56" s="41">
        <v>82.199618563254674</v>
      </c>
      <c r="J56" s="41">
        <v>7.374999999998022E-2</v>
      </c>
      <c r="K56" s="41">
        <v>96.384803921569599</v>
      </c>
      <c r="L56" s="46">
        <v>45915</v>
      </c>
      <c r="M56" s="44">
        <v>1</v>
      </c>
      <c r="N56" s="34"/>
    </row>
    <row r="57" spans="1:14" x14ac:dyDescent="0.25">
      <c r="A57" s="39" t="s">
        <v>118</v>
      </c>
      <c r="B57" s="45">
        <v>1.96</v>
      </c>
      <c r="C57" s="45">
        <v>71.28</v>
      </c>
      <c r="D57" s="45">
        <v>71.62</v>
      </c>
      <c r="E57" s="45">
        <f t="shared" si="0"/>
        <v>0.34000000000000341</v>
      </c>
      <c r="F57" s="41">
        <v>70.510000000000005</v>
      </c>
      <c r="G57" s="41">
        <v>72.2</v>
      </c>
      <c r="H57" s="41">
        <v>1.6899999999999977</v>
      </c>
      <c r="I57" s="41">
        <v>81.584292484766237</v>
      </c>
      <c r="J57" s="41">
        <v>0.11374999999999891</v>
      </c>
      <c r="K57" s="41">
        <v>94.196428571428626</v>
      </c>
      <c r="L57" s="47">
        <v>45932</v>
      </c>
      <c r="M57" s="45">
        <v>2</v>
      </c>
      <c r="N57" s="34"/>
    </row>
    <row r="58" spans="1:14" x14ac:dyDescent="0.25">
      <c r="A58" s="39" t="s">
        <v>118</v>
      </c>
      <c r="B58" s="45">
        <v>2.0099999999999998</v>
      </c>
      <c r="C58" s="45">
        <v>69.98</v>
      </c>
      <c r="D58" s="45">
        <v>70.27</v>
      </c>
      <c r="E58" s="45">
        <f t="shared" si="0"/>
        <v>0.28999999999999204</v>
      </c>
      <c r="F58" s="41">
        <v>70.7</v>
      </c>
      <c r="G58" s="41">
        <v>72.47</v>
      </c>
      <c r="H58" s="41">
        <v>1.769999999999996</v>
      </c>
      <c r="I58" s="41">
        <v>84.543637574950353</v>
      </c>
      <c r="J58" s="41">
        <v>0.1337500000000118</v>
      </c>
      <c r="K58" s="41">
        <v>93.345771144278018</v>
      </c>
      <c r="L58" s="47">
        <v>45943</v>
      </c>
      <c r="M58" s="45">
        <v>3</v>
      </c>
      <c r="N58" s="34"/>
    </row>
    <row r="59" spans="1:14" x14ac:dyDescent="0.25">
      <c r="A59" s="37" t="s">
        <v>81</v>
      </c>
      <c r="B59" s="44">
        <v>2.0099999999999998</v>
      </c>
      <c r="C59" s="44">
        <v>70.510000000000005</v>
      </c>
      <c r="D59" s="44">
        <v>70.88</v>
      </c>
      <c r="E59" s="45">
        <f t="shared" si="0"/>
        <v>0.36999999999999034</v>
      </c>
      <c r="F59" s="41">
        <v>68.03</v>
      </c>
      <c r="G59" s="41">
        <v>69.739999999999995</v>
      </c>
      <c r="H59" s="41">
        <v>1.7099999999999937</v>
      </c>
      <c r="I59" s="41">
        <v>80.487804878049133</v>
      </c>
      <c r="J59" s="41">
        <v>0.11375000000001578</v>
      </c>
      <c r="K59" s="41">
        <v>94.340796019899713</v>
      </c>
      <c r="L59" s="46">
        <v>45910</v>
      </c>
      <c r="M59" s="44">
        <v>1</v>
      </c>
      <c r="N59" s="34"/>
    </row>
    <row r="60" spans="1:14" x14ac:dyDescent="0.25">
      <c r="A60" s="39" t="s">
        <v>81</v>
      </c>
      <c r="B60" s="45">
        <v>1.98</v>
      </c>
      <c r="C60" s="45">
        <v>69.17</v>
      </c>
      <c r="D60" s="45">
        <v>69.53</v>
      </c>
      <c r="E60" s="45">
        <f t="shared" si="0"/>
        <v>0.35999999999999943</v>
      </c>
      <c r="F60" s="41">
        <v>68.010000000000005</v>
      </c>
      <c r="G60" s="41">
        <v>69.66</v>
      </c>
      <c r="H60" s="41">
        <v>1.6499999999999915</v>
      </c>
      <c r="I60" s="41">
        <v>80.287474332648799</v>
      </c>
      <c r="J60" s="41">
        <v>0.15375000000000916</v>
      </c>
      <c r="K60" s="41">
        <v>92.234848484848015</v>
      </c>
      <c r="L60" s="47">
        <v>45944</v>
      </c>
      <c r="M60" s="45">
        <v>3</v>
      </c>
      <c r="N60" s="34"/>
    </row>
    <row r="61" spans="1:14" x14ac:dyDescent="0.25">
      <c r="A61" s="37" t="s">
        <v>94</v>
      </c>
      <c r="B61" s="44">
        <v>1.98</v>
      </c>
      <c r="C61" s="44">
        <v>70.650000000000006</v>
      </c>
      <c r="D61" s="44">
        <v>71.08</v>
      </c>
      <c r="E61" s="45">
        <f t="shared" si="0"/>
        <v>0.42999999999999261</v>
      </c>
      <c r="F61" s="41">
        <v>70.64</v>
      </c>
      <c r="G61" s="41">
        <v>72.31</v>
      </c>
      <c r="H61" s="41">
        <v>1.6700000000000017</v>
      </c>
      <c r="I61" s="41">
        <v>77.56033920417515</v>
      </c>
      <c r="J61" s="41">
        <v>6.3750000000005747E-2</v>
      </c>
      <c r="K61" s="41">
        <v>96.780303030302733</v>
      </c>
      <c r="L61" s="46">
        <v>45912</v>
      </c>
      <c r="M61" s="44">
        <v>1</v>
      </c>
      <c r="N61" s="34"/>
    </row>
    <row r="62" spans="1:14" x14ac:dyDescent="0.25">
      <c r="A62" s="39" t="s">
        <v>94</v>
      </c>
      <c r="B62" s="45">
        <v>1.97</v>
      </c>
      <c r="C62" s="45">
        <v>69.489999999999995</v>
      </c>
      <c r="D62" s="45">
        <v>69.92</v>
      </c>
      <c r="E62" s="45">
        <f t="shared" si="0"/>
        <v>0.43000000000000682</v>
      </c>
      <c r="F62" s="41">
        <v>69.48</v>
      </c>
      <c r="G62" s="41">
        <v>71.069999999999993</v>
      </c>
      <c r="H62" s="41">
        <v>1.5899999999999892</v>
      </c>
      <c r="I62" s="41">
        <v>76.582709326071736</v>
      </c>
      <c r="J62" s="41">
        <v>0.13375000000000403</v>
      </c>
      <c r="K62" s="41">
        <v>93.210659898476962</v>
      </c>
      <c r="L62" s="47">
        <v>45930</v>
      </c>
      <c r="M62" s="45">
        <v>2</v>
      </c>
      <c r="N62" s="34"/>
    </row>
    <row r="63" spans="1:14" x14ac:dyDescent="0.25">
      <c r="A63" s="39" t="s">
        <v>94</v>
      </c>
      <c r="B63" s="45">
        <v>2.0299999999999998</v>
      </c>
      <c r="C63" s="45">
        <v>68.3</v>
      </c>
      <c r="D63" s="45">
        <v>68.7</v>
      </c>
      <c r="E63" s="45">
        <f t="shared" si="0"/>
        <v>0.40000000000000568</v>
      </c>
      <c r="F63" s="41">
        <v>70.510000000000005</v>
      </c>
      <c r="G63" s="41">
        <v>72.2</v>
      </c>
      <c r="H63" s="41">
        <v>1.6899999999999977</v>
      </c>
      <c r="I63" s="41">
        <v>79.016393442622686</v>
      </c>
      <c r="J63" s="41">
        <v>0.12374999999999647</v>
      </c>
      <c r="K63" s="41">
        <v>93.903940886699672</v>
      </c>
      <c r="L63" s="47">
        <v>45943</v>
      </c>
      <c r="M63" s="45">
        <v>3</v>
      </c>
      <c r="N63" s="34"/>
    </row>
    <row r="64" spans="1:14" x14ac:dyDescent="0.25">
      <c r="A64" s="37" t="s">
        <v>72</v>
      </c>
      <c r="B64" s="44">
        <v>2</v>
      </c>
      <c r="C64" s="44">
        <v>68.55</v>
      </c>
      <c r="D64" s="44">
        <v>68.739999999999995</v>
      </c>
      <c r="E64" s="45">
        <f t="shared" si="0"/>
        <v>0.18999999999999773</v>
      </c>
      <c r="F64" s="41">
        <v>69.3</v>
      </c>
      <c r="G64" s="41">
        <v>71.180000000000007</v>
      </c>
      <c r="H64" s="41">
        <v>1.8800000000000097</v>
      </c>
      <c r="I64" s="41">
        <v>89.927104042412353</v>
      </c>
      <c r="J64" s="41">
        <v>0.11374999999999269</v>
      </c>
      <c r="K64" s="41">
        <v>94.312500000000369</v>
      </c>
      <c r="L64" s="46">
        <v>45910</v>
      </c>
      <c r="M64" s="44">
        <v>1</v>
      </c>
      <c r="N64" s="34"/>
    </row>
    <row r="65" spans="1:13" x14ac:dyDescent="0.25">
      <c r="A65" s="39" t="s">
        <v>72</v>
      </c>
      <c r="B65" s="45">
        <v>2</v>
      </c>
      <c r="C65" s="45">
        <v>67.819999999999993</v>
      </c>
      <c r="D65" s="45">
        <v>68.03</v>
      </c>
      <c r="E65" s="45">
        <f t="shared" si="0"/>
        <v>0.21000000000000796</v>
      </c>
      <c r="F65" s="41">
        <v>68.569999999999993</v>
      </c>
      <c r="G65" s="41">
        <v>69.77</v>
      </c>
      <c r="H65" s="41">
        <v>1.2000000000000028</v>
      </c>
      <c r="I65" s="41">
        <v>82.874617737002552</v>
      </c>
      <c r="J65" s="41">
        <v>0.77374999999998928</v>
      </c>
      <c r="K65" s="41">
        <v>61.312500000000533</v>
      </c>
      <c r="L65" s="47">
        <v>45925</v>
      </c>
      <c r="M65" s="45">
        <v>2</v>
      </c>
    </row>
    <row r="66" spans="1:13" x14ac:dyDescent="0.25">
      <c r="A66" s="39" t="s">
        <v>72</v>
      </c>
      <c r="B66" s="45">
        <v>2</v>
      </c>
      <c r="C66" s="45">
        <v>70.16</v>
      </c>
      <c r="D66" s="45">
        <v>70.45</v>
      </c>
      <c r="E66" s="45">
        <f t="shared" ref="E66:E129" si="1">D66-C66</f>
        <v>0.29000000000000625</v>
      </c>
      <c r="F66" s="41">
        <v>68.09</v>
      </c>
      <c r="G66" s="41">
        <v>69.89</v>
      </c>
      <c r="H66" s="41">
        <v>1.7999999999999972</v>
      </c>
      <c r="I66" s="41">
        <v>84.786885245901331</v>
      </c>
      <c r="J66" s="41">
        <v>9.3749999999996669E-2</v>
      </c>
      <c r="K66" s="41">
        <v>95.312500000000171</v>
      </c>
      <c r="L66" s="47">
        <v>45936</v>
      </c>
      <c r="M66" s="45">
        <v>3</v>
      </c>
    </row>
    <row r="67" spans="1:13" x14ac:dyDescent="0.25">
      <c r="A67" s="39" t="s">
        <v>72</v>
      </c>
      <c r="B67" s="45">
        <v>2.0499999999999998</v>
      </c>
      <c r="C67" s="45">
        <v>70.06</v>
      </c>
      <c r="D67" s="45">
        <v>70.27</v>
      </c>
      <c r="E67" s="45">
        <f t="shared" si="1"/>
        <v>0.20999999999999375</v>
      </c>
      <c r="F67" s="41">
        <v>69.849999999999994</v>
      </c>
      <c r="G67" s="41">
        <v>71.75</v>
      </c>
      <c r="H67" s="41">
        <v>1.9000000000000057</v>
      </c>
      <c r="I67" s="41">
        <v>89.097988319273526</v>
      </c>
      <c r="J67" s="41">
        <v>0.12375000000000047</v>
      </c>
      <c r="K67" s="41">
        <v>93.963414634146318</v>
      </c>
      <c r="L67" s="47">
        <v>45944</v>
      </c>
      <c r="M67" s="45">
        <v>3</v>
      </c>
    </row>
    <row r="68" spans="1:13" x14ac:dyDescent="0.25">
      <c r="A68" s="37" t="s">
        <v>76</v>
      </c>
      <c r="B68" s="44">
        <v>2.0099999999999998</v>
      </c>
      <c r="C68" s="44">
        <v>69.61</v>
      </c>
      <c r="D68" s="44">
        <v>70.59</v>
      </c>
      <c r="E68" s="45">
        <f t="shared" si="1"/>
        <v>0.98000000000000398</v>
      </c>
      <c r="F68" s="41">
        <v>70.92</v>
      </c>
      <c r="G68" s="41">
        <v>72.06</v>
      </c>
      <c r="H68" s="41">
        <v>1.1400000000000006</v>
      </c>
      <c r="I68" s="41">
        <v>49.386701097482167</v>
      </c>
      <c r="J68" s="41">
        <v>7.3749999999995208E-2</v>
      </c>
      <c r="K68" s="41">
        <v>96.33084577114451</v>
      </c>
      <c r="L68" s="46">
        <v>45910</v>
      </c>
      <c r="M68" s="44">
        <v>1</v>
      </c>
    </row>
    <row r="69" spans="1:13" x14ac:dyDescent="0.25">
      <c r="A69" s="39" t="s">
        <v>76</v>
      </c>
      <c r="B69" s="45">
        <v>1.97</v>
      </c>
      <c r="C69" s="45">
        <v>68.680000000000007</v>
      </c>
      <c r="D69" s="45">
        <v>69.650000000000006</v>
      </c>
      <c r="E69" s="45">
        <f t="shared" si="1"/>
        <v>0.96999999999999886</v>
      </c>
      <c r="F69" s="41">
        <v>70.58</v>
      </c>
      <c r="G69" s="41">
        <v>71.69</v>
      </c>
      <c r="H69" s="41">
        <v>1.1099999999999994</v>
      </c>
      <c r="I69" s="41">
        <v>48.846407382992766</v>
      </c>
      <c r="J69" s="41">
        <v>7.3750000000001648E-2</v>
      </c>
      <c r="K69" s="41">
        <v>96.256345177664883</v>
      </c>
      <c r="L69" s="47">
        <v>45936</v>
      </c>
      <c r="M69" s="45">
        <v>2</v>
      </c>
    </row>
    <row r="70" spans="1:13" x14ac:dyDescent="0.25">
      <c r="A70" s="39" t="s">
        <v>76</v>
      </c>
      <c r="B70" s="48">
        <v>1.91</v>
      </c>
      <c r="C70" s="45">
        <v>71.98</v>
      </c>
      <c r="D70" s="45">
        <v>72.849999999999994</v>
      </c>
      <c r="E70" s="45">
        <f t="shared" si="1"/>
        <v>0.86999999999999034</v>
      </c>
      <c r="F70" s="41">
        <v>70.75</v>
      </c>
      <c r="G70" s="41">
        <v>71.88</v>
      </c>
      <c r="H70" s="41">
        <v>1.1299999999999955</v>
      </c>
      <c r="I70" s="41">
        <v>52.099105299380753</v>
      </c>
      <c r="J70" s="41">
        <v>9.37500000000141E-2</v>
      </c>
      <c r="K70" s="41">
        <v>95.091623036648471</v>
      </c>
      <c r="L70" s="47">
        <v>45940</v>
      </c>
      <c r="M70" s="45">
        <v>3</v>
      </c>
    </row>
    <row r="71" spans="1:13" x14ac:dyDescent="0.25">
      <c r="A71" s="37" t="s">
        <v>90</v>
      </c>
      <c r="B71" s="44">
        <v>2.0099999999999998</v>
      </c>
      <c r="C71" s="44">
        <v>70.19</v>
      </c>
      <c r="D71" s="44">
        <v>70.92</v>
      </c>
      <c r="E71" s="45">
        <f t="shared" si="1"/>
        <v>0.73000000000000398</v>
      </c>
      <c r="F71" s="41">
        <v>71.27</v>
      </c>
      <c r="G71" s="41">
        <v>72.63</v>
      </c>
      <c r="H71" s="41">
        <v>1.3599999999999994</v>
      </c>
      <c r="I71" s="41">
        <v>61.70491803278675</v>
      </c>
      <c r="J71" s="41">
        <v>0.10374999999999646</v>
      </c>
      <c r="K71" s="41">
        <v>94.838308457711619</v>
      </c>
      <c r="L71" s="46">
        <v>45910</v>
      </c>
      <c r="M71" s="44">
        <v>1</v>
      </c>
    </row>
    <row r="72" spans="1:13" x14ac:dyDescent="0.25">
      <c r="A72" s="39" t="s">
        <v>90</v>
      </c>
      <c r="B72" s="45">
        <v>1.99</v>
      </c>
      <c r="C72" s="45">
        <v>70.14</v>
      </c>
      <c r="D72" s="45">
        <v>70.819999999999993</v>
      </c>
      <c r="E72" s="45">
        <f t="shared" si="1"/>
        <v>0.67999999999999261</v>
      </c>
      <c r="F72" s="41">
        <v>69.260000000000005</v>
      </c>
      <c r="G72" s="41">
        <v>70.63</v>
      </c>
      <c r="H72" s="41">
        <v>1.3699999999999903</v>
      </c>
      <c r="I72" s="41">
        <v>63.563295378432748</v>
      </c>
      <c r="J72" s="41">
        <v>0.12375000000001712</v>
      </c>
      <c r="K72" s="41">
        <v>93.781407035175022</v>
      </c>
      <c r="L72" s="47">
        <v>45932</v>
      </c>
      <c r="M72" s="45">
        <v>2</v>
      </c>
    </row>
    <row r="73" spans="1:13" x14ac:dyDescent="0.25">
      <c r="A73" s="39" t="s">
        <v>90</v>
      </c>
      <c r="B73" s="45">
        <v>2.02</v>
      </c>
      <c r="C73" s="45">
        <v>70.62</v>
      </c>
      <c r="D73" s="45">
        <v>71.33</v>
      </c>
      <c r="E73" s="45">
        <f t="shared" si="1"/>
        <v>0.70999999999999375</v>
      </c>
      <c r="F73" s="41">
        <v>70.83</v>
      </c>
      <c r="G73" s="41">
        <v>72.209999999999994</v>
      </c>
      <c r="H73" s="41">
        <v>1.3799999999999955</v>
      </c>
      <c r="I73" s="41">
        <v>62.754098360655853</v>
      </c>
      <c r="J73" s="41">
        <v>0.1137500000000109</v>
      </c>
      <c r="K73" s="41">
        <v>94.368811881187582</v>
      </c>
      <c r="L73" s="47">
        <v>45943</v>
      </c>
      <c r="M73" s="45">
        <v>3</v>
      </c>
    </row>
    <row r="74" spans="1:13" x14ac:dyDescent="0.25">
      <c r="A74" s="37" t="s">
        <v>102</v>
      </c>
      <c r="B74" s="44">
        <v>2</v>
      </c>
      <c r="C74" s="44">
        <v>71.2</v>
      </c>
      <c r="D74" s="44">
        <v>71.64</v>
      </c>
      <c r="E74" s="45">
        <f t="shared" si="1"/>
        <v>0.43999999999999773</v>
      </c>
      <c r="F74" s="41">
        <v>69.180000000000007</v>
      </c>
      <c r="G74" s="41">
        <v>70.88</v>
      </c>
      <c r="H74" s="41">
        <v>1.6999999999999886</v>
      </c>
      <c r="I74" s="41">
        <v>77.507987220447234</v>
      </c>
      <c r="J74" s="41">
        <v>4.3750000000013722E-2</v>
      </c>
      <c r="K74" s="41">
        <v>97.812499999999318</v>
      </c>
      <c r="L74" s="46">
        <v>45912</v>
      </c>
      <c r="M74" s="44">
        <v>1</v>
      </c>
    </row>
    <row r="75" spans="1:13" x14ac:dyDescent="0.25">
      <c r="A75" s="39" t="s">
        <v>102</v>
      </c>
      <c r="B75" s="45">
        <v>2.0499999999999998</v>
      </c>
      <c r="C75" s="45">
        <v>71.19</v>
      </c>
      <c r="D75" s="45">
        <v>71.739999999999995</v>
      </c>
      <c r="E75" s="45">
        <f t="shared" si="1"/>
        <v>0.54999999999999716</v>
      </c>
      <c r="F75" s="41">
        <v>68.02</v>
      </c>
      <c r="G75" s="41">
        <v>69.61</v>
      </c>
      <c r="H75" s="41">
        <v>1.5900000000000034</v>
      </c>
      <c r="I75" s="41">
        <v>71.884984025559262</v>
      </c>
      <c r="J75" s="41">
        <v>9.3749999999999334E-2</v>
      </c>
      <c r="K75" s="41">
        <v>95.426829268292707</v>
      </c>
      <c r="L75" s="47">
        <v>45936</v>
      </c>
      <c r="M75" s="45">
        <v>2</v>
      </c>
    </row>
    <row r="76" spans="1:13" x14ac:dyDescent="0.25">
      <c r="A76" s="39" t="s">
        <v>102</v>
      </c>
      <c r="B76" s="45">
        <v>2.0299999999999998</v>
      </c>
      <c r="C76" s="45">
        <v>68.67</v>
      </c>
      <c r="D76" s="45">
        <v>69.3</v>
      </c>
      <c r="E76" s="45">
        <f t="shared" si="1"/>
        <v>0.62999999999999545</v>
      </c>
      <c r="F76" s="41">
        <v>71.05</v>
      </c>
      <c r="G76" s="41">
        <v>72.56</v>
      </c>
      <c r="H76" s="41">
        <v>1.5100000000000051</v>
      </c>
      <c r="I76" s="41">
        <v>67.795527156549767</v>
      </c>
      <c r="J76" s="41">
        <v>7.3749999999999316E-2</v>
      </c>
      <c r="K76" s="41">
        <v>96.366995073891658</v>
      </c>
      <c r="L76" s="47">
        <v>45943</v>
      </c>
      <c r="M76" s="45">
        <v>3</v>
      </c>
    </row>
    <row r="77" spans="1:13" x14ac:dyDescent="0.25">
      <c r="A77" s="37" t="s">
        <v>88</v>
      </c>
      <c r="B77" s="44">
        <v>2</v>
      </c>
      <c r="C77" s="44">
        <v>70.42</v>
      </c>
      <c r="D77" s="44">
        <v>71.150000000000006</v>
      </c>
      <c r="E77" s="45">
        <f t="shared" si="1"/>
        <v>0.73000000000000398</v>
      </c>
      <c r="F77" s="41">
        <v>70.459999999999994</v>
      </c>
      <c r="G77" s="41">
        <v>71.86</v>
      </c>
      <c r="H77" s="41">
        <v>1.4000000000000057</v>
      </c>
      <c r="I77" s="41">
        <v>62.49197174052663</v>
      </c>
      <c r="J77" s="41">
        <v>5.3749999999990417E-2</v>
      </c>
      <c r="K77" s="41">
        <v>97.312500000000483</v>
      </c>
      <c r="L77" s="46">
        <v>45910</v>
      </c>
      <c r="M77" s="44">
        <v>1</v>
      </c>
    </row>
    <row r="78" spans="1:13" x14ac:dyDescent="0.25">
      <c r="A78" s="39" t="s">
        <v>88</v>
      </c>
      <c r="B78" s="45">
        <v>1.96</v>
      </c>
      <c r="C78" s="45">
        <v>71.260000000000005</v>
      </c>
      <c r="D78" s="45">
        <v>72.040000000000006</v>
      </c>
      <c r="E78" s="45">
        <f t="shared" si="1"/>
        <v>0.78000000000000114</v>
      </c>
      <c r="F78" s="41">
        <v>70.25</v>
      </c>
      <c r="G78" s="41">
        <v>71.540000000000006</v>
      </c>
      <c r="H78" s="41">
        <v>1.2900000000000063</v>
      </c>
      <c r="I78" s="41">
        <v>58.648111332008057</v>
      </c>
      <c r="J78" s="41">
        <v>7.3749999999992655E-2</v>
      </c>
      <c r="K78" s="41">
        <v>96.237244897959556</v>
      </c>
      <c r="L78" s="47">
        <v>45925</v>
      </c>
      <c r="M78" s="45">
        <v>2</v>
      </c>
    </row>
    <row r="79" spans="1:13" x14ac:dyDescent="0.25">
      <c r="A79" s="39" t="s">
        <v>88</v>
      </c>
      <c r="B79" s="45">
        <v>1.95</v>
      </c>
      <c r="C79" s="45">
        <v>70.430000000000007</v>
      </c>
      <c r="D79" s="45">
        <v>71.22</v>
      </c>
      <c r="E79" s="45">
        <f t="shared" si="1"/>
        <v>0.78999999999999204</v>
      </c>
      <c r="F79" s="41">
        <v>67.95</v>
      </c>
      <c r="G79" s="41">
        <v>69.22</v>
      </c>
      <c r="H79" s="41">
        <v>1.269999999999996</v>
      </c>
      <c r="I79" s="41">
        <v>57.894736842105424</v>
      </c>
      <c r="J79" s="41">
        <v>7.3750000000011973E-2</v>
      </c>
      <c r="K79" s="41">
        <v>96.217948717948104</v>
      </c>
      <c r="L79" s="47">
        <v>45936</v>
      </c>
      <c r="M79" s="45">
        <v>3</v>
      </c>
    </row>
    <row r="80" spans="1:13" x14ac:dyDescent="0.25">
      <c r="A80" s="37" t="s">
        <v>83</v>
      </c>
      <c r="B80" s="44">
        <v>2</v>
      </c>
      <c r="C80" s="44">
        <v>69.680000000000007</v>
      </c>
      <c r="D80" s="44">
        <v>70.209999999999994</v>
      </c>
      <c r="E80" s="45">
        <f t="shared" si="1"/>
        <v>0.52999999999998693</v>
      </c>
      <c r="F80" s="41">
        <v>70</v>
      </c>
      <c r="G80" s="41">
        <v>71.58</v>
      </c>
      <c r="H80" s="41">
        <v>1.5799999999999983</v>
      </c>
      <c r="I80" s="41">
        <v>72.485399091499488</v>
      </c>
      <c r="J80" s="41">
        <v>7.3750000000014859E-2</v>
      </c>
      <c r="K80" s="41">
        <v>96.312499999999261</v>
      </c>
      <c r="L80" s="46">
        <v>45910</v>
      </c>
      <c r="M80" s="44">
        <v>1</v>
      </c>
    </row>
    <row r="81" spans="1:13" x14ac:dyDescent="0.25">
      <c r="A81" s="39" t="s">
        <v>83</v>
      </c>
      <c r="B81" s="45">
        <v>2.0499999999999998</v>
      </c>
      <c r="C81" s="45">
        <v>69.099999999999994</v>
      </c>
      <c r="D81" s="45">
        <v>69.64</v>
      </c>
      <c r="E81" s="45">
        <f t="shared" si="1"/>
        <v>0.54000000000000625</v>
      </c>
      <c r="F81" s="41">
        <v>70.31</v>
      </c>
      <c r="G81" s="41">
        <v>71.88</v>
      </c>
      <c r="H81" s="41">
        <v>1.5699999999999932</v>
      </c>
      <c r="I81" s="41">
        <v>71.96625567813075</v>
      </c>
      <c r="J81" s="41">
        <v>0.12375000000000047</v>
      </c>
      <c r="K81" s="41">
        <v>93.963414634146318</v>
      </c>
      <c r="L81" s="47">
        <v>45932</v>
      </c>
      <c r="M81" s="45">
        <v>2</v>
      </c>
    </row>
    <row r="82" spans="1:13" x14ac:dyDescent="0.25">
      <c r="A82" s="39" t="s">
        <v>83</v>
      </c>
      <c r="B82" s="45">
        <v>1.99</v>
      </c>
      <c r="C82" s="45">
        <v>69.14</v>
      </c>
      <c r="D82" s="45">
        <v>69.67</v>
      </c>
      <c r="E82" s="45">
        <f t="shared" si="1"/>
        <v>0.53000000000000114</v>
      </c>
      <c r="F82" s="41">
        <v>71.260000000000005</v>
      </c>
      <c r="G82" s="41">
        <v>72.8</v>
      </c>
      <c r="H82" s="41">
        <v>1.539999999999992</v>
      </c>
      <c r="I82" s="41">
        <v>71.901921802518061</v>
      </c>
      <c r="J82" s="41">
        <v>0.10375000000000689</v>
      </c>
      <c r="K82" s="41">
        <v>94.78643216080367</v>
      </c>
      <c r="L82" s="47">
        <v>45944</v>
      </c>
      <c r="M82" s="45">
        <v>3</v>
      </c>
    </row>
    <row r="83" spans="1:13" x14ac:dyDescent="0.25">
      <c r="A83" s="37" t="s">
        <v>80</v>
      </c>
      <c r="B83" s="44">
        <v>1.99</v>
      </c>
      <c r="C83" s="44">
        <v>70.08</v>
      </c>
      <c r="D83" s="44">
        <v>70.3</v>
      </c>
      <c r="E83" s="45">
        <f t="shared" si="1"/>
        <v>0.21999999999999886</v>
      </c>
      <c r="F83" s="41">
        <v>69.66</v>
      </c>
      <c r="G83" s="41">
        <v>71.53</v>
      </c>
      <c r="H83" s="41">
        <v>1.8700000000000045</v>
      </c>
      <c r="I83" s="41">
        <v>88.459016393442695</v>
      </c>
      <c r="J83" s="41">
        <v>8.374999999999666E-2</v>
      </c>
      <c r="K83" s="41">
        <v>95.791457286432319</v>
      </c>
      <c r="L83" s="46">
        <v>45910</v>
      </c>
      <c r="M83" s="44">
        <v>1</v>
      </c>
    </row>
    <row r="84" spans="1:13" x14ac:dyDescent="0.25">
      <c r="A84" s="39" t="s">
        <v>80</v>
      </c>
      <c r="B84" s="45">
        <v>1.95</v>
      </c>
      <c r="C84" s="45">
        <v>70.19</v>
      </c>
      <c r="D84" s="45">
        <v>70.430000000000007</v>
      </c>
      <c r="E84" s="45">
        <f t="shared" si="1"/>
        <v>0.24000000000000909</v>
      </c>
      <c r="F84" s="41">
        <v>70.47</v>
      </c>
      <c r="G84" s="41">
        <v>72.25</v>
      </c>
      <c r="H84" s="41">
        <v>1.7800000000000011</v>
      </c>
      <c r="I84" s="41">
        <v>86.929884275016605</v>
      </c>
      <c r="J84" s="41">
        <v>0.1137499999999898</v>
      </c>
      <c r="K84" s="41">
        <v>94.166666666667183</v>
      </c>
      <c r="L84" s="47">
        <v>45932</v>
      </c>
      <c r="M84" s="45">
        <v>2</v>
      </c>
    </row>
    <row r="85" spans="1:13" x14ac:dyDescent="0.25">
      <c r="A85" s="39" t="s">
        <v>80</v>
      </c>
      <c r="B85" s="45">
        <v>2.04</v>
      </c>
      <c r="C85" s="45">
        <v>70.44</v>
      </c>
      <c r="D85" s="45">
        <v>70.63</v>
      </c>
      <c r="E85" s="45">
        <f t="shared" si="1"/>
        <v>0.18999999999999773</v>
      </c>
      <c r="F85" s="41">
        <v>68.34</v>
      </c>
      <c r="G85" s="41">
        <v>70.23</v>
      </c>
      <c r="H85" s="41">
        <v>1.8900000000000006</v>
      </c>
      <c r="I85" s="41">
        <v>89.980224126565702</v>
      </c>
      <c r="J85" s="41">
        <v>0.14375000000000182</v>
      </c>
      <c r="K85" s="41">
        <v>92.953431372548934</v>
      </c>
      <c r="L85" s="47">
        <v>45944</v>
      </c>
      <c r="M85" s="45">
        <v>3</v>
      </c>
    </row>
    <row r="86" spans="1:13" x14ac:dyDescent="0.25">
      <c r="A86" s="37" t="s">
        <v>107</v>
      </c>
      <c r="B86" s="44">
        <v>2</v>
      </c>
      <c r="C86" s="44">
        <v>71.540000000000006</v>
      </c>
      <c r="D86" s="44">
        <v>72</v>
      </c>
      <c r="E86" s="45">
        <f t="shared" si="1"/>
        <v>0.45999999999999375</v>
      </c>
      <c r="F86" s="41">
        <v>70.55</v>
      </c>
      <c r="G86" s="41">
        <v>72.22</v>
      </c>
      <c r="H86" s="41">
        <v>1.6700000000000017</v>
      </c>
      <c r="I86" s="41">
        <v>76.364804110469123</v>
      </c>
      <c r="J86" s="41">
        <v>5.3750000000004627E-2</v>
      </c>
      <c r="K86" s="41">
        <v>97.312499999999773</v>
      </c>
      <c r="L86" s="46">
        <v>45912</v>
      </c>
      <c r="M86" s="44">
        <v>1</v>
      </c>
    </row>
    <row r="87" spans="1:13" x14ac:dyDescent="0.25">
      <c r="A87" s="39" t="s">
        <v>107</v>
      </c>
      <c r="B87" s="45">
        <v>2.0099999999999998</v>
      </c>
      <c r="C87" s="45">
        <v>70.69</v>
      </c>
      <c r="D87" s="45">
        <v>71.13</v>
      </c>
      <c r="E87" s="45">
        <f t="shared" si="1"/>
        <v>0.43999999999999773</v>
      </c>
      <c r="F87" s="41">
        <v>68.5</v>
      </c>
      <c r="G87" s="41">
        <v>70.150000000000006</v>
      </c>
      <c r="H87" s="41">
        <v>1.6500000000000057</v>
      </c>
      <c r="I87" s="41">
        <v>76.918032786885405</v>
      </c>
      <c r="J87" s="41">
        <v>0.10374999999999646</v>
      </c>
      <c r="K87" s="41">
        <v>94.838308457711619</v>
      </c>
      <c r="L87" s="47">
        <v>45925</v>
      </c>
      <c r="M87" s="45">
        <v>2</v>
      </c>
    </row>
    <row r="88" spans="1:13" x14ac:dyDescent="0.25">
      <c r="A88" s="39" t="s">
        <v>107</v>
      </c>
      <c r="B88" s="45">
        <v>1.95</v>
      </c>
      <c r="C88" s="45">
        <v>70.11</v>
      </c>
      <c r="D88" s="45">
        <v>70.52</v>
      </c>
      <c r="E88" s="45">
        <f t="shared" si="1"/>
        <v>0.40999999999999659</v>
      </c>
      <c r="F88" s="41">
        <v>69.400000000000006</v>
      </c>
      <c r="G88" s="41">
        <v>71</v>
      </c>
      <c r="H88" s="41">
        <v>1.5999999999999943</v>
      </c>
      <c r="I88" s="41">
        <v>77.549623545516837</v>
      </c>
      <c r="J88" s="41">
        <v>0.12375000000000913</v>
      </c>
      <c r="K88" s="41">
        <v>93.653846153845691</v>
      </c>
      <c r="L88" s="47">
        <v>45936</v>
      </c>
      <c r="M88" s="45">
        <v>3</v>
      </c>
    </row>
    <row r="89" spans="1:13" x14ac:dyDescent="0.25">
      <c r="A89" s="37" t="s">
        <v>69</v>
      </c>
      <c r="B89" s="44">
        <v>2</v>
      </c>
      <c r="C89" s="44">
        <v>70.73</v>
      </c>
      <c r="D89" s="44">
        <v>71.14</v>
      </c>
      <c r="E89" s="45">
        <f t="shared" si="1"/>
        <v>0.40999999999999659</v>
      </c>
      <c r="F89" s="41">
        <v>70.11</v>
      </c>
      <c r="G89" s="41">
        <v>71.55</v>
      </c>
      <c r="H89" s="41">
        <v>1.4399999999999977</v>
      </c>
      <c r="I89" s="41">
        <v>75.393848462115656</v>
      </c>
      <c r="J89" s="41">
        <v>0.33375000000000576</v>
      </c>
      <c r="K89" s="41">
        <v>83.312499999999716</v>
      </c>
      <c r="L89" s="46">
        <v>45910</v>
      </c>
      <c r="M89" s="44">
        <v>1</v>
      </c>
    </row>
    <row r="90" spans="1:13" x14ac:dyDescent="0.25">
      <c r="A90" s="39" t="s">
        <v>69</v>
      </c>
      <c r="B90" s="45">
        <v>2</v>
      </c>
      <c r="C90" s="45">
        <v>68.349999999999994</v>
      </c>
      <c r="D90" s="45">
        <v>68.81</v>
      </c>
      <c r="E90" s="45">
        <f t="shared" si="1"/>
        <v>0.46000000000000796</v>
      </c>
      <c r="F90" s="41">
        <v>71.010000000000005</v>
      </c>
      <c r="G90" s="41">
        <v>72.59</v>
      </c>
      <c r="H90" s="41">
        <v>1.5799999999999983</v>
      </c>
      <c r="I90" s="41">
        <v>75.21885521885487</v>
      </c>
      <c r="J90" s="41">
        <v>0.14374999999999383</v>
      </c>
      <c r="K90" s="41">
        <v>92.812500000000313</v>
      </c>
      <c r="L90" s="47">
        <v>45930</v>
      </c>
      <c r="M90" s="45">
        <v>2</v>
      </c>
    </row>
    <row r="91" spans="1:13" x14ac:dyDescent="0.25">
      <c r="A91" s="39" t="s">
        <v>69</v>
      </c>
      <c r="B91" s="45">
        <v>2.0099999999999998</v>
      </c>
      <c r="C91" s="45">
        <v>69.2</v>
      </c>
      <c r="D91" s="45">
        <v>69.680000000000007</v>
      </c>
      <c r="E91" s="45">
        <f t="shared" si="1"/>
        <v>0.48000000000000398</v>
      </c>
      <c r="F91" s="41">
        <v>69.8</v>
      </c>
      <c r="G91" s="41">
        <v>71.349999999999994</v>
      </c>
      <c r="H91" s="41">
        <v>1.5499999999999972</v>
      </c>
      <c r="I91" s="41">
        <v>74.001354096140631</v>
      </c>
      <c r="J91" s="41">
        <v>0.16374999999999873</v>
      </c>
      <c r="K91" s="41">
        <v>91.853233830845838</v>
      </c>
      <c r="L91" s="47">
        <v>45936</v>
      </c>
      <c r="M91" s="45">
        <v>3</v>
      </c>
    </row>
    <row r="92" spans="1:13" x14ac:dyDescent="0.25">
      <c r="A92" s="37" t="s">
        <v>77</v>
      </c>
      <c r="B92" s="44">
        <v>2.0099999999999998</v>
      </c>
      <c r="C92" s="44">
        <v>68.19</v>
      </c>
      <c r="D92" s="44">
        <v>68.569999999999993</v>
      </c>
      <c r="E92" s="45">
        <f t="shared" si="1"/>
        <v>0.37999999999999545</v>
      </c>
      <c r="F92" s="41">
        <v>70.25</v>
      </c>
      <c r="G92" s="41">
        <v>71.92</v>
      </c>
      <c r="H92" s="41">
        <v>1.6700000000000017</v>
      </c>
      <c r="I92" s="41">
        <v>79.638312123242002</v>
      </c>
      <c r="J92" s="41">
        <v>0.14375000000000271</v>
      </c>
      <c r="K92" s="41">
        <v>92.848258706467519</v>
      </c>
      <c r="L92" s="46">
        <v>45910</v>
      </c>
      <c r="M92" s="44">
        <v>1</v>
      </c>
    </row>
    <row r="93" spans="1:13" x14ac:dyDescent="0.25">
      <c r="A93" s="39" t="s">
        <v>77</v>
      </c>
      <c r="B93" s="45">
        <v>2.0299999999999998</v>
      </c>
      <c r="C93" s="45">
        <v>68.02</v>
      </c>
      <c r="D93" s="45">
        <v>68.489999999999995</v>
      </c>
      <c r="E93" s="45">
        <f t="shared" si="1"/>
        <v>0.46999999999999886</v>
      </c>
      <c r="F93" s="41">
        <v>68.569999999999993</v>
      </c>
      <c r="G93" s="41">
        <v>70.239999999999995</v>
      </c>
      <c r="H93" s="41">
        <v>1.6700000000000017</v>
      </c>
      <c r="I93" s="41">
        <v>75.974440894568744</v>
      </c>
      <c r="J93" s="41">
        <v>7.3749999999999316E-2</v>
      </c>
      <c r="K93" s="41">
        <v>96.366995073891658</v>
      </c>
      <c r="L93" s="47">
        <v>45936</v>
      </c>
      <c r="M93" s="45">
        <v>2</v>
      </c>
    </row>
    <row r="94" spans="1:13" x14ac:dyDescent="0.25">
      <c r="A94" s="39" t="s">
        <v>77</v>
      </c>
      <c r="B94" s="45">
        <v>2.04</v>
      </c>
      <c r="C94" s="45">
        <v>70.11</v>
      </c>
      <c r="D94" s="45">
        <v>70.62</v>
      </c>
      <c r="E94" s="45">
        <f t="shared" si="1"/>
        <v>0.51000000000000512</v>
      </c>
      <c r="F94" s="41">
        <v>69.78</v>
      </c>
      <c r="G94" s="41">
        <v>71.36</v>
      </c>
      <c r="H94" s="41">
        <v>1.5799999999999983</v>
      </c>
      <c r="I94" s="41">
        <v>73.245901639344041</v>
      </c>
      <c r="J94" s="41">
        <v>0.1337499999999967</v>
      </c>
      <c r="K94" s="41">
        <v>93.443627450980543</v>
      </c>
      <c r="L94" s="47">
        <v>45943</v>
      </c>
      <c r="M94" s="45">
        <v>3</v>
      </c>
    </row>
    <row r="95" spans="1:13" x14ac:dyDescent="0.25">
      <c r="A95" s="37" t="s">
        <v>75</v>
      </c>
      <c r="B95" s="44">
        <v>2.02</v>
      </c>
      <c r="C95" s="44">
        <v>69.97</v>
      </c>
      <c r="D95" s="44">
        <v>70.91</v>
      </c>
      <c r="E95" s="45">
        <f t="shared" si="1"/>
        <v>0.93999999999999773</v>
      </c>
      <c r="F95" s="41">
        <v>70.819999999999993</v>
      </c>
      <c r="G95" s="41">
        <v>72</v>
      </c>
      <c r="H95" s="41">
        <v>1.1800000000000068</v>
      </c>
      <c r="I95" s="41">
        <v>51.45255003227912</v>
      </c>
      <c r="J95" s="41">
        <v>8.3749999999995439E-2</v>
      </c>
      <c r="K95" s="41">
        <v>95.853960396039824</v>
      </c>
      <c r="L95" s="46">
        <v>45910</v>
      </c>
      <c r="M95" s="44">
        <v>1</v>
      </c>
    </row>
    <row r="96" spans="1:13" x14ac:dyDescent="0.25">
      <c r="A96" s="39" t="s">
        <v>75</v>
      </c>
      <c r="B96" s="45">
        <v>1.95</v>
      </c>
      <c r="C96" s="45">
        <v>69.39</v>
      </c>
      <c r="D96" s="45">
        <v>70.260000000000005</v>
      </c>
      <c r="E96" s="45">
        <f t="shared" si="1"/>
        <v>0.87000000000000455</v>
      </c>
      <c r="F96" s="41">
        <v>70.11</v>
      </c>
      <c r="G96" s="41">
        <v>71.31</v>
      </c>
      <c r="H96" s="41">
        <v>1.2000000000000028</v>
      </c>
      <c r="I96" s="41">
        <v>53.876739562624188</v>
      </c>
      <c r="J96" s="41">
        <v>6.3749999999992646E-2</v>
      </c>
      <c r="K96" s="41">
        <v>96.73076923076961</v>
      </c>
      <c r="L96" s="47">
        <v>45936</v>
      </c>
      <c r="M96" s="45">
        <v>3</v>
      </c>
    </row>
    <row r="97" spans="1:13" x14ac:dyDescent="0.25">
      <c r="A97" s="37" t="s">
        <v>79</v>
      </c>
      <c r="B97" s="44">
        <v>1.99</v>
      </c>
      <c r="C97" s="44">
        <v>70.31</v>
      </c>
      <c r="D97" s="44">
        <v>70.97</v>
      </c>
      <c r="E97" s="45">
        <f t="shared" si="1"/>
        <v>0.65999999999999659</v>
      </c>
      <c r="F97" s="41">
        <v>68.680000000000007</v>
      </c>
      <c r="G97" s="41">
        <v>70.12</v>
      </c>
      <c r="H97" s="41">
        <v>1.4399999999999977</v>
      </c>
      <c r="I97" s="41">
        <v>65.557729941291669</v>
      </c>
      <c r="J97" s="41">
        <v>7.3750000000005755E-2</v>
      </c>
      <c r="K97" s="41">
        <v>96.29396984924594</v>
      </c>
      <c r="L97" s="46">
        <v>45910</v>
      </c>
      <c r="M97" s="44">
        <v>1</v>
      </c>
    </row>
    <row r="98" spans="1:13" x14ac:dyDescent="0.25">
      <c r="A98" s="39" t="s">
        <v>79</v>
      </c>
      <c r="B98" s="45">
        <v>1.95</v>
      </c>
      <c r="C98" s="45">
        <v>68.59</v>
      </c>
      <c r="D98" s="45">
        <v>69.17</v>
      </c>
      <c r="E98" s="45">
        <f t="shared" si="1"/>
        <v>0.57999999999999829</v>
      </c>
      <c r="F98" s="41">
        <v>69.55</v>
      </c>
      <c r="G98" s="41">
        <v>71</v>
      </c>
      <c r="H98" s="41">
        <v>1.4500000000000028</v>
      </c>
      <c r="I98" s="41">
        <v>68.584969532836936</v>
      </c>
      <c r="J98" s="41">
        <v>0.1037499999999989</v>
      </c>
      <c r="K98" s="41">
        <v>94.679487179487225</v>
      </c>
      <c r="L98" s="47">
        <v>45930</v>
      </c>
      <c r="M98" s="45">
        <v>2</v>
      </c>
    </row>
    <row r="99" spans="1:13" x14ac:dyDescent="0.25">
      <c r="A99" s="39" t="s">
        <v>79</v>
      </c>
      <c r="B99" s="45">
        <v>2.04</v>
      </c>
      <c r="C99" s="45">
        <v>70.14</v>
      </c>
      <c r="D99" s="45">
        <v>70.709999999999994</v>
      </c>
      <c r="E99" s="45">
        <f t="shared" si="1"/>
        <v>0.56999999999999318</v>
      </c>
      <c r="F99" s="41">
        <v>69.569999999999993</v>
      </c>
      <c r="G99" s="41">
        <v>71.099999999999994</v>
      </c>
      <c r="H99" s="41">
        <v>1.5300000000000011</v>
      </c>
      <c r="I99" s="41">
        <v>70.254403131115723</v>
      </c>
      <c r="J99" s="41">
        <v>0.1237500000000058</v>
      </c>
      <c r="K99" s="41">
        <v>93.93382352941147</v>
      </c>
      <c r="L99" s="47">
        <v>45940</v>
      </c>
      <c r="M99" s="45">
        <v>3</v>
      </c>
    </row>
    <row r="100" spans="1:13" x14ac:dyDescent="0.25">
      <c r="A100" s="37" t="s">
        <v>71</v>
      </c>
      <c r="B100" s="44">
        <v>1.99</v>
      </c>
      <c r="C100" s="44">
        <v>72.239999999999995</v>
      </c>
      <c r="D100" s="44">
        <v>72.7</v>
      </c>
      <c r="E100" s="45">
        <f t="shared" si="1"/>
        <v>0.46000000000000796</v>
      </c>
      <c r="F100" s="41">
        <v>70.86</v>
      </c>
      <c r="G100" s="41">
        <v>72.48</v>
      </c>
      <c r="H100" s="41">
        <v>1.6200000000000045</v>
      </c>
      <c r="I100" s="41">
        <v>75.741595253790123</v>
      </c>
      <c r="J100" s="41">
        <v>9.3749999999987566E-2</v>
      </c>
      <c r="K100" s="41">
        <v>95.288944723618712</v>
      </c>
      <c r="L100" s="46">
        <v>45910</v>
      </c>
      <c r="M100" s="44">
        <v>1</v>
      </c>
    </row>
    <row r="101" spans="1:13" x14ac:dyDescent="0.25">
      <c r="A101" s="39" t="s">
        <v>71</v>
      </c>
      <c r="B101" s="45">
        <v>1.98</v>
      </c>
      <c r="C101" s="45">
        <v>70.53</v>
      </c>
      <c r="D101" s="45">
        <v>70.989999999999995</v>
      </c>
      <c r="E101" s="45">
        <f t="shared" si="1"/>
        <v>0.45999999999999375</v>
      </c>
      <c r="F101" s="41">
        <v>68.17</v>
      </c>
      <c r="G101" s="41">
        <v>69.8</v>
      </c>
      <c r="H101" s="41">
        <v>1.6299999999999955</v>
      </c>
      <c r="I101" s="41">
        <v>75.868852459016594</v>
      </c>
      <c r="J101" s="41">
        <v>7.3750000000010862E-2</v>
      </c>
      <c r="K101" s="41">
        <v>96.275252525251972</v>
      </c>
      <c r="L101" s="47">
        <v>45925</v>
      </c>
      <c r="M101" s="45">
        <v>2</v>
      </c>
    </row>
    <row r="102" spans="1:13" x14ac:dyDescent="0.25">
      <c r="A102" s="39" t="s">
        <v>71</v>
      </c>
      <c r="B102" s="45">
        <v>1.98</v>
      </c>
      <c r="C102" s="45">
        <v>70.040000000000006</v>
      </c>
      <c r="D102" s="45">
        <v>70.53</v>
      </c>
      <c r="E102" s="45">
        <f t="shared" si="1"/>
        <v>0.48999999999999488</v>
      </c>
      <c r="F102" s="41">
        <v>68.03</v>
      </c>
      <c r="G102" s="41">
        <v>69.61</v>
      </c>
      <c r="H102" s="41">
        <v>1.5799999999999983</v>
      </c>
      <c r="I102" s="41">
        <v>74.022531477800044</v>
      </c>
      <c r="J102" s="41">
        <v>9.3750000000006883E-2</v>
      </c>
      <c r="K102" s="41">
        <v>95.265151515151175</v>
      </c>
      <c r="L102" s="47">
        <v>45936</v>
      </c>
      <c r="M102" s="45">
        <v>3</v>
      </c>
    </row>
    <row r="103" spans="1:13" x14ac:dyDescent="0.25">
      <c r="A103" s="37" t="s">
        <v>82</v>
      </c>
      <c r="B103" s="44">
        <v>1.98</v>
      </c>
      <c r="C103" s="44">
        <v>68.03</v>
      </c>
      <c r="D103" s="44">
        <v>68.489999999999995</v>
      </c>
      <c r="E103" s="45">
        <f t="shared" si="1"/>
        <v>0.45999999999999375</v>
      </c>
      <c r="F103" s="41">
        <v>69.69</v>
      </c>
      <c r="G103" s="41">
        <v>71.319999999999993</v>
      </c>
      <c r="H103" s="41">
        <v>1.6299999999999955</v>
      </c>
      <c r="I103" s="41">
        <v>75.868852459016594</v>
      </c>
      <c r="J103" s="41">
        <v>7.3750000000010862E-2</v>
      </c>
      <c r="K103" s="41">
        <v>96.275252525251972</v>
      </c>
      <c r="L103" s="46">
        <v>45910</v>
      </c>
      <c r="M103" s="44">
        <v>1</v>
      </c>
    </row>
    <row r="104" spans="1:13" x14ac:dyDescent="0.25">
      <c r="A104" s="39" t="s">
        <v>82</v>
      </c>
      <c r="B104" s="45">
        <v>1.98</v>
      </c>
      <c r="C104" s="45">
        <v>67.94</v>
      </c>
      <c r="D104" s="45">
        <v>68.430000000000007</v>
      </c>
      <c r="E104" s="45">
        <f t="shared" si="1"/>
        <v>0.49000000000000909</v>
      </c>
      <c r="F104" s="41">
        <v>70.22</v>
      </c>
      <c r="G104" s="41">
        <v>71.81</v>
      </c>
      <c r="H104" s="41">
        <v>1.5900000000000034</v>
      </c>
      <c r="I104" s="41">
        <v>74.159525379037262</v>
      </c>
      <c r="J104" s="41">
        <v>8.3749999999987557E-2</v>
      </c>
      <c r="K104" s="41">
        <v>95.770202020202646</v>
      </c>
      <c r="L104" s="47">
        <v>45932</v>
      </c>
      <c r="M104" s="45">
        <v>2</v>
      </c>
    </row>
    <row r="105" spans="1:13" x14ac:dyDescent="0.25">
      <c r="A105" s="39" t="s">
        <v>82</v>
      </c>
      <c r="B105" s="45">
        <v>1.98</v>
      </c>
      <c r="C105" s="45">
        <v>70.86</v>
      </c>
      <c r="D105" s="45">
        <v>71.31</v>
      </c>
      <c r="E105" s="45">
        <f t="shared" si="1"/>
        <v>0.45000000000000284</v>
      </c>
      <c r="F105" s="41">
        <v>69.09</v>
      </c>
      <c r="G105" s="41">
        <v>70.7</v>
      </c>
      <c r="H105" s="41">
        <v>1.6099999999999994</v>
      </c>
      <c r="I105" s="41">
        <v>76.015989340439589</v>
      </c>
      <c r="J105" s="41">
        <v>0.10374999999999779</v>
      </c>
      <c r="K105" s="41">
        <v>94.76010101010111</v>
      </c>
      <c r="L105" s="47">
        <v>45943</v>
      </c>
      <c r="M105" s="45">
        <v>3</v>
      </c>
    </row>
    <row r="106" spans="1:13" x14ac:dyDescent="0.25">
      <c r="A106" s="37" t="s">
        <v>91</v>
      </c>
      <c r="B106" s="44">
        <v>2</v>
      </c>
      <c r="C106" s="44">
        <v>69.66</v>
      </c>
      <c r="D106" s="44">
        <v>70.290000000000006</v>
      </c>
      <c r="E106" s="45">
        <f t="shared" si="1"/>
        <v>0.63000000000000966</v>
      </c>
      <c r="F106" s="41">
        <v>71.430000000000007</v>
      </c>
      <c r="G106" s="41">
        <v>72.930000000000007</v>
      </c>
      <c r="H106" s="41">
        <v>1.5</v>
      </c>
      <c r="I106" s="41">
        <v>67.630057803467864</v>
      </c>
      <c r="J106" s="41">
        <v>5.3749999999990417E-2</v>
      </c>
      <c r="K106" s="41">
        <v>97.312500000000483</v>
      </c>
      <c r="L106" s="46">
        <v>45910</v>
      </c>
      <c r="M106" s="44">
        <v>1</v>
      </c>
    </row>
    <row r="107" spans="1:13" x14ac:dyDescent="0.25">
      <c r="A107" s="39" t="s">
        <v>91</v>
      </c>
      <c r="B107" s="45">
        <v>1.95</v>
      </c>
      <c r="C107" s="45">
        <v>70.28</v>
      </c>
      <c r="D107" s="45">
        <v>70.86</v>
      </c>
      <c r="E107" s="45">
        <f t="shared" si="1"/>
        <v>0.57999999999999829</v>
      </c>
      <c r="F107" s="41">
        <v>69.930000000000007</v>
      </c>
      <c r="G107" s="41">
        <v>71.39</v>
      </c>
      <c r="H107" s="41">
        <v>1.4599999999999937</v>
      </c>
      <c r="I107" s="41">
        <v>68.754208754208719</v>
      </c>
      <c r="J107" s="41">
        <v>9.3750000000007994E-2</v>
      </c>
      <c r="K107" s="41">
        <v>95.192307692307281</v>
      </c>
      <c r="L107" s="47">
        <v>45930</v>
      </c>
      <c r="M107" s="45">
        <v>2</v>
      </c>
    </row>
    <row r="108" spans="1:13" x14ac:dyDescent="0.25">
      <c r="A108" s="39" t="s">
        <v>91</v>
      </c>
      <c r="B108" s="45">
        <v>2.0099999999999998</v>
      </c>
      <c r="C108" s="45">
        <v>70.92</v>
      </c>
      <c r="D108" s="45">
        <v>71.569999999999993</v>
      </c>
      <c r="E108" s="45">
        <f t="shared" si="1"/>
        <v>0.64999999999999147</v>
      </c>
      <c r="F108" s="41">
        <v>70.44</v>
      </c>
      <c r="G108" s="41">
        <v>71.89</v>
      </c>
      <c r="H108" s="41">
        <v>1.4500000000000028</v>
      </c>
      <c r="I108" s="41">
        <v>66.079582517939031</v>
      </c>
      <c r="J108" s="41">
        <v>9.3750000000005551E-2</v>
      </c>
      <c r="K108" s="41">
        <v>95.335820895522119</v>
      </c>
      <c r="L108" s="47">
        <v>45943</v>
      </c>
      <c r="M108" s="45">
        <v>3</v>
      </c>
    </row>
    <row r="109" spans="1:13" x14ac:dyDescent="0.25">
      <c r="A109" s="37" t="s">
        <v>104</v>
      </c>
      <c r="B109" s="44">
        <v>2</v>
      </c>
      <c r="C109" s="44">
        <v>70.84</v>
      </c>
      <c r="D109" s="44">
        <v>71.48</v>
      </c>
      <c r="E109" s="45">
        <f t="shared" si="1"/>
        <v>0.64000000000000057</v>
      </c>
      <c r="F109" s="41">
        <v>70.14</v>
      </c>
      <c r="G109" s="41">
        <v>71.64</v>
      </c>
      <c r="H109" s="41">
        <v>1.5</v>
      </c>
      <c r="I109" s="41">
        <v>67.284345047923296</v>
      </c>
      <c r="J109" s="41">
        <v>4.3749999999999512E-2</v>
      </c>
      <c r="K109" s="41">
        <v>97.812500000000028</v>
      </c>
      <c r="L109" s="46">
        <v>45912</v>
      </c>
      <c r="M109" s="44">
        <v>1</v>
      </c>
    </row>
    <row r="110" spans="1:13" x14ac:dyDescent="0.25">
      <c r="A110" s="39" t="s">
        <v>104</v>
      </c>
      <c r="B110" s="45">
        <v>2.02</v>
      </c>
      <c r="C110" s="45">
        <v>70.88</v>
      </c>
      <c r="D110" s="45">
        <v>71.540000000000006</v>
      </c>
      <c r="E110" s="45">
        <f t="shared" si="1"/>
        <v>0.6600000000000108</v>
      </c>
      <c r="F110" s="41">
        <v>70.319999999999993</v>
      </c>
      <c r="G110" s="41">
        <v>71.819999999999993</v>
      </c>
      <c r="H110" s="41">
        <v>1.5</v>
      </c>
      <c r="I110" s="41">
        <v>66.603415559771932</v>
      </c>
      <c r="J110" s="41">
        <v>4.3749999999989297E-2</v>
      </c>
      <c r="K110" s="41">
        <v>97.834158415842111</v>
      </c>
      <c r="L110" s="47">
        <v>45936</v>
      </c>
      <c r="M110" s="45">
        <v>2</v>
      </c>
    </row>
    <row r="111" spans="1:13" x14ac:dyDescent="0.25">
      <c r="A111" s="39" t="s">
        <v>104</v>
      </c>
      <c r="B111" s="45">
        <v>1.98</v>
      </c>
      <c r="C111" s="45">
        <v>71.180000000000007</v>
      </c>
      <c r="D111" s="45">
        <v>71.760000000000005</v>
      </c>
      <c r="E111" s="45">
        <f t="shared" si="1"/>
        <v>0.57999999999999829</v>
      </c>
      <c r="F111" s="41">
        <v>70.55</v>
      </c>
      <c r="G111" s="41">
        <v>72.040000000000006</v>
      </c>
      <c r="H111" s="41">
        <v>1.4900000000000091</v>
      </c>
      <c r="I111" s="41">
        <v>69.251159708416381</v>
      </c>
      <c r="J111" s="41">
        <v>9.3749999999992673E-2</v>
      </c>
      <c r="K111" s="41">
        <v>95.265151515151885</v>
      </c>
      <c r="L111" s="47">
        <v>45943</v>
      </c>
      <c r="M111" s="45">
        <v>3</v>
      </c>
    </row>
    <row r="112" spans="1:13" x14ac:dyDescent="0.25">
      <c r="A112" s="37" t="s">
        <v>74</v>
      </c>
      <c r="B112" s="44">
        <v>2.0099999999999998</v>
      </c>
      <c r="C112" s="44">
        <v>68.92</v>
      </c>
      <c r="D112" s="44">
        <v>69.27</v>
      </c>
      <c r="E112" s="45">
        <f t="shared" si="1"/>
        <v>0.34999999999999432</v>
      </c>
      <c r="F112" s="41">
        <v>67.89</v>
      </c>
      <c r="G112" s="41">
        <v>69.62</v>
      </c>
      <c r="H112" s="41">
        <v>1.730000000000004</v>
      </c>
      <c r="I112" s="41">
        <v>81.542518127884264</v>
      </c>
      <c r="J112" s="41">
        <v>0.11375000000000157</v>
      </c>
      <c r="K112" s="41">
        <v>94.340796019900424</v>
      </c>
      <c r="L112" s="46">
        <v>45910</v>
      </c>
      <c r="M112" s="44">
        <v>1</v>
      </c>
    </row>
    <row r="113" spans="1:13" x14ac:dyDescent="0.25">
      <c r="A113" s="39" t="s">
        <v>74</v>
      </c>
      <c r="B113" s="45">
        <v>2.0099999999999998</v>
      </c>
      <c r="C113" s="45">
        <v>70.83</v>
      </c>
      <c r="D113" s="45">
        <v>71.23</v>
      </c>
      <c r="E113" s="45">
        <f t="shared" si="1"/>
        <v>0.40000000000000568</v>
      </c>
      <c r="F113" s="41">
        <v>71.150000000000006</v>
      </c>
      <c r="G113" s="41">
        <v>72.86</v>
      </c>
      <c r="H113" s="41">
        <v>1.7099999999999937</v>
      </c>
      <c r="I113" s="41">
        <v>79.234263465281984</v>
      </c>
      <c r="J113" s="41">
        <v>8.3750000000000435E-2</v>
      </c>
      <c r="K113" s="41">
        <v>95.833333333333314</v>
      </c>
      <c r="L113" s="47">
        <v>45925</v>
      </c>
      <c r="M113" s="45">
        <v>2</v>
      </c>
    </row>
    <row r="114" spans="1:13" x14ac:dyDescent="0.25">
      <c r="A114" s="39" t="s">
        <v>74</v>
      </c>
      <c r="B114" s="45">
        <v>1.95</v>
      </c>
      <c r="C114" s="45">
        <v>70.53</v>
      </c>
      <c r="D114" s="45">
        <v>70.92</v>
      </c>
      <c r="E114" s="45">
        <f t="shared" si="1"/>
        <v>0.39000000000000057</v>
      </c>
      <c r="F114" s="41">
        <v>67.819999999999993</v>
      </c>
      <c r="G114" s="41">
        <v>69.5</v>
      </c>
      <c r="H114" s="41">
        <v>1.6800000000000068</v>
      </c>
      <c r="I114" s="41">
        <v>79.324055666004028</v>
      </c>
      <c r="J114" s="41">
        <v>6.3749999999992646E-2</v>
      </c>
      <c r="K114" s="41">
        <v>96.73076923076961</v>
      </c>
      <c r="L114" s="47">
        <v>45936</v>
      </c>
      <c r="M114" s="45">
        <v>3</v>
      </c>
    </row>
    <row r="115" spans="1:13" x14ac:dyDescent="0.25">
      <c r="A115" s="37" t="s">
        <v>78</v>
      </c>
      <c r="B115" s="44">
        <v>2</v>
      </c>
      <c r="C115" s="44">
        <v>68.55</v>
      </c>
      <c r="D115" s="44">
        <v>69</v>
      </c>
      <c r="E115" s="45">
        <f t="shared" si="1"/>
        <v>0.45000000000000284</v>
      </c>
      <c r="F115" s="41">
        <v>69.260000000000005</v>
      </c>
      <c r="G115" s="41">
        <v>70.930000000000007</v>
      </c>
      <c r="H115" s="41">
        <v>1.6700000000000017</v>
      </c>
      <c r="I115" s="41">
        <v>76.759199483537671</v>
      </c>
      <c r="J115" s="41">
        <v>6.3749999999995532E-2</v>
      </c>
      <c r="K115" s="41">
        <v>96.812500000000227</v>
      </c>
      <c r="L115" s="46">
        <v>45910</v>
      </c>
      <c r="M115" s="44">
        <v>1</v>
      </c>
    </row>
    <row r="116" spans="1:13" x14ac:dyDescent="0.25">
      <c r="A116" s="39" t="s">
        <v>78</v>
      </c>
      <c r="B116" s="45">
        <v>2.02</v>
      </c>
      <c r="C116" s="45">
        <v>69.930000000000007</v>
      </c>
      <c r="D116" s="45">
        <v>70.36</v>
      </c>
      <c r="E116" s="45">
        <f t="shared" si="1"/>
        <v>0.42999999999999261</v>
      </c>
      <c r="F116" s="41">
        <v>69.8</v>
      </c>
      <c r="G116" s="41">
        <v>71.38</v>
      </c>
      <c r="H116" s="41">
        <v>1.5799999999999983</v>
      </c>
      <c r="I116" s="41">
        <v>76.454483230664209</v>
      </c>
      <c r="J116" s="41">
        <v>0.19375000000000919</v>
      </c>
      <c r="K116" s="41">
        <v>90.408415841583704</v>
      </c>
      <c r="L116" s="47">
        <v>45925</v>
      </c>
      <c r="M116" s="45">
        <v>2</v>
      </c>
    </row>
    <row r="117" spans="1:13" x14ac:dyDescent="0.25">
      <c r="A117" s="39" t="s">
        <v>78</v>
      </c>
      <c r="B117" s="45">
        <v>1.97</v>
      </c>
      <c r="C117" s="45">
        <v>69.900000000000006</v>
      </c>
      <c r="D117" s="45">
        <v>70.25</v>
      </c>
      <c r="E117" s="45">
        <f t="shared" si="1"/>
        <v>0.34999999999999432</v>
      </c>
      <c r="F117" s="41">
        <v>68.52</v>
      </c>
      <c r="G117" s="41">
        <v>70.22</v>
      </c>
      <c r="H117" s="41">
        <v>1.7000000000000028</v>
      </c>
      <c r="I117" s="41">
        <v>81.245813797722974</v>
      </c>
      <c r="J117" s="41">
        <v>0.1037500000000029</v>
      </c>
      <c r="K117" s="41">
        <v>94.733502538070923</v>
      </c>
      <c r="L117" s="47">
        <v>45936</v>
      </c>
      <c r="M117" s="45">
        <v>3</v>
      </c>
    </row>
    <row r="118" spans="1:13" x14ac:dyDescent="0.25">
      <c r="A118" s="37" t="s">
        <v>121</v>
      </c>
      <c r="B118" s="44">
        <v>1.95</v>
      </c>
      <c r="C118" s="44">
        <v>67.92</v>
      </c>
      <c r="D118" s="44">
        <v>68.45</v>
      </c>
      <c r="E118" s="45">
        <f t="shared" si="1"/>
        <v>0.53000000000000114</v>
      </c>
      <c r="F118" s="41">
        <v>70.760000000000005</v>
      </c>
      <c r="G118" s="41">
        <v>72.260000000000005</v>
      </c>
      <c r="H118" s="41">
        <v>1.5</v>
      </c>
      <c r="I118" s="41">
        <v>71.293161814488784</v>
      </c>
      <c r="J118" s="41">
        <v>0.1037499999999989</v>
      </c>
      <c r="K118" s="41">
        <v>94.679487179487225</v>
      </c>
      <c r="L118" s="46">
        <v>45915</v>
      </c>
      <c r="M118" s="44">
        <v>1</v>
      </c>
    </row>
    <row r="119" spans="1:13" x14ac:dyDescent="0.25">
      <c r="A119" s="39" t="s">
        <v>121</v>
      </c>
      <c r="B119" s="45">
        <v>1.95</v>
      </c>
      <c r="C119" s="45">
        <v>69.47</v>
      </c>
      <c r="D119" s="45">
        <v>70.09</v>
      </c>
      <c r="E119" s="45">
        <f t="shared" si="1"/>
        <v>0.62000000000000455</v>
      </c>
      <c r="F119" s="41">
        <v>69.05</v>
      </c>
      <c r="G119" s="41">
        <v>70.41</v>
      </c>
      <c r="H119" s="41">
        <v>1.3599999999999994</v>
      </c>
      <c r="I119" s="41">
        <v>65.483646485733999</v>
      </c>
      <c r="J119" s="41">
        <v>0.15374999999999606</v>
      </c>
      <c r="K119" s="41">
        <v>92.115384615384826</v>
      </c>
      <c r="L119" s="47">
        <v>45930</v>
      </c>
      <c r="M119" s="45">
        <v>2</v>
      </c>
    </row>
    <row r="120" spans="1:13" x14ac:dyDescent="0.25">
      <c r="A120" s="39" t="s">
        <v>121</v>
      </c>
      <c r="B120" s="45">
        <v>1.97</v>
      </c>
      <c r="C120" s="45">
        <v>70.959999999999994</v>
      </c>
      <c r="D120" s="45">
        <v>71.489999999999995</v>
      </c>
      <c r="E120" s="45">
        <f t="shared" si="1"/>
        <v>0.53000000000000114</v>
      </c>
      <c r="F120" s="41">
        <v>69.319999999999993</v>
      </c>
      <c r="G120" s="41">
        <v>70.77</v>
      </c>
      <c r="H120" s="41">
        <v>1.4500000000000028</v>
      </c>
      <c r="I120" s="41">
        <v>70.494084899095327</v>
      </c>
      <c r="J120" s="41">
        <v>0.17374999999999607</v>
      </c>
      <c r="K120" s="41">
        <v>91.180203045685488</v>
      </c>
      <c r="L120" s="47">
        <v>45943</v>
      </c>
      <c r="M120" s="45">
        <v>3</v>
      </c>
    </row>
    <row r="121" spans="1:13" x14ac:dyDescent="0.25">
      <c r="A121" s="37" t="s">
        <v>117</v>
      </c>
      <c r="B121" s="44">
        <v>2.0099999999999998</v>
      </c>
      <c r="C121" s="44">
        <v>70.02</v>
      </c>
      <c r="D121" s="44">
        <v>70.62</v>
      </c>
      <c r="E121" s="45">
        <f t="shared" si="1"/>
        <v>0.60000000000000853</v>
      </c>
      <c r="F121" s="41">
        <v>69.150000000000006</v>
      </c>
      <c r="G121" s="41">
        <v>70.67</v>
      </c>
      <c r="H121" s="41">
        <v>1.519999999999996</v>
      </c>
      <c r="I121" s="41">
        <v>69.012265978049996</v>
      </c>
      <c r="J121" s="41">
        <v>7.3749999999995319E-2</v>
      </c>
      <c r="K121" s="41">
        <v>96.33084577114451</v>
      </c>
      <c r="L121" s="46">
        <v>45915</v>
      </c>
      <c r="M121" s="44">
        <v>1</v>
      </c>
    </row>
    <row r="122" spans="1:13" x14ac:dyDescent="0.25">
      <c r="A122" s="39" t="s">
        <v>117</v>
      </c>
      <c r="B122" s="45">
        <v>1.98</v>
      </c>
      <c r="C122" s="45">
        <v>69.33</v>
      </c>
      <c r="D122" s="45">
        <v>69.97</v>
      </c>
      <c r="E122" s="45">
        <f t="shared" si="1"/>
        <v>0.64000000000000057</v>
      </c>
      <c r="F122" s="41">
        <v>72</v>
      </c>
      <c r="G122" s="41">
        <v>73.38</v>
      </c>
      <c r="H122" s="41">
        <v>1.3799999999999955</v>
      </c>
      <c r="I122" s="41">
        <v>65.14635806671194</v>
      </c>
      <c r="J122" s="41">
        <v>0.14375000000000404</v>
      </c>
      <c r="K122" s="41">
        <v>92.739898989898791</v>
      </c>
      <c r="L122" s="47">
        <v>45932</v>
      </c>
      <c r="M122" s="45">
        <v>2</v>
      </c>
    </row>
    <row r="123" spans="1:13" x14ac:dyDescent="0.25">
      <c r="A123" s="37" t="s">
        <v>126</v>
      </c>
      <c r="B123" s="44">
        <v>2.04</v>
      </c>
      <c r="C123" s="44">
        <v>40.07</v>
      </c>
      <c r="D123" s="44">
        <v>40.68</v>
      </c>
      <c r="E123" s="45">
        <f t="shared" si="1"/>
        <v>0.60999999999999943</v>
      </c>
      <c r="F123" s="41">
        <v>70.489999999999995</v>
      </c>
      <c r="G123" s="41">
        <v>71.989999999999995</v>
      </c>
      <c r="H123" s="41">
        <v>1.5</v>
      </c>
      <c r="I123" s="41">
        <v>68.332251784555496</v>
      </c>
      <c r="J123" s="41">
        <v>0.11375000000000068</v>
      </c>
      <c r="K123" s="41">
        <v>94.424019607843107</v>
      </c>
      <c r="L123" s="46">
        <v>45924</v>
      </c>
      <c r="M123" s="44">
        <v>1</v>
      </c>
    </row>
    <row r="124" spans="1:13" x14ac:dyDescent="0.25">
      <c r="A124" s="39" t="s">
        <v>126</v>
      </c>
      <c r="B124" s="45">
        <v>1.96</v>
      </c>
      <c r="C124" s="45">
        <v>71.709999999999994</v>
      </c>
      <c r="D124" s="45">
        <v>72.290000000000006</v>
      </c>
      <c r="E124" s="45">
        <f t="shared" si="1"/>
        <v>0.58000000000001251</v>
      </c>
      <c r="F124" s="41">
        <v>70.12</v>
      </c>
      <c r="G124" s="41">
        <v>71.13</v>
      </c>
      <c r="H124" s="41">
        <v>1.0099999999999909</v>
      </c>
      <c r="I124" s="41">
        <v>58.755555555554771</v>
      </c>
      <c r="J124" s="41">
        <v>0.55374999999999652</v>
      </c>
      <c r="K124" s="41">
        <v>71.747448979592008</v>
      </c>
      <c r="L124" s="47">
        <v>45925</v>
      </c>
      <c r="M124" s="45">
        <v>2</v>
      </c>
    </row>
    <row r="125" spans="1:13" x14ac:dyDescent="0.25">
      <c r="A125" s="39" t="s">
        <v>126</v>
      </c>
      <c r="B125" s="45">
        <v>1.96</v>
      </c>
      <c r="C125" s="45">
        <v>69.37</v>
      </c>
      <c r="D125" s="45">
        <v>69.86</v>
      </c>
      <c r="E125" s="45">
        <f t="shared" si="1"/>
        <v>0.48999999999999488</v>
      </c>
      <c r="F125" s="41">
        <v>69.12</v>
      </c>
      <c r="G125" s="41">
        <v>70.650000000000006</v>
      </c>
      <c r="H125" s="41">
        <v>1.5300000000000011</v>
      </c>
      <c r="I125" s="41">
        <v>73.315180394826626</v>
      </c>
      <c r="J125" s="41">
        <v>0.12375000000000402</v>
      </c>
      <c r="K125" s="41">
        <v>93.686224489795705</v>
      </c>
      <c r="L125" s="47">
        <v>45940</v>
      </c>
      <c r="M125" s="45">
        <v>3</v>
      </c>
    </row>
    <row r="126" spans="1:13" x14ac:dyDescent="0.25">
      <c r="A126" s="37" t="s">
        <v>125</v>
      </c>
      <c r="B126" s="44">
        <v>2.02</v>
      </c>
      <c r="C126" s="44">
        <v>42.29</v>
      </c>
      <c r="D126" s="44">
        <v>42.64</v>
      </c>
      <c r="E126" s="45">
        <f t="shared" si="1"/>
        <v>0.35000000000000142</v>
      </c>
      <c r="F126" s="41">
        <v>70.900000000000006</v>
      </c>
      <c r="G126" s="41">
        <v>72.66</v>
      </c>
      <c r="H126" s="41">
        <v>1.7599999999999909</v>
      </c>
      <c r="I126" s="41">
        <v>81.829980532121851</v>
      </c>
      <c r="J126" s="41">
        <v>9.3750000000007772E-2</v>
      </c>
      <c r="K126" s="41">
        <v>95.358910891088726</v>
      </c>
      <c r="L126" s="46">
        <v>45924</v>
      </c>
      <c r="M126" s="44">
        <v>1</v>
      </c>
    </row>
    <row r="127" spans="1:13" x14ac:dyDescent="0.25">
      <c r="A127" s="39" t="s">
        <v>125</v>
      </c>
      <c r="B127" s="45">
        <v>1.99</v>
      </c>
      <c r="C127" s="45">
        <v>70.86</v>
      </c>
      <c r="D127" s="45">
        <v>71.150000000000006</v>
      </c>
      <c r="E127" s="45">
        <f t="shared" si="1"/>
        <v>0.29000000000000625</v>
      </c>
      <c r="F127" s="41">
        <v>68.67</v>
      </c>
      <c r="G127" s="41">
        <v>70.47</v>
      </c>
      <c r="H127" s="41">
        <v>1.7999999999999972</v>
      </c>
      <c r="I127" s="41">
        <v>84.786885245901331</v>
      </c>
      <c r="J127" s="41">
        <v>8.374999999999666E-2</v>
      </c>
      <c r="K127" s="41">
        <v>95.791457286432319</v>
      </c>
      <c r="L127" s="47">
        <v>45936</v>
      </c>
      <c r="M127" s="45">
        <v>2</v>
      </c>
    </row>
    <row r="128" spans="1:13" x14ac:dyDescent="0.25">
      <c r="A128" s="39" t="s">
        <v>125</v>
      </c>
      <c r="B128" s="45">
        <v>1.98</v>
      </c>
      <c r="C128" s="45">
        <v>70.180000000000007</v>
      </c>
      <c r="D128" s="45">
        <v>70.489999999999995</v>
      </c>
      <c r="E128" s="45">
        <f t="shared" si="1"/>
        <v>0.30999999999998806</v>
      </c>
      <c r="F128" s="41">
        <v>68.47</v>
      </c>
      <c r="G128" s="41">
        <v>70.2</v>
      </c>
      <c r="H128" s="41">
        <v>1.730000000000004</v>
      </c>
      <c r="I128" s="41">
        <v>83.299663299663877</v>
      </c>
      <c r="J128" s="41">
        <v>0.12375000000000802</v>
      </c>
      <c r="K128" s="41">
        <v>93.749999999999602</v>
      </c>
      <c r="L128" s="47">
        <v>45940</v>
      </c>
      <c r="M128" s="45">
        <v>3</v>
      </c>
    </row>
    <row r="129" spans="1:13" x14ac:dyDescent="0.25">
      <c r="A129" s="37" t="s">
        <v>128</v>
      </c>
      <c r="B129" s="44">
        <v>2.0299999999999998</v>
      </c>
      <c r="C129" s="44">
        <v>41.76</v>
      </c>
      <c r="D129" s="44">
        <v>42.08</v>
      </c>
      <c r="E129" s="45">
        <f t="shared" si="1"/>
        <v>0.32000000000000028</v>
      </c>
      <c r="F129" s="41">
        <v>69.19</v>
      </c>
      <c r="G129" s="41">
        <v>71.03</v>
      </c>
      <c r="H129" s="41">
        <v>1.8400000000000034</v>
      </c>
      <c r="I129" s="41">
        <v>83.807716635041132</v>
      </c>
      <c r="J129" s="41">
        <v>5.374999999999619E-2</v>
      </c>
      <c r="K129" s="41">
        <v>97.352216748768654</v>
      </c>
      <c r="L129" s="46">
        <v>45924</v>
      </c>
      <c r="M129" s="44">
        <v>1</v>
      </c>
    </row>
    <row r="130" spans="1:13" x14ac:dyDescent="0.25">
      <c r="A130" s="39" t="s">
        <v>128</v>
      </c>
      <c r="B130" s="45">
        <v>1.98</v>
      </c>
      <c r="C130" s="45">
        <v>69.099999999999994</v>
      </c>
      <c r="D130" s="45">
        <v>69.510000000000005</v>
      </c>
      <c r="E130" s="45">
        <f t="shared" ref="E130:E193" si="2">D130-C130</f>
        <v>0.4100000000000108</v>
      </c>
      <c r="F130" s="41">
        <v>69.37</v>
      </c>
      <c r="G130" s="41">
        <v>71.03</v>
      </c>
      <c r="H130" s="41">
        <v>1.6599999999999966</v>
      </c>
      <c r="I130" s="41">
        <v>78.26375082836266</v>
      </c>
      <c r="J130" s="41">
        <v>9.3749999999992673E-2</v>
      </c>
      <c r="K130" s="41">
        <v>95.265151515151885</v>
      </c>
      <c r="L130" s="47">
        <v>45930</v>
      </c>
      <c r="M130" s="45">
        <v>2</v>
      </c>
    </row>
    <row r="131" spans="1:13" x14ac:dyDescent="0.25">
      <c r="A131" s="39" t="s">
        <v>128</v>
      </c>
      <c r="B131" s="45">
        <v>1.95</v>
      </c>
      <c r="C131" s="45">
        <v>70.900000000000006</v>
      </c>
      <c r="D131" s="45">
        <v>71.31</v>
      </c>
      <c r="E131" s="45">
        <f t="shared" si="2"/>
        <v>0.40999999999999659</v>
      </c>
      <c r="F131" s="41">
        <v>69.39</v>
      </c>
      <c r="G131" s="41">
        <v>71.03</v>
      </c>
      <c r="H131" s="41">
        <v>1.6400000000000006</v>
      </c>
      <c r="I131" s="41">
        <v>78.030810448761031</v>
      </c>
      <c r="J131" s="41">
        <v>8.3750000000002878E-2</v>
      </c>
      <c r="K131" s="41">
        <v>95.705128205128048</v>
      </c>
      <c r="L131" s="47">
        <v>45943</v>
      </c>
      <c r="M131" s="45">
        <v>3</v>
      </c>
    </row>
    <row r="132" spans="1:13" x14ac:dyDescent="0.25">
      <c r="A132" s="37" t="s">
        <v>109</v>
      </c>
      <c r="B132" s="44">
        <v>1.98</v>
      </c>
      <c r="C132" s="44">
        <v>70.239999999999995</v>
      </c>
      <c r="D132" s="44">
        <v>70.78</v>
      </c>
      <c r="E132" s="45">
        <f t="shared" si="2"/>
        <v>0.54000000000000625</v>
      </c>
      <c r="F132" s="41">
        <v>70.62</v>
      </c>
      <c r="G132" s="41">
        <v>72.17</v>
      </c>
      <c r="H132" s="41">
        <v>1.5499999999999972</v>
      </c>
      <c r="I132" s="41">
        <v>71.672131147540711</v>
      </c>
      <c r="J132" s="41">
        <v>7.3749999999996652E-2</v>
      </c>
      <c r="K132" s="41">
        <v>96.275252525252697</v>
      </c>
      <c r="L132" s="46">
        <v>45912</v>
      </c>
      <c r="M132" s="44">
        <v>1</v>
      </c>
    </row>
    <row r="133" spans="1:13" x14ac:dyDescent="0.25">
      <c r="A133" s="39" t="s">
        <v>109</v>
      </c>
      <c r="B133" s="45">
        <v>2.04</v>
      </c>
      <c r="C133" s="45">
        <v>69.040000000000006</v>
      </c>
      <c r="D133" s="45">
        <v>69.63</v>
      </c>
      <c r="E133" s="45">
        <f t="shared" si="2"/>
        <v>0.5899999999999892</v>
      </c>
      <c r="F133" s="41">
        <v>71.790000000000006</v>
      </c>
      <c r="G133" s="41">
        <v>73.31</v>
      </c>
      <c r="H133" s="41">
        <v>1.519999999999996</v>
      </c>
      <c r="I133" s="41">
        <v>69.370538611291693</v>
      </c>
      <c r="J133" s="41">
        <v>0.11375000000001489</v>
      </c>
      <c r="K133" s="41">
        <v>94.424019607842396</v>
      </c>
      <c r="L133" s="47">
        <v>45932</v>
      </c>
      <c r="M133" s="45">
        <v>2</v>
      </c>
    </row>
    <row r="134" spans="1:13" x14ac:dyDescent="0.25">
      <c r="A134" s="39" t="s">
        <v>109</v>
      </c>
      <c r="B134" s="45">
        <v>2</v>
      </c>
      <c r="C134" s="45">
        <v>68.59</v>
      </c>
      <c r="D134" s="45">
        <v>69.09</v>
      </c>
      <c r="E134" s="45">
        <f t="shared" si="2"/>
        <v>0.5</v>
      </c>
      <c r="F134" s="41">
        <v>70.81</v>
      </c>
      <c r="G134" s="41">
        <v>72.39</v>
      </c>
      <c r="H134" s="41">
        <v>1.5799999999999983</v>
      </c>
      <c r="I134" s="41">
        <v>73.632168754119959</v>
      </c>
      <c r="J134" s="41">
        <v>0.10375000000000179</v>
      </c>
      <c r="K134" s="41">
        <v>94.812499999999915</v>
      </c>
      <c r="L134" s="47">
        <v>45943</v>
      </c>
      <c r="M134" s="45">
        <v>3</v>
      </c>
    </row>
    <row r="135" spans="1:13" x14ac:dyDescent="0.25">
      <c r="A135" s="39" t="s">
        <v>148</v>
      </c>
      <c r="B135" s="45">
        <v>2.0299999999999998</v>
      </c>
      <c r="C135" s="45">
        <v>70.44</v>
      </c>
      <c r="D135" s="45">
        <v>71.03</v>
      </c>
      <c r="E135" s="45">
        <f t="shared" si="2"/>
        <v>0.59000000000000341</v>
      </c>
      <c r="F135" s="41">
        <v>71.05</v>
      </c>
      <c r="G135" s="41">
        <v>72.540000000000006</v>
      </c>
      <c r="H135" s="41">
        <v>1.4900000000000091</v>
      </c>
      <c r="I135" s="41">
        <v>68.88595912986159</v>
      </c>
      <c r="J135" s="41">
        <v>0.13374999999998738</v>
      </c>
      <c r="K135" s="41">
        <v>93.411330049261707</v>
      </c>
      <c r="L135" s="47">
        <v>45925</v>
      </c>
      <c r="M135" s="45">
        <v>1</v>
      </c>
    </row>
    <row r="136" spans="1:13" x14ac:dyDescent="0.25">
      <c r="A136" s="39" t="s">
        <v>148</v>
      </c>
      <c r="B136" s="45">
        <v>1.98</v>
      </c>
      <c r="C136" s="45">
        <v>72.150000000000006</v>
      </c>
      <c r="D136" s="45">
        <v>72.760000000000005</v>
      </c>
      <c r="E136" s="45">
        <f t="shared" si="2"/>
        <v>0.60999999999999943</v>
      </c>
      <c r="F136" s="41">
        <v>71.52</v>
      </c>
      <c r="G136" s="41">
        <v>72.95</v>
      </c>
      <c r="H136" s="41">
        <v>1.4300000000000068</v>
      </c>
      <c r="I136" s="41">
        <v>67.13804713804727</v>
      </c>
      <c r="J136" s="41">
        <v>0.12374999999999381</v>
      </c>
      <c r="K136" s="41">
        <v>93.750000000000313</v>
      </c>
      <c r="L136" s="47">
        <v>45930</v>
      </c>
      <c r="M136" s="45">
        <v>2</v>
      </c>
    </row>
    <row r="137" spans="1:13" x14ac:dyDescent="0.25">
      <c r="A137" s="39" t="s">
        <v>148</v>
      </c>
      <c r="B137" s="45">
        <v>1.96</v>
      </c>
      <c r="C137" s="45">
        <v>70.12</v>
      </c>
      <c r="D137" s="45">
        <v>70.680000000000007</v>
      </c>
      <c r="E137" s="45">
        <f t="shared" si="2"/>
        <v>0.56000000000000227</v>
      </c>
      <c r="F137" s="41">
        <v>70.31</v>
      </c>
      <c r="G137" s="41">
        <v>71.78</v>
      </c>
      <c r="H137" s="41">
        <v>1.4699999999999989</v>
      </c>
      <c r="I137" s="41">
        <v>69.66824644549753</v>
      </c>
      <c r="J137" s="41">
        <v>0.11374999999999891</v>
      </c>
      <c r="K137" s="41">
        <v>94.196428571428626</v>
      </c>
      <c r="L137" s="47">
        <v>45943</v>
      </c>
      <c r="M137" s="45">
        <v>3</v>
      </c>
    </row>
    <row r="138" spans="1:13" x14ac:dyDescent="0.25">
      <c r="A138" s="37" t="s">
        <v>116</v>
      </c>
      <c r="B138" s="44">
        <v>2.02</v>
      </c>
      <c r="C138" s="44">
        <v>70.02</v>
      </c>
      <c r="D138" s="44">
        <v>70.760000000000005</v>
      </c>
      <c r="E138" s="45">
        <f t="shared" si="2"/>
        <v>0.74000000000000909</v>
      </c>
      <c r="F138" s="41">
        <v>70.03</v>
      </c>
      <c r="G138" s="41">
        <v>71.45</v>
      </c>
      <c r="H138" s="41">
        <v>1.4200000000000017</v>
      </c>
      <c r="I138" s="41">
        <v>62.555344718532311</v>
      </c>
      <c r="J138" s="41">
        <v>4.3749999999989297E-2</v>
      </c>
      <c r="K138" s="41">
        <v>97.834158415842111</v>
      </c>
      <c r="L138" s="46">
        <v>45912</v>
      </c>
      <c r="M138" s="44">
        <v>1</v>
      </c>
    </row>
    <row r="139" spans="1:13" x14ac:dyDescent="0.25">
      <c r="A139" s="39" t="s">
        <v>116</v>
      </c>
      <c r="B139" s="45">
        <v>1.96</v>
      </c>
      <c r="C139" s="45">
        <v>69.97</v>
      </c>
      <c r="D139" s="45">
        <v>70.709999999999994</v>
      </c>
      <c r="E139" s="45">
        <f t="shared" si="2"/>
        <v>0.73999999999999488</v>
      </c>
      <c r="F139" s="41">
        <v>70.36</v>
      </c>
      <c r="G139" s="41">
        <v>71.7</v>
      </c>
      <c r="H139" s="41">
        <v>1.3400000000000034</v>
      </c>
      <c r="I139" s="41">
        <v>60.975609756097796</v>
      </c>
      <c r="J139" s="41">
        <v>6.375000000000175E-2</v>
      </c>
      <c r="K139" s="41">
        <v>96.747448979591738</v>
      </c>
      <c r="L139" s="47">
        <v>45932</v>
      </c>
      <c r="M139" s="45">
        <v>2</v>
      </c>
    </row>
    <row r="140" spans="1:13" x14ac:dyDescent="0.25">
      <c r="A140" s="39" t="s">
        <v>116</v>
      </c>
      <c r="B140" s="45">
        <v>2.0299999999999998</v>
      </c>
      <c r="C140" s="45">
        <v>70.33</v>
      </c>
      <c r="D140" s="45">
        <v>71.09</v>
      </c>
      <c r="E140" s="45">
        <f t="shared" si="2"/>
        <v>0.76000000000000512</v>
      </c>
      <c r="F140" s="41">
        <v>69.25</v>
      </c>
      <c r="G140" s="41">
        <v>70.62</v>
      </c>
      <c r="H140" s="41">
        <v>1.3700000000000045</v>
      </c>
      <c r="I140" s="41">
        <v>60.950545921644114</v>
      </c>
      <c r="J140" s="41">
        <v>8.3749999999990221E-2</v>
      </c>
      <c r="K140" s="41">
        <v>95.874384236453679</v>
      </c>
      <c r="L140" s="47">
        <v>45943</v>
      </c>
      <c r="M140" s="45">
        <v>3</v>
      </c>
    </row>
    <row r="141" spans="1:13" x14ac:dyDescent="0.25">
      <c r="A141" s="37" t="s">
        <v>124</v>
      </c>
      <c r="B141" s="44">
        <v>1.98</v>
      </c>
      <c r="C141" s="44">
        <v>69.84</v>
      </c>
      <c r="D141" s="44">
        <v>70.06</v>
      </c>
      <c r="E141" s="45">
        <f t="shared" si="2"/>
        <v>0.21999999999999886</v>
      </c>
      <c r="F141" s="41">
        <v>68.599999999999994</v>
      </c>
      <c r="G141" s="41">
        <v>70.48</v>
      </c>
      <c r="H141" s="41">
        <v>1.8800000000000097</v>
      </c>
      <c r="I141" s="41">
        <v>88.51924331376398</v>
      </c>
      <c r="J141" s="41">
        <v>6.3749999999991536E-2</v>
      </c>
      <c r="K141" s="41">
        <v>96.780303030303457</v>
      </c>
      <c r="L141" s="46">
        <v>45915</v>
      </c>
      <c r="M141" s="44">
        <v>1</v>
      </c>
    </row>
    <row r="142" spans="1:13" x14ac:dyDescent="0.25">
      <c r="A142" s="39" t="s">
        <v>124</v>
      </c>
      <c r="B142" s="45">
        <v>1.96</v>
      </c>
      <c r="C142" s="45">
        <v>71.19</v>
      </c>
      <c r="D142" s="45">
        <v>71.400000000000006</v>
      </c>
      <c r="E142" s="45">
        <f t="shared" si="2"/>
        <v>0.21000000000000796</v>
      </c>
      <c r="F142" s="41">
        <v>70.42</v>
      </c>
      <c r="G142" s="41">
        <v>72.25</v>
      </c>
      <c r="H142" s="41">
        <v>1.8299999999999983</v>
      </c>
      <c r="I142" s="41">
        <v>88.686868686868294</v>
      </c>
      <c r="J142" s="41">
        <v>0.10374999999999379</v>
      </c>
      <c r="K142" s="41">
        <v>94.706632653061547</v>
      </c>
      <c r="L142" s="47">
        <v>45932</v>
      </c>
      <c r="M142" s="45">
        <v>2</v>
      </c>
    </row>
    <row r="143" spans="1:13" x14ac:dyDescent="0.25">
      <c r="A143" s="39" t="s">
        <v>124</v>
      </c>
      <c r="B143" s="45">
        <v>1.99</v>
      </c>
      <c r="C143" s="45">
        <v>68.56</v>
      </c>
      <c r="D143" s="45">
        <v>68.75</v>
      </c>
      <c r="E143" s="45">
        <f t="shared" si="2"/>
        <v>0.18999999999999773</v>
      </c>
      <c r="F143" s="41">
        <v>70.88</v>
      </c>
      <c r="G143" s="41">
        <v>72.72</v>
      </c>
      <c r="H143" s="41">
        <v>1.8400000000000034</v>
      </c>
      <c r="I143" s="41">
        <v>89.708869329722546</v>
      </c>
      <c r="J143" s="41">
        <v>0.14374999999999893</v>
      </c>
      <c r="K143" s="41">
        <v>92.776381909547794</v>
      </c>
      <c r="L143" s="47">
        <v>45940</v>
      </c>
      <c r="M143" s="45">
        <v>3</v>
      </c>
    </row>
    <row r="144" spans="1:13" x14ac:dyDescent="0.25">
      <c r="A144" s="37" t="s">
        <v>111</v>
      </c>
      <c r="B144" s="44">
        <v>1.98</v>
      </c>
      <c r="C144" s="44">
        <v>70.5</v>
      </c>
      <c r="D144" s="44">
        <v>70.61</v>
      </c>
      <c r="E144" s="45">
        <f t="shared" si="2"/>
        <v>0.10999999999999943</v>
      </c>
      <c r="F144" s="41">
        <v>67.87</v>
      </c>
      <c r="G144" s="41">
        <v>69.81</v>
      </c>
      <c r="H144" s="41">
        <v>1.9399999999999977</v>
      </c>
      <c r="I144" s="41">
        <v>94.105827193570008</v>
      </c>
      <c r="J144" s="41">
        <v>0.1137500000000029</v>
      </c>
      <c r="K144" s="41">
        <v>94.255050505050349</v>
      </c>
      <c r="L144" s="46">
        <v>45912</v>
      </c>
      <c r="M144" s="44">
        <v>1</v>
      </c>
    </row>
    <row r="145" spans="1:13" x14ac:dyDescent="0.25">
      <c r="A145" s="39" t="s">
        <v>111</v>
      </c>
      <c r="B145" s="45">
        <v>1.99</v>
      </c>
      <c r="C145" s="45">
        <v>70.92</v>
      </c>
      <c r="D145" s="45">
        <v>71.03</v>
      </c>
      <c r="E145" s="45">
        <f t="shared" si="2"/>
        <v>0.10999999999999943</v>
      </c>
      <c r="F145" s="41">
        <v>69.84</v>
      </c>
      <c r="G145" s="41">
        <v>71.790000000000006</v>
      </c>
      <c r="H145" s="41">
        <v>1.9500000000000028</v>
      </c>
      <c r="I145" s="41">
        <v>94.137241838774187</v>
      </c>
      <c r="J145" s="41">
        <v>0.1137499999999978</v>
      </c>
      <c r="K145" s="41">
        <v>94.283919597990064</v>
      </c>
      <c r="L145" s="47">
        <v>45925</v>
      </c>
      <c r="M145" s="45">
        <v>2</v>
      </c>
    </row>
    <row r="146" spans="1:13" x14ac:dyDescent="0.25">
      <c r="A146" s="39" t="s">
        <v>111</v>
      </c>
      <c r="B146" s="45">
        <v>2</v>
      </c>
      <c r="C146" s="45">
        <v>68.58</v>
      </c>
      <c r="D146" s="45">
        <v>68.709999999999994</v>
      </c>
      <c r="E146" s="45">
        <f t="shared" si="2"/>
        <v>0.12999999999999545</v>
      </c>
      <c r="F146" s="41">
        <v>68.17</v>
      </c>
      <c r="G146" s="41">
        <v>70.069999999999993</v>
      </c>
      <c r="H146" s="41">
        <v>1.8999999999999915</v>
      </c>
      <c r="I146" s="41">
        <v>92.958700067704996</v>
      </c>
      <c r="J146" s="41">
        <v>0.15375000000001315</v>
      </c>
      <c r="K146" s="41">
        <v>92.312499999999346</v>
      </c>
      <c r="L146" s="47">
        <v>45943</v>
      </c>
      <c r="M146" s="45">
        <v>3</v>
      </c>
    </row>
    <row r="147" spans="1:13" x14ac:dyDescent="0.25">
      <c r="A147" s="37" t="s">
        <v>122</v>
      </c>
      <c r="B147" s="44">
        <v>2</v>
      </c>
      <c r="C147" s="44">
        <v>70.28</v>
      </c>
      <c r="D147" s="44">
        <v>70.88</v>
      </c>
      <c r="E147" s="45">
        <f t="shared" si="2"/>
        <v>0.59999999999999432</v>
      </c>
      <c r="F147" s="41">
        <v>73.819999999999993</v>
      </c>
      <c r="G147" s="41">
        <v>75.28</v>
      </c>
      <c r="H147" s="41">
        <v>1.460000000000008</v>
      </c>
      <c r="I147" s="41">
        <v>68.021319120586625</v>
      </c>
      <c r="J147" s="41">
        <v>0.12374999999999781</v>
      </c>
      <c r="K147" s="41">
        <v>93.812500000000114</v>
      </c>
      <c r="L147" s="46">
        <v>45915</v>
      </c>
      <c r="M147" s="44">
        <v>1</v>
      </c>
    </row>
    <row r="148" spans="1:13" x14ac:dyDescent="0.25">
      <c r="A148" s="39" t="s">
        <v>122</v>
      </c>
      <c r="B148" s="45">
        <v>1.97</v>
      </c>
      <c r="C148" s="45">
        <v>70.88</v>
      </c>
      <c r="D148" s="45">
        <v>71.39</v>
      </c>
      <c r="E148" s="45">
        <f t="shared" si="2"/>
        <v>0.51000000000000512</v>
      </c>
      <c r="F148" s="41">
        <v>70.55</v>
      </c>
      <c r="G148" s="41">
        <v>72.06</v>
      </c>
      <c r="H148" s="41">
        <v>1.5100000000000051</v>
      </c>
      <c r="I148" s="41">
        <v>72.226004084411045</v>
      </c>
      <c r="J148" s="41">
        <v>0.13374999999998982</v>
      </c>
      <c r="K148" s="41">
        <v>93.210659898477672</v>
      </c>
      <c r="L148" s="47">
        <v>45932</v>
      </c>
      <c r="M148" s="45">
        <v>2</v>
      </c>
    </row>
    <row r="149" spans="1:13" x14ac:dyDescent="0.25">
      <c r="A149" s="39" t="s">
        <v>122</v>
      </c>
      <c r="B149" s="45">
        <v>2.02</v>
      </c>
      <c r="C149" s="45">
        <v>69.58</v>
      </c>
      <c r="D149" s="45">
        <v>70.17</v>
      </c>
      <c r="E149" s="45">
        <f t="shared" si="2"/>
        <v>0.59000000000000341</v>
      </c>
      <c r="F149" s="41">
        <v>70.02</v>
      </c>
      <c r="G149" s="41">
        <v>71.2</v>
      </c>
      <c r="H149" s="41">
        <v>1.1800000000000068</v>
      </c>
      <c r="I149" s="41">
        <v>62.805358550039436</v>
      </c>
      <c r="J149" s="41">
        <v>0.43374999999998975</v>
      </c>
      <c r="K149" s="41">
        <v>78.527227722772778</v>
      </c>
      <c r="L149" s="47">
        <v>45936</v>
      </c>
      <c r="M149" s="45">
        <v>3</v>
      </c>
    </row>
    <row r="150" spans="1:13" x14ac:dyDescent="0.25">
      <c r="A150" s="39" t="s">
        <v>115</v>
      </c>
      <c r="B150" s="45">
        <v>2.0099999999999998</v>
      </c>
      <c r="C150" s="45">
        <v>69.319999999999993</v>
      </c>
      <c r="D150" s="45">
        <v>69.56</v>
      </c>
      <c r="E150" s="45">
        <f t="shared" si="2"/>
        <v>0.24000000000000909</v>
      </c>
      <c r="F150" s="41">
        <v>71.86</v>
      </c>
      <c r="G150" s="41">
        <v>73.680000000000007</v>
      </c>
      <c r="H150" s="41">
        <v>1.8200000000000074</v>
      </c>
      <c r="I150" s="41">
        <v>87.208527648234138</v>
      </c>
      <c r="J150" s="41">
        <v>0.13374999999998338</v>
      </c>
      <c r="K150" s="41">
        <v>93.345771144279439</v>
      </c>
      <c r="L150" s="47">
        <v>45925</v>
      </c>
      <c r="M150" s="45">
        <v>2</v>
      </c>
    </row>
    <row r="151" spans="1:13" x14ac:dyDescent="0.25">
      <c r="A151" s="39" t="s">
        <v>115</v>
      </c>
      <c r="B151" s="45">
        <v>1.95</v>
      </c>
      <c r="C151" s="45">
        <v>70.23</v>
      </c>
      <c r="D151" s="45">
        <v>70.44</v>
      </c>
      <c r="E151" s="45">
        <f t="shared" si="2"/>
        <v>0.20999999999999375</v>
      </c>
      <c r="F151" s="41">
        <v>70.150000000000006</v>
      </c>
      <c r="G151" s="41">
        <v>71.78</v>
      </c>
      <c r="H151" s="41">
        <v>1.6299999999999955</v>
      </c>
      <c r="I151" s="41">
        <v>87.320754716981426</v>
      </c>
      <c r="J151" s="41">
        <v>0.29375000000001084</v>
      </c>
      <c r="K151" s="41">
        <v>84.935897435896877</v>
      </c>
      <c r="L151" s="47">
        <v>45936</v>
      </c>
      <c r="M151" s="45">
        <v>3</v>
      </c>
    </row>
    <row r="152" spans="1:13" x14ac:dyDescent="0.25">
      <c r="A152" s="39" t="s">
        <v>115</v>
      </c>
      <c r="B152" s="45">
        <v>1.96</v>
      </c>
      <c r="C152" s="45">
        <v>70.03</v>
      </c>
      <c r="D152" s="45">
        <v>70.23</v>
      </c>
      <c r="E152" s="45">
        <f t="shared" si="2"/>
        <v>0.20000000000000284</v>
      </c>
      <c r="F152" s="41">
        <v>71.55</v>
      </c>
      <c r="G152" s="41">
        <v>73.37</v>
      </c>
      <c r="H152" s="41">
        <v>1.8200000000000074</v>
      </c>
      <c r="I152" s="41">
        <v>89.108236895847426</v>
      </c>
      <c r="J152" s="41">
        <v>0.12374999999998981</v>
      </c>
      <c r="K152" s="41">
        <v>93.686224489796444</v>
      </c>
      <c r="L152" s="47">
        <v>45944</v>
      </c>
      <c r="M152" s="45">
        <v>3</v>
      </c>
    </row>
    <row r="153" spans="1:13" x14ac:dyDescent="0.25">
      <c r="A153" s="37" t="s">
        <v>112</v>
      </c>
      <c r="B153" s="44">
        <v>1.99</v>
      </c>
      <c r="C153" s="44">
        <v>70.89</v>
      </c>
      <c r="D153" s="44">
        <v>71.23</v>
      </c>
      <c r="E153" s="45">
        <f t="shared" si="2"/>
        <v>0.34000000000000341</v>
      </c>
      <c r="F153" s="41">
        <v>70.42</v>
      </c>
      <c r="G153" s="41">
        <v>72.180000000000007</v>
      </c>
      <c r="H153" s="41">
        <v>1.7600000000000051</v>
      </c>
      <c r="I153" s="41">
        <v>82.257012393998593</v>
      </c>
      <c r="J153" s="41">
        <v>7.3749999999991545E-2</v>
      </c>
      <c r="K153" s="41">
        <v>96.29396984924665</v>
      </c>
      <c r="L153" s="46">
        <v>45912</v>
      </c>
      <c r="M153" s="44">
        <v>1</v>
      </c>
    </row>
    <row r="154" spans="1:13" x14ac:dyDescent="0.25">
      <c r="A154" s="39" t="s">
        <v>112</v>
      </c>
      <c r="B154" s="45">
        <v>1.95</v>
      </c>
      <c r="C154" s="45">
        <v>68.91</v>
      </c>
      <c r="D154" s="45">
        <v>69.19</v>
      </c>
      <c r="E154" s="45">
        <f t="shared" si="2"/>
        <v>0.28000000000000114</v>
      </c>
      <c r="F154" s="41">
        <v>69.680000000000007</v>
      </c>
      <c r="G154" s="41">
        <v>71.48</v>
      </c>
      <c r="H154" s="41">
        <v>1.7999999999999972</v>
      </c>
      <c r="I154" s="41">
        <v>85.234014502307105</v>
      </c>
      <c r="J154" s="41">
        <v>5.3750000000001741E-2</v>
      </c>
      <c r="K154" s="41">
        <v>97.243589743589652</v>
      </c>
      <c r="L154" s="47">
        <v>45936</v>
      </c>
      <c r="M154" s="45">
        <v>2</v>
      </c>
    </row>
    <row r="155" spans="1:13" x14ac:dyDescent="0.25">
      <c r="A155" s="39" t="s">
        <v>112</v>
      </c>
      <c r="B155" s="45">
        <v>2.0099999999999998</v>
      </c>
      <c r="C155" s="45">
        <v>71.09</v>
      </c>
      <c r="D155" s="45">
        <v>71.319999999999993</v>
      </c>
      <c r="E155" s="45">
        <f t="shared" si="2"/>
        <v>0.22999999999998977</v>
      </c>
      <c r="F155" s="41">
        <v>70.86</v>
      </c>
      <c r="G155" s="41">
        <v>72.680000000000007</v>
      </c>
      <c r="H155" s="41">
        <v>1.8200000000000074</v>
      </c>
      <c r="I155" s="41">
        <v>87.675820495646889</v>
      </c>
      <c r="J155" s="41">
        <v>0.14375000000000271</v>
      </c>
      <c r="K155" s="41">
        <v>92.848258706467519</v>
      </c>
      <c r="L155" s="47">
        <v>45943</v>
      </c>
      <c r="M155" s="45">
        <v>3</v>
      </c>
    </row>
    <row r="156" spans="1:13" x14ac:dyDescent="0.25">
      <c r="A156" s="39" t="s">
        <v>138</v>
      </c>
      <c r="B156" s="45">
        <v>2</v>
      </c>
      <c r="C156" s="45">
        <v>73.22</v>
      </c>
      <c r="D156" s="45">
        <v>73.69</v>
      </c>
      <c r="E156" s="45">
        <f t="shared" si="2"/>
        <v>0.46999999999999886</v>
      </c>
      <c r="F156" s="41">
        <v>69.790000000000006</v>
      </c>
      <c r="G156" s="41">
        <v>71.44</v>
      </c>
      <c r="H156" s="41">
        <v>1.6499999999999915</v>
      </c>
      <c r="I156" s="41">
        <v>75.726275016139383</v>
      </c>
      <c r="J156" s="41">
        <v>6.3750000000009743E-2</v>
      </c>
      <c r="K156" s="41">
        <v>96.812499999999517</v>
      </c>
      <c r="L156" s="47">
        <v>45925</v>
      </c>
      <c r="M156" s="45">
        <v>1</v>
      </c>
    </row>
    <row r="157" spans="1:13" x14ac:dyDescent="0.25">
      <c r="A157" s="39" t="s">
        <v>138</v>
      </c>
      <c r="B157" s="45">
        <v>1.96</v>
      </c>
      <c r="C157" s="45">
        <v>69.08</v>
      </c>
      <c r="D157" s="45">
        <v>69.510000000000005</v>
      </c>
      <c r="E157" s="45">
        <f t="shared" si="2"/>
        <v>0.43000000000000682</v>
      </c>
      <c r="F157" s="41">
        <v>72.91</v>
      </c>
      <c r="G157" s="41">
        <v>74.489999999999995</v>
      </c>
      <c r="H157" s="41">
        <v>1.5799999999999983</v>
      </c>
      <c r="I157" s="41">
        <v>76.454483230663612</v>
      </c>
      <c r="J157" s="41">
        <v>0.13374999999999493</v>
      </c>
      <c r="K157" s="41">
        <v>93.176020408163524</v>
      </c>
      <c r="L157" s="47">
        <v>45930</v>
      </c>
      <c r="M157" s="45">
        <v>2</v>
      </c>
    </row>
    <row r="158" spans="1:13" x14ac:dyDescent="0.25">
      <c r="A158" s="39" t="s">
        <v>138</v>
      </c>
      <c r="B158" s="45">
        <v>1.96</v>
      </c>
      <c r="C158" s="45">
        <v>70.37</v>
      </c>
      <c r="D158" s="45">
        <v>70.760000000000005</v>
      </c>
      <c r="E158" s="45">
        <f t="shared" si="2"/>
        <v>0.39000000000000057</v>
      </c>
      <c r="F158" s="41">
        <v>70.2</v>
      </c>
      <c r="G158" s="41">
        <v>71.84</v>
      </c>
      <c r="H158" s="41">
        <v>1.6400000000000006</v>
      </c>
      <c r="I158" s="41">
        <v>78.876100203114405</v>
      </c>
      <c r="J158" s="41">
        <v>0.11374999999999891</v>
      </c>
      <c r="K158" s="41">
        <v>94.196428571428626</v>
      </c>
      <c r="L158" s="47">
        <v>45940</v>
      </c>
      <c r="M158" s="45">
        <v>3</v>
      </c>
    </row>
    <row r="159" spans="1:13" x14ac:dyDescent="0.25">
      <c r="A159" s="39" t="s">
        <v>139</v>
      </c>
      <c r="B159" s="45">
        <v>2.04</v>
      </c>
      <c r="C159" s="45">
        <v>71.099999999999994</v>
      </c>
      <c r="D159" s="45">
        <v>72</v>
      </c>
      <c r="E159" s="45">
        <f t="shared" si="2"/>
        <v>0.90000000000000568</v>
      </c>
      <c r="F159" s="41">
        <v>69.819999999999993</v>
      </c>
      <c r="G159" s="41">
        <v>71.069999999999993</v>
      </c>
      <c r="H159" s="41">
        <v>1.25</v>
      </c>
      <c r="I159" s="41">
        <v>54.227590591226793</v>
      </c>
      <c r="J159" s="41">
        <v>7.3749999999994431E-2</v>
      </c>
      <c r="K159" s="41">
        <v>96.384803921568903</v>
      </c>
      <c r="L159" s="47">
        <v>45925</v>
      </c>
      <c r="M159" s="45">
        <v>1</v>
      </c>
    </row>
    <row r="160" spans="1:13" x14ac:dyDescent="0.25">
      <c r="A160" s="39" t="s">
        <v>139</v>
      </c>
      <c r="B160" s="45">
        <v>1.99</v>
      </c>
      <c r="C160" s="45">
        <v>71.290000000000006</v>
      </c>
      <c r="D160" s="45">
        <v>72.05</v>
      </c>
      <c r="E160" s="45">
        <f t="shared" si="2"/>
        <v>0.75999999999999091</v>
      </c>
      <c r="F160" s="41">
        <v>69.599999999999994</v>
      </c>
      <c r="G160" s="41">
        <v>70.73</v>
      </c>
      <c r="H160" s="41">
        <v>1.1300000000000097</v>
      </c>
      <c r="I160" s="41">
        <v>55.457875457876007</v>
      </c>
      <c r="J160" s="41">
        <v>0.28374999999999939</v>
      </c>
      <c r="K160" s="41">
        <v>85.741206030150778</v>
      </c>
      <c r="L160" s="47">
        <v>45925</v>
      </c>
      <c r="M160" s="45">
        <v>2</v>
      </c>
    </row>
    <row r="161" spans="1:13" x14ac:dyDescent="0.25">
      <c r="A161" s="39" t="s">
        <v>139</v>
      </c>
      <c r="B161" s="45">
        <v>1.95</v>
      </c>
      <c r="C161" s="45">
        <v>68.760000000000005</v>
      </c>
      <c r="D161" s="45">
        <v>69.569999999999993</v>
      </c>
      <c r="E161" s="45">
        <f t="shared" si="2"/>
        <v>0.80999999999998806</v>
      </c>
      <c r="F161" s="41">
        <v>67.94</v>
      </c>
      <c r="G161" s="41">
        <v>69.16</v>
      </c>
      <c r="H161" s="41">
        <v>1.2199999999999989</v>
      </c>
      <c r="I161" s="41">
        <v>56.127285037237975</v>
      </c>
      <c r="J161" s="41">
        <v>0.10375000000001311</v>
      </c>
      <c r="K161" s="41">
        <v>94.679487179486514</v>
      </c>
      <c r="L161" s="47">
        <v>45943</v>
      </c>
      <c r="M161" s="45">
        <v>3</v>
      </c>
    </row>
    <row r="162" spans="1:13" x14ac:dyDescent="0.25">
      <c r="A162" s="37" t="s">
        <v>127</v>
      </c>
      <c r="B162" s="44">
        <v>1.97</v>
      </c>
      <c r="C162" s="44">
        <v>41.14</v>
      </c>
      <c r="D162" s="44">
        <v>41.6</v>
      </c>
      <c r="E162" s="45">
        <f t="shared" si="2"/>
        <v>0.46000000000000085</v>
      </c>
      <c r="F162" s="41">
        <v>69.98</v>
      </c>
      <c r="G162" s="41">
        <v>71.58</v>
      </c>
      <c r="H162" s="41">
        <v>1.5999999999999943</v>
      </c>
      <c r="I162" s="41">
        <v>75.483011325782698</v>
      </c>
      <c r="J162" s="41">
        <v>9.3750000000004885E-2</v>
      </c>
      <c r="K162" s="41">
        <v>95.241116751268777</v>
      </c>
      <c r="L162" s="46">
        <v>45924</v>
      </c>
      <c r="M162" s="44">
        <v>1</v>
      </c>
    </row>
    <row r="163" spans="1:13" x14ac:dyDescent="0.25">
      <c r="A163" s="39" t="s">
        <v>127</v>
      </c>
      <c r="B163" s="45">
        <v>1.97</v>
      </c>
      <c r="C163" s="45">
        <v>70.069999999999993</v>
      </c>
      <c r="D163" s="45">
        <v>70.44</v>
      </c>
      <c r="E163" s="45">
        <f t="shared" si="2"/>
        <v>0.37000000000000455</v>
      </c>
      <c r="F163" s="41">
        <v>68.98</v>
      </c>
      <c r="G163" s="41">
        <v>70.64</v>
      </c>
      <c r="H163" s="41">
        <v>1.6599999999999966</v>
      </c>
      <c r="I163" s="41">
        <v>79.959377115774984</v>
      </c>
      <c r="J163" s="41">
        <v>0.12374999999999892</v>
      </c>
      <c r="K163" s="41">
        <v>93.718274111675186</v>
      </c>
      <c r="L163" s="47">
        <v>45932</v>
      </c>
      <c r="M163" s="45">
        <v>2</v>
      </c>
    </row>
    <row r="164" spans="1:13" x14ac:dyDescent="0.25">
      <c r="A164" s="39" t="s">
        <v>127</v>
      </c>
      <c r="B164" s="45">
        <v>2.0499999999999998</v>
      </c>
      <c r="C164" s="45">
        <v>68.16</v>
      </c>
      <c r="D164" s="45">
        <v>68.64</v>
      </c>
      <c r="E164" s="45">
        <f t="shared" si="2"/>
        <v>0.48000000000000398</v>
      </c>
      <c r="F164" s="41">
        <v>73.23</v>
      </c>
      <c r="G164" s="41">
        <v>74.91</v>
      </c>
      <c r="H164" s="41">
        <v>1.6799999999999926</v>
      </c>
      <c r="I164" s="41">
        <v>75.711574952561421</v>
      </c>
      <c r="J164" s="41">
        <v>7.3750000000003313E-2</v>
      </c>
      <c r="K164" s="41">
        <v>96.402439024390091</v>
      </c>
      <c r="L164" s="47">
        <v>45936</v>
      </c>
      <c r="M164" s="45">
        <v>3</v>
      </c>
    </row>
    <row r="165" spans="1:13" x14ac:dyDescent="0.25">
      <c r="A165" s="39" t="s">
        <v>140</v>
      </c>
      <c r="B165" s="45">
        <v>2.02</v>
      </c>
      <c r="C165" s="45">
        <v>68.53</v>
      </c>
      <c r="D165" s="45">
        <v>69.02</v>
      </c>
      <c r="E165" s="45">
        <f t="shared" si="2"/>
        <v>0.48999999999999488</v>
      </c>
      <c r="F165" s="41">
        <v>70.72</v>
      </c>
      <c r="G165" s="41">
        <v>72.319999999999993</v>
      </c>
      <c r="H165" s="41">
        <v>1.5999999999999943</v>
      </c>
      <c r="I165" s="41">
        <v>74.295081967213235</v>
      </c>
      <c r="J165" s="41">
        <v>0.1137500000000109</v>
      </c>
      <c r="K165" s="41">
        <v>94.368811881187582</v>
      </c>
      <c r="L165" s="47">
        <v>45925</v>
      </c>
      <c r="M165" s="45">
        <v>1</v>
      </c>
    </row>
    <row r="166" spans="1:13" x14ac:dyDescent="0.25">
      <c r="A166" s="39" t="s">
        <v>140</v>
      </c>
      <c r="B166" s="45">
        <v>1.95</v>
      </c>
      <c r="C166" s="45">
        <v>71.290000000000006</v>
      </c>
      <c r="D166" s="45">
        <v>71.739999999999995</v>
      </c>
      <c r="E166" s="45">
        <f t="shared" si="2"/>
        <v>0.44999999999998863</v>
      </c>
      <c r="F166" s="41">
        <v>69.150000000000006</v>
      </c>
      <c r="G166" s="41">
        <v>70.69</v>
      </c>
      <c r="H166" s="41">
        <v>1.539999999999992</v>
      </c>
      <c r="I166" s="41">
        <v>75.086505190311783</v>
      </c>
      <c r="J166" s="41">
        <v>0.14375000000001936</v>
      </c>
      <c r="K166" s="41">
        <v>92.628205128204129</v>
      </c>
      <c r="L166" s="47">
        <v>45930</v>
      </c>
      <c r="M166" s="45">
        <v>2</v>
      </c>
    </row>
    <row r="167" spans="1:13" x14ac:dyDescent="0.25">
      <c r="A167" s="39" t="s">
        <v>140</v>
      </c>
      <c r="B167" s="45">
        <v>1.95</v>
      </c>
      <c r="C167" s="45">
        <v>70.86</v>
      </c>
      <c r="D167" s="45">
        <v>71.34</v>
      </c>
      <c r="E167" s="45">
        <f t="shared" si="2"/>
        <v>0.48000000000000398</v>
      </c>
      <c r="F167" s="41">
        <v>70.25</v>
      </c>
      <c r="G167" s="41">
        <v>71.78</v>
      </c>
      <c r="H167" s="41">
        <v>1.5300000000000011</v>
      </c>
      <c r="I167" s="41">
        <v>73.71663244353168</v>
      </c>
      <c r="J167" s="41">
        <v>0.12374999999999492</v>
      </c>
      <c r="K167" s="41">
        <v>93.653846153846416</v>
      </c>
      <c r="L167" s="47">
        <v>45943</v>
      </c>
      <c r="M167" s="45">
        <v>3</v>
      </c>
    </row>
    <row r="168" spans="1:13" x14ac:dyDescent="0.25">
      <c r="A168" s="37" t="s">
        <v>114</v>
      </c>
      <c r="B168" s="44">
        <v>1.99</v>
      </c>
      <c r="C168" s="44">
        <v>69.040000000000006</v>
      </c>
      <c r="D168" s="44">
        <v>69.66</v>
      </c>
      <c r="E168" s="45">
        <f t="shared" si="2"/>
        <v>0.61999999999999034</v>
      </c>
      <c r="F168" s="41">
        <v>71.8</v>
      </c>
      <c r="G168" s="41">
        <v>73.290000000000006</v>
      </c>
      <c r="H168" s="41">
        <v>1.4900000000000091</v>
      </c>
      <c r="I168" s="41">
        <v>67.813108371188036</v>
      </c>
      <c r="J168" s="41">
        <v>6.3750000000000639E-2</v>
      </c>
      <c r="K168" s="41">
        <v>96.796482412060271</v>
      </c>
      <c r="L168" s="46">
        <v>45912</v>
      </c>
      <c r="M168" s="44">
        <v>1</v>
      </c>
    </row>
    <row r="169" spans="1:13" x14ac:dyDescent="0.25">
      <c r="A169" s="39" t="s">
        <v>114</v>
      </c>
      <c r="B169" s="45">
        <v>1.98</v>
      </c>
      <c r="C169" s="45">
        <v>70.8</v>
      </c>
      <c r="D169" s="45">
        <v>71.42</v>
      </c>
      <c r="E169" s="45">
        <f t="shared" si="2"/>
        <v>0.62000000000000455</v>
      </c>
      <c r="F169" s="41">
        <v>68.52</v>
      </c>
      <c r="G169" s="41">
        <v>70</v>
      </c>
      <c r="H169" s="41">
        <v>1.480000000000004</v>
      </c>
      <c r="I169" s="41">
        <v>67.64514024787988</v>
      </c>
      <c r="J169" s="41">
        <v>6.3749999999991536E-2</v>
      </c>
      <c r="K169" s="41">
        <v>96.780303030303457</v>
      </c>
      <c r="L169" s="47">
        <v>45932</v>
      </c>
      <c r="M169" s="45">
        <v>2</v>
      </c>
    </row>
    <row r="170" spans="1:13" x14ac:dyDescent="0.25">
      <c r="A170" s="39" t="s">
        <v>114</v>
      </c>
      <c r="B170" s="45">
        <v>1.97</v>
      </c>
      <c r="C170" s="45">
        <v>68.98</v>
      </c>
      <c r="D170" s="45">
        <v>69.58</v>
      </c>
      <c r="E170" s="45">
        <f t="shared" si="2"/>
        <v>0.59999999999999432</v>
      </c>
      <c r="F170" s="41">
        <v>69.94</v>
      </c>
      <c r="G170" s="41">
        <v>71.34</v>
      </c>
      <c r="H170" s="41">
        <v>1.4000000000000057</v>
      </c>
      <c r="I170" s="41">
        <v>66.964900206469693</v>
      </c>
      <c r="J170" s="41">
        <v>0.15375000000000005</v>
      </c>
      <c r="K170" s="41">
        <v>92.195431472081211</v>
      </c>
      <c r="L170" s="47">
        <v>45940</v>
      </c>
      <c r="M170" s="45">
        <v>3</v>
      </c>
    </row>
    <row r="171" spans="1:13" x14ac:dyDescent="0.25">
      <c r="A171" s="37" t="s">
        <v>131</v>
      </c>
      <c r="B171" s="44">
        <v>2.04</v>
      </c>
      <c r="C171" s="44">
        <v>42.6</v>
      </c>
      <c r="D171" s="44">
        <v>42.71</v>
      </c>
      <c r="E171" s="45">
        <f t="shared" si="2"/>
        <v>0.10999999999999943</v>
      </c>
      <c r="F171" s="41">
        <v>70.23</v>
      </c>
      <c r="G171" s="41">
        <v>72.19</v>
      </c>
      <c r="H171" s="41">
        <v>1.9599999999999937</v>
      </c>
      <c r="I171" s="41">
        <v>94.168323392975481</v>
      </c>
      <c r="J171" s="41">
        <v>0.15375000000000694</v>
      </c>
      <c r="K171" s="41">
        <v>92.463235294117311</v>
      </c>
      <c r="L171" s="46">
        <v>45924</v>
      </c>
      <c r="M171" s="44">
        <v>1</v>
      </c>
    </row>
    <row r="172" spans="1:13" x14ac:dyDescent="0.25">
      <c r="A172" s="39" t="s">
        <v>131</v>
      </c>
      <c r="B172" s="45">
        <v>2.0299999999999998</v>
      </c>
      <c r="C172" s="45">
        <v>69.290000000000006</v>
      </c>
      <c r="D172" s="45">
        <v>69.39</v>
      </c>
      <c r="E172" s="45">
        <f t="shared" si="2"/>
        <v>9.9999999999994316E-2</v>
      </c>
      <c r="F172" s="41">
        <v>69.760000000000005</v>
      </c>
      <c r="G172" s="41">
        <v>71.44</v>
      </c>
      <c r="H172" s="41">
        <v>1.6799999999999926</v>
      </c>
      <c r="I172" s="41">
        <v>93.73531714956961</v>
      </c>
      <c r="J172" s="41">
        <v>0.43375000000001296</v>
      </c>
      <c r="K172" s="41">
        <v>78.633004926107731</v>
      </c>
      <c r="L172" s="47">
        <v>45925</v>
      </c>
      <c r="M172" s="45">
        <v>2</v>
      </c>
    </row>
    <row r="173" spans="1:13" x14ac:dyDescent="0.25">
      <c r="A173" s="39" t="s">
        <v>131</v>
      </c>
      <c r="B173" s="45">
        <v>2.04</v>
      </c>
      <c r="C173" s="45">
        <v>71.790000000000006</v>
      </c>
      <c r="D173" s="45">
        <v>71.86</v>
      </c>
      <c r="E173" s="45">
        <f t="shared" si="2"/>
        <v>6.9999999999993179E-2</v>
      </c>
      <c r="F173" s="41">
        <v>69.97</v>
      </c>
      <c r="G173" s="41">
        <v>71.98</v>
      </c>
      <c r="H173" s="41">
        <v>2.0100000000000051</v>
      </c>
      <c r="I173" s="41">
        <v>96.30850362557716</v>
      </c>
      <c r="J173" s="41">
        <v>0.14375000000000182</v>
      </c>
      <c r="K173" s="41">
        <v>92.953431372548934</v>
      </c>
      <c r="L173" s="47">
        <v>45943</v>
      </c>
      <c r="M173" s="45">
        <v>3</v>
      </c>
    </row>
    <row r="174" spans="1:13" x14ac:dyDescent="0.25">
      <c r="A174" s="37" t="s">
        <v>110</v>
      </c>
      <c r="B174" s="44">
        <v>2.0099999999999998</v>
      </c>
      <c r="C174" s="44">
        <v>69.099999999999994</v>
      </c>
      <c r="D174" s="44">
        <v>69.47</v>
      </c>
      <c r="E174" s="45">
        <f t="shared" si="2"/>
        <v>0.37000000000000455</v>
      </c>
      <c r="F174" s="41">
        <v>71.25</v>
      </c>
      <c r="G174" s="41">
        <v>72.97</v>
      </c>
      <c r="H174" s="41">
        <v>1.7199999999999989</v>
      </c>
      <c r="I174" s="41">
        <v>80.59016393442603</v>
      </c>
      <c r="J174" s="41">
        <v>0.10374999999999646</v>
      </c>
      <c r="K174" s="41">
        <v>94.838308457711619</v>
      </c>
      <c r="L174" s="46">
        <v>45912</v>
      </c>
      <c r="M174" s="44">
        <v>1</v>
      </c>
    </row>
    <row r="175" spans="1:13" x14ac:dyDescent="0.25">
      <c r="A175" s="39" t="s">
        <v>110</v>
      </c>
      <c r="B175" s="45">
        <v>1.22</v>
      </c>
      <c r="C175" s="45">
        <v>69.09</v>
      </c>
      <c r="D175" s="45">
        <v>69.31</v>
      </c>
      <c r="E175" s="45">
        <f t="shared" si="2"/>
        <v>0.21999999999999886</v>
      </c>
      <c r="F175" s="41">
        <v>71.44</v>
      </c>
      <c r="G175" s="41">
        <v>72.510000000000005</v>
      </c>
      <c r="H175" s="41">
        <v>1.0700000000000074</v>
      </c>
      <c r="I175" s="41">
        <v>80.112994350282705</v>
      </c>
      <c r="J175" s="41">
        <v>0.11374999999999369</v>
      </c>
      <c r="K175" s="41">
        <v>90.676229508197224</v>
      </c>
      <c r="L175" s="47">
        <v>45944</v>
      </c>
      <c r="M175" s="45">
        <v>3</v>
      </c>
    </row>
    <row r="176" spans="1:13" x14ac:dyDescent="0.25">
      <c r="A176" s="37" t="s">
        <v>113</v>
      </c>
      <c r="B176" s="44">
        <v>1.98</v>
      </c>
      <c r="C176" s="44">
        <v>71.819999999999993</v>
      </c>
      <c r="D176" s="44">
        <v>72.040000000000006</v>
      </c>
      <c r="E176" s="45">
        <f t="shared" si="2"/>
        <v>0.22000000000001307</v>
      </c>
      <c r="F176" s="41">
        <v>69.849999999999994</v>
      </c>
      <c r="G176" s="41">
        <v>71.7</v>
      </c>
      <c r="H176" s="41">
        <v>1.8500000000000085</v>
      </c>
      <c r="I176" s="41">
        <v>88.336646785950407</v>
      </c>
      <c r="J176" s="41">
        <v>9.3749999999978462E-2</v>
      </c>
      <c r="K176" s="41">
        <v>95.265151515152596</v>
      </c>
      <c r="L176" s="46">
        <v>45912</v>
      </c>
      <c r="M176" s="44">
        <v>1</v>
      </c>
    </row>
    <row r="177" spans="1:13" x14ac:dyDescent="0.25">
      <c r="A177" s="39" t="s">
        <v>113</v>
      </c>
      <c r="B177" s="45">
        <v>1.96</v>
      </c>
      <c r="C177" s="45">
        <v>70.2</v>
      </c>
      <c r="D177" s="45">
        <v>70.45</v>
      </c>
      <c r="E177" s="45">
        <f t="shared" si="2"/>
        <v>0.25</v>
      </c>
      <c r="F177" s="41">
        <v>69.34</v>
      </c>
      <c r="G177" s="41">
        <v>71.13</v>
      </c>
      <c r="H177" s="41">
        <v>1.789999999999992</v>
      </c>
      <c r="I177" s="41">
        <v>86.531986531986476</v>
      </c>
      <c r="J177" s="41">
        <v>0.103750000000008</v>
      </c>
      <c r="K177" s="41">
        <v>94.706632653060822</v>
      </c>
      <c r="L177" s="47">
        <v>45930</v>
      </c>
      <c r="M177" s="45">
        <v>2</v>
      </c>
    </row>
    <row r="178" spans="1:13" x14ac:dyDescent="0.25">
      <c r="A178" s="39" t="s">
        <v>113</v>
      </c>
      <c r="B178" s="45">
        <v>1.96</v>
      </c>
      <c r="C178" s="45">
        <v>70.760000000000005</v>
      </c>
      <c r="D178" s="45">
        <v>71.13</v>
      </c>
      <c r="E178" s="45">
        <f t="shared" si="2"/>
        <v>0.36999999999999034</v>
      </c>
      <c r="F178" s="41">
        <v>69.099999999999994</v>
      </c>
      <c r="G178" s="41">
        <v>70.709999999999994</v>
      </c>
      <c r="H178" s="41">
        <v>1.6099999999999994</v>
      </c>
      <c r="I178" s="41">
        <v>79.401530967293382</v>
      </c>
      <c r="J178" s="41">
        <v>0.16375000000001028</v>
      </c>
      <c r="K178" s="41">
        <v>91.64540816326479</v>
      </c>
      <c r="L178" s="47">
        <v>45930</v>
      </c>
      <c r="M178" s="45">
        <v>2</v>
      </c>
    </row>
    <row r="179" spans="1:13" x14ac:dyDescent="0.25">
      <c r="A179" s="37" t="s">
        <v>97</v>
      </c>
      <c r="B179" s="44">
        <v>1.98</v>
      </c>
      <c r="C179" s="44">
        <v>69.040000000000006</v>
      </c>
      <c r="D179" s="44">
        <v>69.37</v>
      </c>
      <c r="E179" s="45">
        <f t="shared" si="2"/>
        <v>0.32999999999999829</v>
      </c>
      <c r="F179" s="41">
        <v>69.33</v>
      </c>
      <c r="G179" s="41">
        <v>71.12</v>
      </c>
      <c r="H179" s="41">
        <v>1.7900000000000063</v>
      </c>
      <c r="I179" s="41">
        <v>82.956746287927814</v>
      </c>
      <c r="J179" s="41">
        <v>4.3749999999995515E-2</v>
      </c>
      <c r="K179" s="41">
        <v>97.790404040404269</v>
      </c>
      <c r="L179" s="46">
        <v>45912</v>
      </c>
      <c r="M179" s="44">
        <v>1</v>
      </c>
    </row>
    <row r="180" spans="1:13" x14ac:dyDescent="0.25">
      <c r="A180" s="39" t="s">
        <v>97</v>
      </c>
      <c r="B180" s="45">
        <v>1.97</v>
      </c>
      <c r="C180" s="45">
        <v>69.66</v>
      </c>
      <c r="D180" s="45">
        <v>70.02</v>
      </c>
      <c r="E180" s="45">
        <f t="shared" si="2"/>
        <v>0.35999999999999943</v>
      </c>
      <c r="F180" s="41">
        <v>70.150000000000006</v>
      </c>
      <c r="G180" s="41">
        <v>71.849999999999994</v>
      </c>
      <c r="H180" s="41">
        <v>1.6999999999999886</v>
      </c>
      <c r="I180" s="41">
        <v>80.812791472351677</v>
      </c>
      <c r="J180" s="41">
        <v>9.375000000001199E-2</v>
      </c>
      <c r="K180" s="41">
        <v>95.241116751268436</v>
      </c>
      <c r="L180" s="47">
        <v>45925</v>
      </c>
      <c r="M180" s="45">
        <v>2</v>
      </c>
    </row>
    <row r="181" spans="1:13" x14ac:dyDescent="0.25">
      <c r="A181" s="39" t="s">
        <v>97</v>
      </c>
      <c r="B181" s="45">
        <v>2.0299999999999998</v>
      </c>
      <c r="C181" s="45">
        <v>69.52</v>
      </c>
      <c r="D181" s="45">
        <v>69.87</v>
      </c>
      <c r="E181" s="45">
        <f t="shared" si="2"/>
        <v>0.35000000000000853</v>
      </c>
      <c r="F181" s="41">
        <v>70.41</v>
      </c>
      <c r="G181" s="41">
        <v>72.16</v>
      </c>
      <c r="H181" s="41">
        <v>1.75</v>
      </c>
      <c r="I181" s="41">
        <v>81.735159817351231</v>
      </c>
      <c r="J181" s="41">
        <v>0.11374999999999136</v>
      </c>
      <c r="K181" s="41">
        <v>94.396551724138362</v>
      </c>
      <c r="L181" s="47">
        <v>45943</v>
      </c>
      <c r="M181" s="45">
        <v>3</v>
      </c>
    </row>
    <row r="182" spans="1:13" x14ac:dyDescent="0.25">
      <c r="A182" s="37" t="s">
        <v>85</v>
      </c>
      <c r="B182" s="44">
        <v>2</v>
      </c>
      <c r="C182" s="44">
        <v>71.86</v>
      </c>
      <c r="D182" s="44">
        <v>72.11</v>
      </c>
      <c r="E182" s="45">
        <f t="shared" si="2"/>
        <v>0.25</v>
      </c>
      <c r="F182" s="41">
        <v>68.58</v>
      </c>
      <c r="G182" s="41">
        <v>70.41</v>
      </c>
      <c r="H182" s="41">
        <v>1.8299999999999983</v>
      </c>
      <c r="I182" s="41">
        <v>86.81608437705998</v>
      </c>
      <c r="J182" s="41">
        <v>0.10375000000000179</v>
      </c>
      <c r="K182" s="41">
        <v>94.812499999999915</v>
      </c>
      <c r="L182" s="46">
        <v>45910</v>
      </c>
      <c r="M182" s="44">
        <v>1</v>
      </c>
    </row>
    <row r="183" spans="1:13" x14ac:dyDescent="0.25">
      <c r="A183" s="39" t="s">
        <v>85</v>
      </c>
      <c r="B183" s="45">
        <v>1.96</v>
      </c>
      <c r="C183" s="45">
        <v>69.680000000000007</v>
      </c>
      <c r="D183" s="45">
        <v>69.94</v>
      </c>
      <c r="E183" s="45">
        <f t="shared" si="2"/>
        <v>0.25999999999999091</v>
      </c>
      <c r="F183" s="41">
        <v>69.53</v>
      </c>
      <c r="G183" s="41">
        <v>71.3</v>
      </c>
      <c r="H183" s="41">
        <v>1.769999999999996</v>
      </c>
      <c r="I183" s="41">
        <v>85.917400135410006</v>
      </c>
      <c r="J183" s="41">
        <v>0.11375000000001312</v>
      </c>
      <c r="K183" s="41">
        <v>94.196428571427901</v>
      </c>
      <c r="L183" s="47">
        <v>45932</v>
      </c>
      <c r="M183" s="45">
        <v>2</v>
      </c>
    </row>
    <row r="184" spans="1:13" x14ac:dyDescent="0.25">
      <c r="A184" s="39" t="s">
        <v>85</v>
      </c>
      <c r="B184" s="45">
        <v>2.0499999999999998</v>
      </c>
      <c r="C184" s="45">
        <v>69.84</v>
      </c>
      <c r="D184" s="45">
        <v>70.08</v>
      </c>
      <c r="E184" s="45">
        <f t="shared" si="2"/>
        <v>0.23999999999999488</v>
      </c>
      <c r="F184" s="41">
        <v>68.44</v>
      </c>
      <c r="G184" s="41">
        <v>70.3</v>
      </c>
      <c r="H184" s="41">
        <v>1.8599999999999994</v>
      </c>
      <c r="I184" s="41">
        <v>87.475538160469895</v>
      </c>
      <c r="J184" s="41">
        <v>0.13375000000000559</v>
      </c>
      <c r="K184" s="41">
        <v>93.475609756097285</v>
      </c>
      <c r="L184" s="47">
        <v>45940</v>
      </c>
      <c r="M184" s="45">
        <v>3</v>
      </c>
    </row>
    <row r="185" spans="1:13" x14ac:dyDescent="0.25">
      <c r="A185" s="37" t="s">
        <v>95</v>
      </c>
      <c r="B185" s="44">
        <v>1.99</v>
      </c>
      <c r="C185" s="44">
        <v>69.33</v>
      </c>
      <c r="D185" s="44">
        <v>69.83</v>
      </c>
      <c r="E185" s="45">
        <f t="shared" si="2"/>
        <v>0.5</v>
      </c>
      <c r="F185" s="41">
        <v>70.28</v>
      </c>
      <c r="G185" s="41">
        <v>71.91</v>
      </c>
      <c r="H185" s="41">
        <v>1.6299999999999955</v>
      </c>
      <c r="I185" s="41">
        <v>74.309569685292161</v>
      </c>
      <c r="J185" s="41">
        <v>4.3750000000004619E-2</v>
      </c>
      <c r="K185" s="41">
        <v>97.801507537688209</v>
      </c>
      <c r="L185" s="46">
        <v>45912</v>
      </c>
      <c r="M185" s="44">
        <v>1</v>
      </c>
    </row>
    <row r="186" spans="1:13" x14ac:dyDescent="0.25">
      <c r="A186" s="39" t="s">
        <v>95</v>
      </c>
      <c r="B186" s="45">
        <v>2.02</v>
      </c>
      <c r="C186" s="45">
        <v>70.040000000000006</v>
      </c>
      <c r="D186" s="45">
        <v>70.53</v>
      </c>
      <c r="E186" s="45">
        <f t="shared" si="2"/>
        <v>0.48999999999999488</v>
      </c>
      <c r="F186" s="41">
        <v>70</v>
      </c>
      <c r="G186" s="41">
        <v>71.64</v>
      </c>
      <c r="H186" s="41">
        <v>1.6400000000000006</v>
      </c>
      <c r="I186" s="41">
        <v>74.823378291586579</v>
      </c>
      <c r="J186" s="41">
        <v>7.3750000000004645E-2</v>
      </c>
      <c r="K186" s="41">
        <v>96.34900990098987</v>
      </c>
      <c r="L186" s="47">
        <v>45925</v>
      </c>
      <c r="M186" s="45">
        <v>2</v>
      </c>
    </row>
    <row r="187" spans="1:13" x14ac:dyDescent="0.25">
      <c r="A187" s="39" t="s">
        <v>95</v>
      </c>
      <c r="B187" s="48">
        <v>1.93</v>
      </c>
      <c r="C187" s="45">
        <v>69.33</v>
      </c>
      <c r="D187" s="45">
        <v>69.8</v>
      </c>
      <c r="E187" s="45">
        <f t="shared" si="2"/>
        <v>0.46999999999999886</v>
      </c>
      <c r="F187" s="41">
        <v>70.88</v>
      </c>
      <c r="G187" s="41">
        <v>72.38</v>
      </c>
      <c r="H187" s="41">
        <v>1.5</v>
      </c>
      <c r="I187" s="41">
        <v>73.68789363191047</v>
      </c>
      <c r="J187" s="41">
        <v>0.14375000000000115</v>
      </c>
      <c r="K187" s="41">
        <v>92.551813471502527</v>
      </c>
      <c r="L187" s="47">
        <v>45940</v>
      </c>
      <c r="M187" s="45">
        <v>3</v>
      </c>
    </row>
    <row r="188" spans="1:13" x14ac:dyDescent="0.25">
      <c r="A188" s="37" t="s">
        <v>86</v>
      </c>
      <c r="B188" s="44">
        <v>2</v>
      </c>
      <c r="C188" s="44">
        <v>69.53</v>
      </c>
      <c r="D188" s="44">
        <v>69.97</v>
      </c>
      <c r="E188" s="45">
        <f t="shared" si="2"/>
        <v>0.43999999999999773</v>
      </c>
      <c r="F188" s="41">
        <v>68.58</v>
      </c>
      <c r="G188" s="41">
        <v>70.239999999999995</v>
      </c>
      <c r="H188" s="41">
        <v>1.6599999999999966</v>
      </c>
      <c r="I188" s="41">
        <v>77.038486627527774</v>
      </c>
      <c r="J188" s="41">
        <v>8.3750000000005764E-2</v>
      </c>
      <c r="K188" s="41">
        <v>95.812499999999716</v>
      </c>
      <c r="L188" s="46">
        <v>45910</v>
      </c>
      <c r="M188" s="44">
        <v>1</v>
      </c>
    </row>
    <row r="189" spans="1:13" x14ac:dyDescent="0.25">
      <c r="A189" s="39" t="s">
        <v>86</v>
      </c>
      <c r="B189" s="45">
        <v>1.98</v>
      </c>
      <c r="C189" s="45">
        <v>67.87</v>
      </c>
      <c r="D189" s="45">
        <v>68.28</v>
      </c>
      <c r="E189" s="45">
        <f t="shared" si="2"/>
        <v>0.40999999999999659</v>
      </c>
      <c r="F189" s="41">
        <v>69.040000000000006</v>
      </c>
      <c r="G189" s="41">
        <v>70.69</v>
      </c>
      <c r="H189" s="41">
        <v>1.6499999999999915</v>
      </c>
      <c r="I189" s="41">
        <v>78.147901399067337</v>
      </c>
      <c r="J189" s="41">
        <v>0.103750000000012</v>
      </c>
      <c r="K189" s="41">
        <v>94.760101010100399</v>
      </c>
      <c r="L189" s="47">
        <v>45930</v>
      </c>
      <c r="M189" s="45">
        <v>2</v>
      </c>
    </row>
    <row r="190" spans="1:13" x14ac:dyDescent="0.25">
      <c r="A190" s="39" t="s">
        <v>86</v>
      </c>
      <c r="B190" s="45">
        <v>2.02</v>
      </c>
      <c r="C190" s="45">
        <v>70.19</v>
      </c>
      <c r="D190" s="45">
        <v>70.64</v>
      </c>
      <c r="E190" s="45">
        <f t="shared" si="2"/>
        <v>0.45000000000000284</v>
      </c>
      <c r="F190" s="41">
        <v>70.489999999999995</v>
      </c>
      <c r="G190" s="41">
        <v>72.13</v>
      </c>
      <c r="H190" s="41">
        <v>1.6400000000000006</v>
      </c>
      <c r="I190" s="41">
        <v>76.393442622950715</v>
      </c>
      <c r="J190" s="41">
        <v>0.11374999999999669</v>
      </c>
      <c r="K190" s="41">
        <v>94.368811881188293</v>
      </c>
      <c r="L190" s="47">
        <v>45936</v>
      </c>
      <c r="M190" s="45">
        <v>3</v>
      </c>
    </row>
    <row r="191" spans="1:13" x14ac:dyDescent="0.25">
      <c r="A191" s="37" t="s">
        <v>84</v>
      </c>
      <c r="B191" s="44">
        <v>2</v>
      </c>
      <c r="C191" s="44">
        <v>70.45</v>
      </c>
      <c r="D191" s="44">
        <v>71.28</v>
      </c>
      <c r="E191" s="45">
        <f t="shared" si="2"/>
        <v>0.82999999999999829</v>
      </c>
      <c r="F191" s="41">
        <v>68.510000000000005</v>
      </c>
      <c r="G191" s="41">
        <v>69.81</v>
      </c>
      <c r="H191" s="41">
        <v>1.2999999999999972</v>
      </c>
      <c r="I191" s="41">
        <v>57.353885677585083</v>
      </c>
      <c r="J191" s="41">
        <v>5.3750000000004627E-2</v>
      </c>
      <c r="K191" s="41">
        <v>97.312499999999773</v>
      </c>
      <c r="L191" s="46">
        <v>45910</v>
      </c>
      <c r="M191" s="44">
        <v>1</v>
      </c>
    </row>
    <row r="192" spans="1:13" x14ac:dyDescent="0.25">
      <c r="A192" s="39" t="s">
        <v>84</v>
      </c>
      <c r="B192" s="45">
        <v>1.95</v>
      </c>
      <c r="C192" s="45">
        <v>70.45</v>
      </c>
      <c r="D192" s="45">
        <v>71.260000000000005</v>
      </c>
      <c r="E192" s="45">
        <f t="shared" si="2"/>
        <v>0.81000000000000227</v>
      </c>
      <c r="F192" s="41">
        <v>70.599999999999994</v>
      </c>
      <c r="G192" s="41">
        <v>71.87</v>
      </c>
      <c r="H192" s="41">
        <v>1.2700000000000102</v>
      </c>
      <c r="I192" s="41">
        <v>57.284113381674516</v>
      </c>
      <c r="J192" s="41">
        <v>5.374999999998753E-2</v>
      </c>
      <c r="K192" s="41">
        <v>97.243589743590391</v>
      </c>
      <c r="L192" s="47">
        <v>45925</v>
      </c>
      <c r="M192" s="45">
        <v>2</v>
      </c>
    </row>
    <row r="193" spans="1:13" x14ac:dyDescent="0.25">
      <c r="A193" s="39" t="s">
        <v>84</v>
      </c>
      <c r="B193" s="45">
        <v>1.99</v>
      </c>
      <c r="C193" s="45">
        <v>70.28</v>
      </c>
      <c r="D193" s="45">
        <v>71.08</v>
      </c>
      <c r="E193" s="45">
        <f t="shared" si="2"/>
        <v>0.79999999999999716</v>
      </c>
      <c r="F193" s="41">
        <v>69.48</v>
      </c>
      <c r="G193" s="41">
        <v>70.75</v>
      </c>
      <c r="H193" s="41">
        <v>1.269999999999996</v>
      </c>
      <c r="I193" s="41">
        <v>57.587806494367122</v>
      </c>
      <c r="J193" s="41">
        <v>0.10375000000000689</v>
      </c>
      <c r="K193" s="41">
        <v>94.78643216080367</v>
      </c>
      <c r="L193" s="47">
        <v>45940</v>
      </c>
      <c r="M193" s="45">
        <v>3</v>
      </c>
    </row>
    <row r="194" spans="1:13" x14ac:dyDescent="0.25">
      <c r="A194" s="37" t="s">
        <v>101</v>
      </c>
      <c r="B194" s="44">
        <v>1.99</v>
      </c>
      <c r="C194" s="44">
        <v>69.59</v>
      </c>
      <c r="D194" s="44">
        <v>70.14</v>
      </c>
      <c r="E194" s="45">
        <f t="shared" ref="E194:E257" si="3">D194-C194</f>
        <v>0.54999999999999716</v>
      </c>
      <c r="F194" s="41">
        <v>71.42</v>
      </c>
      <c r="G194" s="41">
        <v>72.989999999999995</v>
      </c>
      <c r="H194" s="41">
        <v>1.5699999999999932</v>
      </c>
      <c r="I194" s="41">
        <v>71.594577146546172</v>
      </c>
      <c r="J194" s="41">
        <v>5.3750000000009734E-2</v>
      </c>
      <c r="K194" s="41">
        <v>97.298994974873892</v>
      </c>
      <c r="L194" s="46">
        <v>45912</v>
      </c>
      <c r="M194" s="44">
        <v>1</v>
      </c>
    </row>
    <row r="195" spans="1:13" x14ac:dyDescent="0.25">
      <c r="A195" s="39" t="s">
        <v>101</v>
      </c>
      <c r="B195" s="45">
        <v>2.04</v>
      </c>
      <c r="C195" s="45">
        <v>71.069999999999993</v>
      </c>
      <c r="D195" s="45">
        <v>71.61</v>
      </c>
      <c r="E195" s="45">
        <f t="shared" si="3"/>
        <v>0.54000000000000625</v>
      </c>
      <c r="F195" s="41">
        <v>72.09</v>
      </c>
      <c r="G195" s="41">
        <v>73.61</v>
      </c>
      <c r="H195" s="41">
        <v>1.519999999999996</v>
      </c>
      <c r="I195" s="41">
        <v>71.219187208527345</v>
      </c>
      <c r="J195" s="41">
        <v>0.16374999999999784</v>
      </c>
      <c r="K195" s="41">
        <v>91.973039215686384</v>
      </c>
      <c r="L195" s="47">
        <v>45932</v>
      </c>
      <c r="M195" s="45">
        <v>2</v>
      </c>
    </row>
    <row r="196" spans="1:13" x14ac:dyDescent="0.25">
      <c r="A196" s="39" t="s">
        <v>101</v>
      </c>
      <c r="B196" s="45">
        <v>2</v>
      </c>
      <c r="C196" s="45">
        <v>71.290000000000006</v>
      </c>
      <c r="D196" s="45">
        <v>71.739999999999995</v>
      </c>
      <c r="E196" s="45">
        <f t="shared" si="3"/>
        <v>0.44999999999998863</v>
      </c>
      <c r="F196" s="41">
        <v>72.900000000000006</v>
      </c>
      <c r="G196" s="41">
        <v>74.55</v>
      </c>
      <c r="H196" s="41">
        <v>1.6499999999999915</v>
      </c>
      <c r="I196" s="41">
        <v>76.516634050880967</v>
      </c>
      <c r="J196" s="41">
        <v>8.3750000000019975E-2</v>
      </c>
      <c r="K196" s="41">
        <v>95.812499999999005</v>
      </c>
      <c r="L196" s="47">
        <v>45936</v>
      </c>
      <c r="M196" s="45">
        <v>3</v>
      </c>
    </row>
    <row r="197" spans="1:13" x14ac:dyDescent="0.25">
      <c r="A197" s="37" t="s">
        <v>100</v>
      </c>
      <c r="B197" s="44">
        <v>1.98</v>
      </c>
      <c r="C197" s="44">
        <v>69.819999999999993</v>
      </c>
      <c r="D197" s="44">
        <v>70.78</v>
      </c>
      <c r="E197" s="45">
        <f t="shared" si="3"/>
        <v>0.96000000000000796</v>
      </c>
      <c r="F197" s="41">
        <v>70.069999999999993</v>
      </c>
      <c r="G197" s="41">
        <v>71.239999999999995</v>
      </c>
      <c r="H197" s="41">
        <v>1.1700000000000017</v>
      </c>
      <c r="I197" s="41">
        <v>50.674373795760921</v>
      </c>
      <c r="J197" s="41">
        <v>3.3749999999990288E-2</v>
      </c>
      <c r="K197" s="41">
        <v>98.29545454545503</v>
      </c>
      <c r="L197" s="46">
        <v>45912</v>
      </c>
      <c r="M197" s="44">
        <v>1</v>
      </c>
    </row>
    <row r="198" spans="1:13" x14ac:dyDescent="0.25">
      <c r="A198" s="39" t="s">
        <v>100</v>
      </c>
      <c r="B198" s="45">
        <v>1.98</v>
      </c>
      <c r="C198" s="45">
        <v>69.89</v>
      </c>
      <c r="D198" s="45">
        <v>70.64</v>
      </c>
      <c r="E198" s="45">
        <f t="shared" si="3"/>
        <v>0.75</v>
      </c>
      <c r="F198" s="41">
        <v>70.11</v>
      </c>
      <c r="G198" s="41">
        <v>71.37</v>
      </c>
      <c r="H198" s="41">
        <v>1.2600000000000051</v>
      </c>
      <c r="I198" s="41">
        <v>58.932238193018591</v>
      </c>
      <c r="J198" s="41">
        <v>0.15374999999999495</v>
      </c>
      <c r="K198" s="41">
        <v>92.23484848484874</v>
      </c>
      <c r="L198" s="47">
        <v>45925</v>
      </c>
      <c r="M198" s="45">
        <v>2</v>
      </c>
    </row>
    <row r="199" spans="1:13" x14ac:dyDescent="0.25">
      <c r="A199" s="39" t="s">
        <v>100</v>
      </c>
      <c r="B199" s="45">
        <v>2.0099999999999998</v>
      </c>
      <c r="C199" s="45">
        <v>70.209999999999994</v>
      </c>
      <c r="D199" s="45">
        <v>71.14</v>
      </c>
      <c r="E199" s="45">
        <f t="shared" si="3"/>
        <v>0.93000000000000682</v>
      </c>
      <c r="F199" s="41">
        <v>69.09</v>
      </c>
      <c r="G199" s="41">
        <v>70.28</v>
      </c>
      <c r="H199" s="41">
        <v>1.1899999999999977</v>
      </c>
      <c r="I199" s="41">
        <v>51.96901226597781</v>
      </c>
      <c r="J199" s="41">
        <v>7.3749999999995319E-2</v>
      </c>
      <c r="K199" s="41">
        <v>96.33084577114451</v>
      </c>
      <c r="L199" s="47">
        <v>45940</v>
      </c>
      <c r="M199" s="45">
        <v>3</v>
      </c>
    </row>
    <row r="200" spans="1:13" x14ac:dyDescent="0.25">
      <c r="A200" s="37" t="s">
        <v>108</v>
      </c>
      <c r="B200" s="44">
        <v>2</v>
      </c>
      <c r="C200" s="44">
        <v>71.52</v>
      </c>
      <c r="D200" s="44">
        <v>71.86</v>
      </c>
      <c r="E200" s="45">
        <f t="shared" si="3"/>
        <v>0.34000000000000341</v>
      </c>
      <c r="F200" s="41">
        <v>69.489999999999995</v>
      </c>
      <c r="G200" s="41">
        <v>71.27</v>
      </c>
      <c r="H200" s="41">
        <v>1.7800000000000011</v>
      </c>
      <c r="I200" s="41">
        <v>82.4402840542284</v>
      </c>
      <c r="J200" s="41">
        <v>6.3749999999995532E-2</v>
      </c>
      <c r="K200" s="41">
        <v>96.812500000000227</v>
      </c>
      <c r="L200" s="46">
        <v>45912</v>
      </c>
      <c r="M200" s="44">
        <v>1</v>
      </c>
    </row>
    <row r="201" spans="1:13" x14ac:dyDescent="0.25">
      <c r="A201" s="39" t="s">
        <v>108</v>
      </c>
      <c r="B201" s="45">
        <v>2.0099999999999998</v>
      </c>
      <c r="C201" s="45">
        <v>69.959999999999994</v>
      </c>
      <c r="D201" s="45">
        <v>70.27</v>
      </c>
      <c r="E201" s="45">
        <f t="shared" si="3"/>
        <v>0.31000000000000227</v>
      </c>
      <c r="F201" s="41">
        <v>71.55</v>
      </c>
      <c r="G201" s="41">
        <v>73.33</v>
      </c>
      <c r="H201" s="41">
        <v>1.7800000000000011</v>
      </c>
      <c r="I201" s="41">
        <v>83.737704918032691</v>
      </c>
      <c r="J201" s="41">
        <v>0.10374999999999646</v>
      </c>
      <c r="K201" s="41">
        <v>94.838308457711619</v>
      </c>
      <c r="L201" s="47">
        <v>45930</v>
      </c>
      <c r="M201" s="45">
        <v>2</v>
      </c>
    </row>
    <row r="202" spans="1:13" x14ac:dyDescent="0.25">
      <c r="A202" s="39" t="s">
        <v>108</v>
      </c>
      <c r="B202" s="45">
        <v>1.96</v>
      </c>
      <c r="C202" s="45">
        <v>70.58</v>
      </c>
      <c r="D202" s="45">
        <v>70.86</v>
      </c>
      <c r="E202" s="45">
        <f t="shared" si="3"/>
        <v>0.28000000000000114</v>
      </c>
      <c r="F202" s="41">
        <v>69.97</v>
      </c>
      <c r="G202" s="41">
        <v>71.72</v>
      </c>
      <c r="H202" s="41">
        <v>1.75</v>
      </c>
      <c r="I202" s="41">
        <v>84.834123222748758</v>
      </c>
      <c r="J202" s="41">
        <v>0.11374999999999891</v>
      </c>
      <c r="K202" s="41">
        <v>94.196428571428626</v>
      </c>
      <c r="L202" s="47">
        <v>45943</v>
      </c>
      <c r="M202" s="45">
        <v>3</v>
      </c>
    </row>
    <row r="203" spans="1:13" x14ac:dyDescent="0.25">
      <c r="A203" s="37" t="s">
        <v>87</v>
      </c>
      <c r="B203" s="44">
        <v>2.0099999999999998</v>
      </c>
      <c r="C203" s="44">
        <v>72.91</v>
      </c>
      <c r="D203" s="44">
        <v>73.569999999999993</v>
      </c>
      <c r="E203" s="45">
        <f t="shared" si="3"/>
        <v>0.65999999999999659</v>
      </c>
      <c r="F203" s="41">
        <v>71.19</v>
      </c>
      <c r="G203" s="41">
        <v>72.64</v>
      </c>
      <c r="H203" s="41">
        <v>1.4500000000000028</v>
      </c>
      <c r="I203" s="41">
        <v>65.736534717715926</v>
      </c>
      <c r="J203" s="41">
        <v>8.3750000000000435E-2</v>
      </c>
      <c r="K203" s="41">
        <v>95.833333333333314</v>
      </c>
      <c r="L203" s="46">
        <v>45910</v>
      </c>
      <c r="M203" s="44">
        <v>1</v>
      </c>
    </row>
    <row r="204" spans="1:13" x14ac:dyDescent="0.25">
      <c r="A204" s="39" t="s">
        <v>87</v>
      </c>
      <c r="B204" s="45">
        <v>1.96</v>
      </c>
      <c r="C204" s="45">
        <v>70.55</v>
      </c>
      <c r="D204" s="45">
        <v>71.239999999999995</v>
      </c>
      <c r="E204" s="45">
        <f t="shared" si="3"/>
        <v>0.68999999999999773</v>
      </c>
      <c r="F204" s="41">
        <v>67.95</v>
      </c>
      <c r="G204" s="41">
        <v>69.16</v>
      </c>
      <c r="H204" s="41">
        <v>1.2099999999999937</v>
      </c>
      <c r="I204" s="41">
        <v>59.796067006554921</v>
      </c>
      <c r="J204" s="41">
        <v>0.24375000000000857</v>
      </c>
      <c r="K204" s="41">
        <v>87.563775510203641</v>
      </c>
      <c r="L204" s="47">
        <v>45925</v>
      </c>
      <c r="M204" s="45">
        <v>2</v>
      </c>
    </row>
    <row r="205" spans="1:13" x14ac:dyDescent="0.25">
      <c r="A205" s="39" t="s">
        <v>87</v>
      </c>
      <c r="B205" s="45">
        <v>1.98</v>
      </c>
      <c r="C205" s="45">
        <v>70.03</v>
      </c>
      <c r="D205" s="45">
        <v>70.67</v>
      </c>
      <c r="E205" s="45">
        <f t="shared" si="3"/>
        <v>0.64000000000000057</v>
      </c>
      <c r="F205" s="41">
        <v>69.47</v>
      </c>
      <c r="G205" s="41">
        <v>70.86</v>
      </c>
      <c r="H205" s="41">
        <v>1.3900000000000006</v>
      </c>
      <c r="I205" s="41">
        <v>65.335138794854416</v>
      </c>
      <c r="J205" s="41">
        <v>0.13374999999999893</v>
      </c>
      <c r="K205" s="41">
        <v>93.244949494949552</v>
      </c>
      <c r="L205" s="47">
        <v>45940</v>
      </c>
      <c r="M205" s="45">
        <v>3</v>
      </c>
    </row>
    <row r="206" spans="1:13" x14ac:dyDescent="0.25">
      <c r="A206" s="37" t="s">
        <v>93</v>
      </c>
      <c r="B206" s="44">
        <v>1.99</v>
      </c>
      <c r="C206" s="44">
        <v>68.569999999999993</v>
      </c>
      <c r="D206" s="44">
        <v>69.349999999999994</v>
      </c>
      <c r="E206" s="45">
        <f t="shared" si="3"/>
        <v>0.78000000000000114</v>
      </c>
      <c r="F206" s="41">
        <v>68.7</v>
      </c>
      <c r="G206" s="41">
        <v>70.05</v>
      </c>
      <c r="H206" s="41">
        <v>1.3499999999999943</v>
      </c>
      <c r="I206" s="41">
        <v>59.922928709055725</v>
      </c>
      <c r="J206" s="41">
        <v>4.3750000000004619E-2</v>
      </c>
      <c r="K206" s="41">
        <v>97.801507537688209</v>
      </c>
      <c r="L206" s="46">
        <v>45912</v>
      </c>
      <c r="M206" s="44">
        <v>1</v>
      </c>
    </row>
    <row r="207" spans="1:13" x14ac:dyDescent="0.25">
      <c r="A207" s="39" t="s">
        <v>93</v>
      </c>
      <c r="B207" s="45">
        <v>1.95</v>
      </c>
      <c r="C207" s="45">
        <v>68.44</v>
      </c>
      <c r="D207" s="45">
        <v>69.040000000000006</v>
      </c>
      <c r="E207" s="45">
        <f t="shared" si="3"/>
        <v>0.60000000000000853</v>
      </c>
      <c r="F207" s="41">
        <v>67.92</v>
      </c>
      <c r="G207" s="41">
        <v>69.38</v>
      </c>
      <c r="H207" s="41">
        <v>1.4599999999999937</v>
      </c>
      <c r="I207" s="41">
        <v>68.021319120585858</v>
      </c>
      <c r="J207" s="41">
        <v>7.3749999999997762E-2</v>
      </c>
      <c r="K207" s="41">
        <v>96.217948717948829</v>
      </c>
      <c r="L207" s="47">
        <v>45930</v>
      </c>
      <c r="M207" s="45">
        <v>2</v>
      </c>
    </row>
    <row r="208" spans="1:13" x14ac:dyDescent="0.25">
      <c r="A208" s="39" t="s">
        <v>93</v>
      </c>
      <c r="B208" s="45">
        <v>2.0099999999999998</v>
      </c>
      <c r="C208" s="45">
        <v>70.25</v>
      </c>
      <c r="D208" s="45">
        <v>71.02</v>
      </c>
      <c r="E208" s="45">
        <f t="shared" si="3"/>
        <v>0.76999999999999602</v>
      </c>
      <c r="F208" s="41">
        <v>71.44</v>
      </c>
      <c r="G208" s="41">
        <v>72.73</v>
      </c>
      <c r="H208" s="41">
        <v>1.2900000000000063</v>
      </c>
      <c r="I208" s="41">
        <v>58.960692871419319</v>
      </c>
      <c r="J208" s="41">
        <v>0.13374999999999759</v>
      </c>
      <c r="K208" s="41">
        <v>93.345771144278729</v>
      </c>
      <c r="L208" s="47">
        <v>45940</v>
      </c>
      <c r="M208" s="45">
        <v>3</v>
      </c>
    </row>
    <row r="209" spans="1:13" x14ac:dyDescent="0.25">
      <c r="A209" s="37" t="s">
        <v>105</v>
      </c>
      <c r="B209" s="44">
        <v>2</v>
      </c>
      <c r="C209" s="44">
        <v>70.86</v>
      </c>
      <c r="D209" s="44">
        <v>71.92</v>
      </c>
      <c r="E209" s="45">
        <f t="shared" si="3"/>
        <v>1.0600000000000023</v>
      </c>
      <c r="F209" s="41">
        <v>68.45</v>
      </c>
      <c r="G209" s="41">
        <v>69.5</v>
      </c>
      <c r="H209" s="41">
        <v>1.0499999999999972</v>
      </c>
      <c r="I209" s="41">
        <v>44.970798182997925</v>
      </c>
      <c r="J209" s="41">
        <v>7.3750000000000537E-2</v>
      </c>
      <c r="K209" s="41">
        <v>96.312499999999972</v>
      </c>
      <c r="L209" s="46">
        <v>45912</v>
      </c>
      <c r="M209" s="44">
        <v>1</v>
      </c>
    </row>
    <row r="210" spans="1:13" x14ac:dyDescent="0.25">
      <c r="A210" s="39" t="s">
        <v>105</v>
      </c>
      <c r="B210" s="45">
        <v>1.97</v>
      </c>
      <c r="C210" s="45">
        <v>69.94</v>
      </c>
      <c r="D210" s="45">
        <v>71.040000000000006</v>
      </c>
      <c r="E210" s="45">
        <f t="shared" si="3"/>
        <v>1.1000000000000085</v>
      </c>
      <c r="F210" s="41">
        <v>68.55</v>
      </c>
      <c r="G210" s="41">
        <v>69.53</v>
      </c>
      <c r="H210" s="41">
        <v>0.98000000000000398</v>
      </c>
      <c r="I210" s="41">
        <v>41.990771259063884</v>
      </c>
      <c r="J210" s="41">
        <v>7.3749999999987437E-2</v>
      </c>
      <c r="K210" s="41">
        <v>96.256345177665608</v>
      </c>
      <c r="L210" s="47">
        <v>45932</v>
      </c>
      <c r="M210" s="45">
        <v>2</v>
      </c>
    </row>
    <row r="211" spans="1:13" x14ac:dyDescent="0.25">
      <c r="A211" s="37" t="s">
        <v>96</v>
      </c>
      <c r="B211" s="44">
        <v>1.99</v>
      </c>
      <c r="C211" s="44">
        <v>70.59</v>
      </c>
      <c r="D211" s="44">
        <v>71.34</v>
      </c>
      <c r="E211" s="45">
        <f t="shared" si="3"/>
        <v>0.75</v>
      </c>
      <c r="F211" s="41">
        <v>68.64</v>
      </c>
      <c r="G211" s="41">
        <v>70.03</v>
      </c>
      <c r="H211" s="41">
        <v>1.3900000000000006</v>
      </c>
      <c r="I211" s="41">
        <v>61.661341853035154</v>
      </c>
      <c r="J211" s="41">
        <v>3.3749999999999503E-2</v>
      </c>
      <c r="K211" s="41">
        <v>98.304020100502541</v>
      </c>
      <c r="L211" s="46">
        <v>45912</v>
      </c>
      <c r="M211" s="44">
        <v>1</v>
      </c>
    </row>
    <row r="212" spans="1:13" x14ac:dyDescent="0.25">
      <c r="A212" s="39" t="s">
        <v>96</v>
      </c>
      <c r="B212" s="45">
        <v>1.95</v>
      </c>
      <c r="C212" s="45">
        <v>71.510000000000005</v>
      </c>
      <c r="D212" s="45">
        <v>72.22</v>
      </c>
      <c r="E212" s="45">
        <f t="shared" si="3"/>
        <v>0.70999999999999375</v>
      </c>
      <c r="F212" s="41">
        <v>72.150000000000006</v>
      </c>
      <c r="G212" s="41">
        <v>73.48</v>
      </c>
      <c r="H212" s="41">
        <v>1.3299999999999983</v>
      </c>
      <c r="I212" s="41">
        <v>61.750841750841921</v>
      </c>
      <c r="J212" s="41">
        <v>9.3750000000007994E-2</v>
      </c>
      <c r="K212" s="41">
        <v>95.192307692307281</v>
      </c>
      <c r="L212" s="47">
        <v>45940</v>
      </c>
      <c r="M212" s="45">
        <v>3</v>
      </c>
    </row>
    <row r="213" spans="1:13" x14ac:dyDescent="0.25">
      <c r="A213" s="37" t="s">
        <v>70</v>
      </c>
      <c r="B213" s="44">
        <v>1.98</v>
      </c>
      <c r="C213" s="44">
        <v>70.38</v>
      </c>
      <c r="D213" s="44">
        <v>71.02</v>
      </c>
      <c r="E213" s="45">
        <f t="shared" si="3"/>
        <v>0.64000000000000057</v>
      </c>
      <c r="F213" s="41">
        <v>70.84</v>
      </c>
      <c r="G213" s="41">
        <v>72.28</v>
      </c>
      <c r="H213" s="41">
        <v>1.4399999999999977</v>
      </c>
      <c r="I213" s="41">
        <v>66.249176005273497</v>
      </c>
      <c r="J213" s="41">
        <v>8.3750000000001767E-2</v>
      </c>
      <c r="K213" s="41">
        <v>95.770202020201936</v>
      </c>
      <c r="L213" s="46">
        <v>45910</v>
      </c>
      <c r="M213" s="44">
        <v>1</v>
      </c>
    </row>
    <row r="214" spans="1:13" x14ac:dyDescent="0.25">
      <c r="A214" s="39" t="s">
        <v>70</v>
      </c>
      <c r="B214" s="45">
        <v>1.96</v>
      </c>
      <c r="C214" s="45">
        <v>70.06</v>
      </c>
      <c r="D214" s="45">
        <v>70.94</v>
      </c>
      <c r="E214" s="45">
        <f t="shared" si="3"/>
        <v>0.87999999999999545</v>
      </c>
      <c r="F214" s="41">
        <v>70.16</v>
      </c>
      <c r="G214" s="41">
        <v>71.38</v>
      </c>
      <c r="H214" s="41">
        <v>1.2199999999999989</v>
      </c>
      <c r="I214" s="41">
        <v>54.076973255055549</v>
      </c>
      <c r="J214" s="41">
        <v>4.3750000000005729E-2</v>
      </c>
      <c r="K214" s="41">
        <v>97.767857142856855</v>
      </c>
      <c r="L214" s="47">
        <v>45925</v>
      </c>
      <c r="M214" s="45">
        <v>2</v>
      </c>
    </row>
    <row r="215" spans="1:13" x14ac:dyDescent="0.25">
      <c r="A215" s="39" t="s">
        <v>70</v>
      </c>
      <c r="B215" s="45">
        <v>1.99</v>
      </c>
      <c r="C215" s="45">
        <v>69.569999999999993</v>
      </c>
      <c r="D215" s="45">
        <v>70.34</v>
      </c>
      <c r="E215" s="45">
        <f t="shared" si="3"/>
        <v>0.77000000000001023</v>
      </c>
      <c r="F215" s="41">
        <v>71</v>
      </c>
      <c r="G215" s="41">
        <v>72.3</v>
      </c>
      <c r="H215" s="41">
        <v>1.2999999999999972</v>
      </c>
      <c r="I215" s="41">
        <v>59.178263750827973</v>
      </c>
      <c r="J215" s="41">
        <v>0.10374999999999268</v>
      </c>
      <c r="K215" s="41">
        <v>94.786432160804395</v>
      </c>
      <c r="L215" s="47">
        <v>45940</v>
      </c>
      <c r="M215" s="45">
        <v>3</v>
      </c>
    </row>
    <row r="216" spans="1:13" x14ac:dyDescent="0.25">
      <c r="A216" s="37" t="s">
        <v>89</v>
      </c>
      <c r="B216" s="44">
        <v>1.99</v>
      </c>
      <c r="C216" s="44">
        <v>69.099999999999994</v>
      </c>
      <c r="D216" s="44">
        <v>69.790000000000006</v>
      </c>
      <c r="E216" s="45">
        <f t="shared" si="3"/>
        <v>0.69000000000001194</v>
      </c>
      <c r="F216" s="41">
        <v>71.010000000000005</v>
      </c>
      <c r="G216" s="41">
        <v>72.41</v>
      </c>
      <c r="H216" s="41">
        <v>1.3999999999999915</v>
      </c>
      <c r="I216" s="41">
        <v>63.803278688524024</v>
      </c>
      <c r="J216" s="41">
        <v>8.374999999999666E-2</v>
      </c>
      <c r="K216" s="41">
        <v>95.791457286432319</v>
      </c>
      <c r="L216" s="46">
        <v>45910</v>
      </c>
      <c r="M216" s="44">
        <v>1</v>
      </c>
    </row>
    <row r="217" spans="1:13" x14ac:dyDescent="0.25">
      <c r="A217" s="39" t="s">
        <v>89</v>
      </c>
      <c r="B217" s="45">
        <v>1.99</v>
      </c>
      <c r="C217" s="45">
        <v>69.739999999999995</v>
      </c>
      <c r="D217" s="45">
        <v>70.48</v>
      </c>
      <c r="E217" s="45">
        <f t="shared" si="3"/>
        <v>0.74000000000000909</v>
      </c>
      <c r="F217" s="41">
        <v>69.069999999999993</v>
      </c>
      <c r="G217" s="41">
        <v>70.41</v>
      </c>
      <c r="H217" s="41">
        <v>1.3400000000000034</v>
      </c>
      <c r="I217" s="41">
        <v>60.975609756097334</v>
      </c>
      <c r="J217" s="41">
        <v>9.3749999999987566E-2</v>
      </c>
      <c r="K217" s="41">
        <v>95.288944723618712</v>
      </c>
      <c r="L217" s="47">
        <v>45930</v>
      </c>
      <c r="M217" s="45">
        <v>2</v>
      </c>
    </row>
    <row r="218" spans="1:13" x14ac:dyDescent="0.25">
      <c r="A218" s="39" t="s">
        <v>89</v>
      </c>
      <c r="B218" s="45">
        <v>1.98</v>
      </c>
      <c r="C218" s="45">
        <v>69.64</v>
      </c>
      <c r="D218" s="45">
        <v>70.33</v>
      </c>
      <c r="E218" s="45">
        <f t="shared" si="3"/>
        <v>0.68999999999999773</v>
      </c>
      <c r="F218" s="41">
        <v>68.5</v>
      </c>
      <c r="G218" s="41">
        <v>69.91</v>
      </c>
      <c r="H218" s="41">
        <v>1.4099999999999966</v>
      </c>
      <c r="I218" s="41">
        <v>63.992172211350308</v>
      </c>
      <c r="J218" s="41">
        <v>6.3750000000005747E-2</v>
      </c>
      <c r="K218" s="41">
        <v>96.780303030302733</v>
      </c>
      <c r="L218" s="47">
        <v>45936</v>
      </c>
      <c r="M218" s="45">
        <v>3</v>
      </c>
    </row>
    <row r="219" spans="1:13" x14ac:dyDescent="0.25">
      <c r="A219" s="37" t="s">
        <v>106</v>
      </c>
      <c r="B219" s="44">
        <v>2</v>
      </c>
      <c r="C219" s="44">
        <v>70.319999999999993</v>
      </c>
      <c r="D219" s="44">
        <v>71.260000000000005</v>
      </c>
      <c r="E219" s="45">
        <f t="shared" si="3"/>
        <v>0.94000000000001194</v>
      </c>
      <c r="F219" s="41">
        <v>68.91</v>
      </c>
      <c r="G219" s="41">
        <v>70.12</v>
      </c>
      <c r="H219" s="41">
        <v>1.210000000000008</v>
      </c>
      <c r="I219" s="41">
        <v>52.193261284170248</v>
      </c>
      <c r="J219" s="41">
        <v>3.3749999999980185E-2</v>
      </c>
      <c r="K219" s="41">
        <v>98.312500000000995</v>
      </c>
      <c r="L219" s="46">
        <v>45912</v>
      </c>
      <c r="M219" s="44">
        <v>1</v>
      </c>
    </row>
    <row r="220" spans="1:13" x14ac:dyDescent="0.25">
      <c r="A220" s="39" t="s">
        <v>106</v>
      </c>
      <c r="B220" s="45">
        <v>1.96</v>
      </c>
      <c r="C220" s="45">
        <v>70.03</v>
      </c>
      <c r="D220" s="45">
        <v>70.89</v>
      </c>
      <c r="E220" s="45">
        <f t="shared" si="3"/>
        <v>0.85999999999999943</v>
      </c>
      <c r="F220" s="41">
        <v>68.47</v>
      </c>
      <c r="G220" s="41">
        <v>69.69</v>
      </c>
      <c r="H220" s="41">
        <v>1.2199999999999989</v>
      </c>
      <c r="I220" s="41">
        <v>54.647330257086345</v>
      </c>
      <c r="J220" s="41">
        <v>6.375000000000175E-2</v>
      </c>
      <c r="K220" s="41">
        <v>96.747448979591738</v>
      </c>
      <c r="L220" s="47">
        <v>45930</v>
      </c>
      <c r="M220" s="45">
        <v>2</v>
      </c>
    </row>
    <row r="221" spans="1:13" x14ac:dyDescent="0.25">
      <c r="A221" s="39" t="s">
        <v>106</v>
      </c>
      <c r="B221" s="45">
        <v>1.98</v>
      </c>
      <c r="C221" s="45">
        <v>69.69</v>
      </c>
      <c r="D221" s="45">
        <v>70.58</v>
      </c>
      <c r="E221" s="45">
        <f t="shared" si="3"/>
        <v>0.89000000000000057</v>
      </c>
      <c r="F221" s="41">
        <v>71.040000000000006</v>
      </c>
      <c r="G221" s="41">
        <v>72.27</v>
      </c>
      <c r="H221" s="41">
        <v>1.2299999999999898</v>
      </c>
      <c r="I221" s="41">
        <v>54.034861200774429</v>
      </c>
      <c r="J221" s="41">
        <v>4.3750000000009726E-2</v>
      </c>
      <c r="K221" s="41">
        <v>97.790404040403544</v>
      </c>
      <c r="L221" s="47">
        <v>45936</v>
      </c>
      <c r="M221" s="45">
        <v>3</v>
      </c>
    </row>
    <row r="222" spans="1:13" x14ac:dyDescent="0.25">
      <c r="A222" s="37" t="s">
        <v>92</v>
      </c>
      <c r="B222" s="44">
        <v>2.0099999999999998</v>
      </c>
      <c r="C222" s="44">
        <v>70.55</v>
      </c>
      <c r="D222" s="44">
        <v>71.05</v>
      </c>
      <c r="E222" s="45">
        <f t="shared" si="3"/>
        <v>0.5</v>
      </c>
      <c r="F222" s="41">
        <v>67.95</v>
      </c>
      <c r="G222" s="41">
        <v>69.58</v>
      </c>
      <c r="H222" s="41">
        <v>1.6299999999999955</v>
      </c>
      <c r="I222" s="41">
        <v>74.309569685292161</v>
      </c>
      <c r="J222" s="41">
        <v>6.3750000000004414E-2</v>
      </c>
      <c r="K222" s="41">
        <v>96.828358208954995</v>
      </c>
      <c r="L222" s="46">
        <v>45910</v>
      </c>
      <c r="M222" s="44">
        <v>1</v>
      </c>
    </row>
    <row r="223" spans="1:13" x14ac:dyDescent="0.25">
      <c r="A223" s="39" t="s">
        <v>92</v>
      </c>
      <c r="B223" s="45">
        <v>1.99</v>
      </c>
      <c r="C223" s="45">
        <v>68.09</v>
      </c>
      <c r="D223" s="45">
        <v>68.62</v>
      </c>
      <c r="E223" s="45">
        <f t="shared" si="3"/>
        <v>0.53000000000000114</v>
      </c>
      <c r="F223" s="41">
        <v>71.099999999999994</v>
      </c>
      <c r="G223" s="41">
        <v>72.459999999999994</v>
      </c>
      <c r="H223" s="41">
        <v>1.3599999999999994</v>
      </c>
      <c r="I223" s="41">
        <v>68.937728937728878</v>
      </c>
      <c r="J223" s="41">
        <v>0.2837499999999995</v>
      </c>
      <c r="K223" s="41">
        <v>85.741206030150778</v>
      </c>
      <c r="L223" s="47">
        <v>45925</v>
      </c>
      <c r="M223" s="45">
        <v>2</v>
      </c>
    </row>
    <row r="224" spans="1:13" x14ac:dyDescent="0.25">
      <c r="A224" s="39" t="s">
        <v>92</v>
      </c>
      <c r="B224" s="45">
        <v>1.95</v>
      </c>
      <c r="C224" s="45">
        <v>71.09</v>
      </c>
      <c r="D224" s="45">
        <v>71.69</v>
      </c>
      <c r="E224" s="45">
        <f t="shared" si="3"/>
        <v>0.59999999999999432</v>
      </c>
      <c r="F224" s="41">
        <v>69.67</v>
      </c>
      <c r="G224" s="41">
        <v>71.17</v>
      </c>
      <c r="H224" s="41">
        <v>1.5</v>
      </c>
      <c r="I224" s="41">
        <v>68.688845401174376</v>
      </c>
      <c r="J224" s="41">
        <v>3.375000000000572E-2</v>
      </c>
      <c r="K224" s="41">
        <v>98.269230769230475</v>
      </c>
      <c r="L224" s="47">
        <v>45936</v>
      </c>
      <c r="M224" s="45">
        <v>3</v>
      </c>
    </row>
    <row r="225" spans="1:13" x14ac:dyDescent="0.25">
      <c r="A225" s="37" t="s">
        <v>99</v>
      </c>
      <c r="B225" s="44">
        <v>2.0099999999999998</v>
      </c>
      <c r="C225" s="44">
        <v>69.09</v>
      </c>
      <c r="D225" s="44">
        <v>69.849999999999994</v>
      </c>
      <c r="E225" s="45">
        <f t="shared" si="3"/>
        <v>0.75999999999999091</v>
      </c>
      <c r="F225" s="41">
        <v>68.34</v>
      </c>
      <c r="G225" s="41">
        <v>69.709999999999994</v>
      </c>
      <c r="H225" s="41">
        <v>1.3699999999999903</v>
      </c>
      <c r="I225" s="41">
        <v>60.95054592164427</v>
      </c>
      <c r="J225" s="41">
        <v>6.3750000000018625E-2</v>
      </c>
      <c r="K225" s="41">
        <v>96.828358208954299</v>
      </c>
      <c r="L225" s="46">
        <v>45912</v>
      </c>
      <c r="M225" s="44">
        <v>1</v>
      </c>
    </row>
    <row r="226" spans="1:13" x14ac:dyDescent="0.25">
      <c r="A226" s="39" t="s">
        <v>99</v>
      </c>
      <c r="B226" s="45">
        <v>1.98</v>
      </c>
      <c r="C226" s="45">
        <v>70.959999999999994</v>
      </c>
      <c r="D226" s="45">
        <v>71.61</v>
      </c>
      <c r="E226" s="45">
        <f t="shared" si="3"/>
        <v>0.65000000000000568</v>
      </c>
      <c r="F226" s="41">
        <v>71.02</v>
      </c>
      <c r="G226" s="41">
        <v>72.39</v>
      </c>
      <c r="H226" s="41">
        <v>1.3700000000000045</v>
      </c>
      <c r="I226" s="41">
        <v>64.60176991150432</v>
      </c>
      <c r="J226" s="41">
        <v>0.14374999999998983</v>
      </c>
      <c r="K226" s="41">
        <v>92.739898989899501</v>
      </c>
      <c r="L226" s="47">
        <v>45930</v>
      </c>
      <c r="M226" s="45">
        <v>2</v>
      </c>
    </row>
    <row r="227" spans="1:13" x14ac:dyDescent="0.25">
      <c r="A227" s="39" t="s">
        <v>99</v>
      </c>
      <c r="B227" s="45">
        <v>1.97</v>
      </c>
      <c r="C227" s="45">
        <v>69.67</v>
      </c>
      <c r="D227" s="45">
        <v>70.290000000000006</v>
      </c>
      <c r="E227" s="45">
        <f t="shared" si="3"/>
        <v>0.62000000000000455</v>
      </c>
      <c r="F227" s="41">
        <v>68.59</v>
      </c>
      <c r="G227" s="41">
        <v>70.09</v>
      </c>
      <c r="H227" s="41">
        <v>1.5</v>
      </c>
      <c r="I227" s="41">
        <v>67.979341510651864</v>
      </c>
      <c r="J227" s="41">
        <v>3.3749999999995506E-2</v>
      </c>
      <c r="K227" s="41">
        <v>98.286802030457082</v>
      </c>
      <c r="L227" s="47">
        <v>45943</v>
      </c>
      <c r="M227" s="45">
        <v>3</v>
      </c>
    </row>
    <row r="228" spans="1:13" x14ac:dyDescent="0.25">
      <c r="A228" s="37" t="s">
        <v>98</v>
      </c>
      <c r="B228" s="44">
        <v>2</v>
      </c>
      <c r="C228" s="44">
        <v>69.150000000000006</v>
      </c>
      <c r="D228" s="44">
        <v>70.25</v>
      </c>
      <c r="E228" s="45">
        <f t="shared" si="3"/>
        <v>1.0999999999999943</v>
      </c>
      <c r="F228" s="41">
        <v>69.7</v>
      </c>
      <c r="G228" s="41">
        <v>70.760000000000005</v>
      </c>
      <c r="H228" s="41">
        <v>1.0600000000000023</v>
      </c>
      <c r="I228" s="41">
        <v>44.339025932954023</v>
      </c>
      <c r="J228" s="41">
        <v>2.375000000000338E-2</v>
      </c>
      <c r="K228" s="41">
        <v>98.812499999999829</v>
      </c>
      <c r="L228" s="46">
        <v>45912</v>
      </c>
      <c r="M228" s="44">
        <v>1</v>
      </c>
    </row>
    <row r="229" spans="1:13" x14ac:dyDescent="0.25">
      <c r="A229" s="39" t="s">
        <v>98</v>
      </c>
      <c r="B229" s="45">
        <v>1.95</v>
      </c>
      <c r="C229" s="45">
        <v>68.66</v>
      </c>
      <c r="D229" s="45">
        <v>69.680000000000007</v>
      </c>
      <c r="E229" s="45">
        <f t="shared" si="3"/>
        <v>1.0200000000000102</v>
      </c>
      <c r="F229" s="41">
        <v>70.73</v>
      </c>
      <c r="G229" s="41">
        <v>71.77</v>
      </c>
      <c r="H229" s="41">
        <v>1.039999999999992</v>
      </c>
      <c r="I229" s="41">
        <v>45.636242504996197</v>
      </c>
      <c r="J229" s="41">
        <v>7.3749999999997651E-2</v>
      </c>
      <c r="K229" s="41">
        <v>96.217948717948829</v>
      </c>
      <c r="L229" s="47">
        <v>45943</v>
      </c>
      <c r="M229" s="45">
        <v>3</v>
      </c>
    </row>
    <row r="230" spans="1:13" x14ac:dyDescent="0.25">
      <c r="A230" s="37" t="s">
        <v>103</v>
      </c>
      <c r="B230" s="44">
        <v>1.99</v>
      </c>
      <c r="C230" s="44">
        <v>71.06</v>
      </c>
      <c r="D230" s="44">
        <v>71.5</v>
      </c>
      <c r="E230" s="45">
        <f t="shared" si="3"/>
        <v>0.43999999999999773</v>
      </c>
      <c r="F230" s="41">
        <v>70.16</v>
      </c>
      <c r="G230" s="41">
        <v>71.83</v>
      </c>
      <c r="H230" s="41">
        <v>1.6700000000000017</v>
      </c>
      <c r="I230" s="41">
        <v>77.157689811810627</v>
      </c>
      <c r="J230" s="41">
        <v>6.3750000000000639E-2</v>
      </c>
      <c r="K230" s="41">
        <v>96.796482412060271</v>
      </c>
      <c r="L230" s="46">
        <v>45912</v>
      </c>
      <c r="M230" s="44">
        <v>1</v>
      </c>
    </row>
    <row r="231" spans="1:13" x14ac:dyDescent="0.25">
      <c r="A231" s="39" t="s">
        <v>103</v>
      </c>
      <c r="B231" s="45">
        <v>1.97</v>
      </c>
      <c r="C231" s="45">
        <v>69.47</v>
      </c>
      <c r="D231" s="45">
        <v>69.92</v>
      </c>
      <c r="E231" s="45">
        <f t="shared" si="3"/>
        <v>0.45000000000000284</v>
      </c>
      <c r="F231" s="41">
        <v>72.23</v>
      </c>
      <c r="G231" s="41">
        <v>73.84</v>
      </c>
      <c r="H231" s="41">
        <v>1.6099999999999994</v>
      </c>
      <c r="I231" s="41">
        <v>76.015989340439589</v>
      </c>
      <c r="J231" s="41">
        <v>9.374999999999778E-2</v>
      </c>
      <c r="K231" s="41">
        <v>95.241116751269146</v>
      </c>
      <c r="L231" s="47">
        <v>45932</v>
      </c>
      <c r="M231" s="45">
        <v>2</v>
      </c>
    </row>
    <row r="232" spans="1:13" x14ac:dyDescent="0.25">
      <c r="A232" s="39" t="s">
        <v>103</v>
      </c>
      <c r="B232" s="45">
        <v>1.95</v>
      </c>
      <c r="C232" s="45">
        <v>70.73</v>
      </c>
      <c r="D232" s="45">
        <v>71.11</v>
      </c>
      <c r="E232" s="45">
        <f t="shared" si="3"/>
        <v>0.37999999999999545</v>
      </c>
      <c r="F232" s="41">
        <v>68.599999999999994</v>
      </c>
      <c r="G232" s="41">
        <v>70.3</v>
      </c>
      <c r="H232" s="41">
        <v>1.7000000000000028</v>
      </c>
      <c r="I232" s="41">
        <v>79.960448253131403</v>
      </c>
      <c r="J232" s="41">
        <v>5.3750000000001741E-2</v>
      </c>
      <c r="K232" s="41">
        <v>97.243589743589652</v>
      </c>
      <c r="L232" s="47">
        <v>45936</v>
      </c>
      <c r="M232" s="45">
        <v>3</v>
      </c>
    </row>
    <row r="233" spans="1:13" x14ac:dyDescent="0.25">
      <c r="A233" s="37" t="s">
        <v>130</v>
      </c>
      <c r="B233" s="45" t="s">
        <v>184</v>
      </c>
      <c r="C233" s="45" t="s">
        <v>184</v>
      </c>
      <c r="D233" s="45" t="s">
        <v>184</v>
      </c>
      <c r="E233" s="45" t="s">
        <v>184</v>
      </c>
      <c r="F233" s="45" t="s">
        <v>184</v>
      </c>
      <c r="G233" s="45" t="s">
        <v>184</v>
      </c>
      <c r="H233" s="45" t="s">
        <v>184</v>
      </c>
      <c r="I233" s="45" t="s">
        <v>184</v>
      </c>
      <c r="J233" s="45" t="s">
        <v>184</v>
      </c>
      <c r="K233" s="45" t="s">
        <v>184</v>
      </c>
      <c r="L233" s="45" t="s">
        <v>184</v>
      </c>
      <c r="M233" s="45" t="s">
        <v>184</v>
      </c>
    </row>
    <row r="234" spans="1:13" x14ac:dyDescent="0.25">
      <c r="A234" s="39" t="s">
        <v>137</v>
      </c>
      <c r="B234" s="45" t="s">
        <v>184</v>
      </c>
      <c r="C234" s="45" t="s">
        <v>184</v>
      </c>
      <c r="D234" s="45" t="s">
        <v>184</v>
      </c>
      <c r="E234" s="45" t="s">
        <v>184</v>
      </c>
      <c r="F234" s="45" t="s">
        <v>184</v>
      </c>
      <c r="G234" s="45" t="s">
        <v>184</v>
      </c>
      <c r="H234" s="45" t="s">
        <v>184</v>
      </c>
      <c r="I234" s="45" t="s">
        <v>184</v>
      </c>
      <c r="J234" s="45" t="s">
        <v>184</v>
      </c>
      <c r="K234" s="45" t="s">
        <v>184</v>
      </c>
      <c r="L234" s="45" t="s">
        <v>184</v>
      </c>
      <c r="M234" s="45" t="s">
        <v>184</v>
      </c>
    </row>
    <row r="235" spans="1:13" x14ac:dyDescent="0.25">
      <c r="A235" s="39" t="s">
        <v>141</v>
      </c>
      <c r="B235" s="45" t="s">
        <v>184</v>
      </c>
      <c r="C235" s="45" t="s">
        <v>184</v>
      </c>
      <c r="D235" s="45" t="s">
        <v>184</v>
      </c>
      <c r="E235" s="45" t="s">
        <v>184</v>
      </c>
      <c r="F235" s="45" t="s">
        <v>184</v>
      </c>
      <c r="G235" s="45" t="s">
        <v>184</v>
      </c>
      <c r="H235" s="45" t="s">
        <v>184</v>
      </c>
      <c r="I235" s="45" t="s">
        <v>184</v>
      </c>
      <c r="J235" s="45" t="s">
        <v>184</v>
      </c>
      <c r="K235" s="45" t="s">
        <v>184</v>
      </c>
      <c r="L235" s="45" t="s">
        <v>184</v>
      </c>
      <c r="M235" s="45" t="s">
        <v>184</v>
      </c>
    </row>
    <row r="236" spans="1:13" x14ac:dyDescent="0.25">
      <c r="A236" s="39" t="s">
        <v>81</v>
      </c>
      <c r="B236" s="45" t="s">
        <v>184</v>
      </c>
      <c r="C236" s="45" t="s">
        <v>184</v>
      </c>
      <c r="D236" s="45" t="s">
        <v>184</v>
      </c>
      <c r="E236" s="45" t="s">
        <v>184</v>
      </c>
      <c r="F236" s="45" t="s">
        <v>184</v>
      </c>
      <c r="G236" s="45" t="s">
        <v>184</v>
      </c>
      <c r="H236" s="45" t="s">
        <v>184</v>
      </c>
      <c r="I236" s="45" t="s">
        <v>184</v>
      </c>
      <c r="J236" s="45" t="s">
        <v>184</v>
      </c>
      <c r="K236" s="45" t="s">
        <v>184</v>
      </c>
      <c r="L236" s="45" t="s">
        <v>184</v>
      </c>
      <c r="M236" s="45" t="s">
        <v>184</v>
      </c>
    </row>
    <row r="237" spans="1:13" x14ac:dyDescent="0.25">
      <c r="A237" s="39" t="s">
        <v>117</v>
      </c>
      <c r="B237" s="45" t="s">
        <v>184</v>
      </c>
      <c r="C237" s="45" t="s">
        <v>184</v>
      </c>
      <c r="D237" s="45" t="s">
        <v>184</v>
      </c>
      <c r="E237" s="45" t="s">
        <v>184</v>
      </c>
      <c r="F237" s="45" t="s">
        <v>184</v>
      </c>
      <c r="G237" s="45" t="s">
        <v>184</v>
      </c>
      <c r="H237" s="45" t="s">
        <v>184</v>
      </c>
      <c r="I237" s="45" t="s">
        <v>184</v>
      </c>
      <c r="J237" s="45" t="s">
        <v>184</v>
      </c>
      <c r="K237" s="45" t="s">
        <v>184</v>
      </c>
      <c r="L237" s="45" t="s">
        <v>184</v>
      </c>
      <c r="M237" s="45" t="s">
        <v>184</v>
      </c>
    </row>
    <row r="238" spans="1:13" x14ac:dyDescent="0.25">
      <c r="A238" s="39" t="s">
        <v>75</v>
      </c>
      <c r="B238" s="45" t="s">
        <v>184</v>
      </c>
      <c r="C238" s="45" t="s">
        <v>184</v>
      </c>
      <c r="D238" s="45" t="s">
        <v>184</v>
      </c>
      <c r="E238" s="45" t="s">
        <v>184</v>
      </c>
      <c r="F238" s="45" t="s">
        <v>184</v>
      </c>
      <c r="G238" s="45" t="s">
        <v>184</v>
      </c>
      <c r="H238" s="45" t="s">
        <v>184</v>
      </c>
      <c r="I238" s="45" t="s">
        <v>184</v>
      </c>
      <c r="J238" s="45" t="s">
        <v>184</v>
      </c>
      <c r="K238" s="45" t="s">
        <v>184</v>
      </c>
      <c r="L238" s="45" t="s">
        <v>184</v>
      </c>
      <c r="M238" s="45" t="s">
        <v>184</v>
      </c>
    </row>
    <row r="239" spans="1:13" x14ac:dyDescent="0.25">
      <c r="A239" s="37" t="s">
        <v>110</v>
      </c>
      <c r="B239" s="45" t="s">
        <v>184</v>
      </c>
      <c r="C239" s="45" t="s">
        <v>184</v>
      </c>
      <c r="D239" s="45" t="s">
        <v>184</v>
      </c>
      <c r="E239" s="45" t="s">
        <v>184</v>
      </c>
      <c r="F239" s="45" t="s">
        <v>184</v>
      </c>
      <c r="G239" s="45" t="s">
        <v>184</v>
      </c>
      <c r="H239" s="45" t="s">
        <v>184</v>
      </c>
      <c r="I239" s="45" t="s">
        <v>184</v>
      </c>
      <c r="J239" s="45" t="s">
        <v>184</v>
      </c>
      <c r="K239" s="45" t="s">
        <v>184</v>
      </c>
      <c r="L239" s="45" t="s">
        <v>184</v>
      </c>
      <c r="M239" s="45" t="s">
        <v>184</v>
      </c>
    </row>
    <row r="240" spans="1:13" x14ac:dyDescent="0.25">
      <c r="A240" s="39" t="s">
        <v>105</v>
      </c>
      <c r="B240" s="45" t="s">
        <v>184</v>
      </c>
      <c r="C240" s="45" t="s">
        <v>184</v>
      </c>
      <c r="D240" s="45" t="s">
        <v>184</v>
      </c>
      <c r="E240" s="45" t="s">
        <v>184</v>
      </c>
      <c r="F240" s="45" t="s">
        <v>184</v>
      </c>
      <c r="G240" s="45" t="s">
        <v>184</v>
      </c>
      <c r="H240" s="45" t="s">
        <v>184</v>
      </c>
      <c r="I240" s="45" t="s">
        <v>184</v>
      </c>
      <c r="J240" s="45" t="s">
        <v>184</v>
      </c>
      <c r="K240" s="45" t="s">
        <v>184</v>
      </c>
      <c r="L240" s="45" t="s">
        <v>184</v>
      </c>
      <c r="M240" s="45" t="s">
        <v>184</v>
      </c>
    </row>
    <row r="241" spans="1:13" x14ac:dyDescent="0.25">
      <c r="A241" s="39" t="s">
        <v>98</v>
      </c>
      <c r="B241" s="45" t="s">
        <v>184</v>
      </c>
      <c r="C241" s="45" t="s">
        <v>184</v>
      </c>
      <c r="D241" s="45" t="s">
        <v>184</v>
      </c>
      <c r="E241" s="45" t="s">
        <v>184</v>
      </c>
      <c r="F241" s="45" t="s">
        <v>184</v>
      </c>
      <c r="G241" s="45" t="s">
        <v>184</v>
      </c>
      <c r="H241" s="45" t="s">
        <v>184</v>
      </c>
      <c r="I241" s="45" t="s">
        <v>184</v>
      </c>
      <c r="J241" s="45" t="s">
        <v>184</v>
      </c>
      <c r="K241" s="45" t="s">
        <v>184</v>
      </c>
      <c r="L241" s="45" t="s">
        <v>184</v>
      </c>
      <c r="M241" s="45" t="s">
        <v>184</v>
      </c>
    </row>
  </sheetData>
  <sortState xmlns:xlrd2="http://schemas.microsoft.com/office/spreadsheetml/2017/richdata2" ref="A2:M232">
    <sortCondition ref="A1:A232"/>
  </sortStat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Metadata_WSA_JE_0-10_May2025_ZJ</vt:lpstr>
      <vt:lpstr>Data_WSA_JE_0-10_May2025_ZJ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Cesarz, Simone</dc:creator>
  <cp:lastModifiedBy>Munschek, Marius</cp:lastModifiedBy>
  <dcterms:created xsi:type="dcterms:W3CDTF">2015-09-07T13:19:34Z</dcterms:created>
  <dcterms:modified xsi:type="dcterms:W3CDTF">2025-11-24T12:35:12Z</dcterms:modified>
</cp:coreProperties>
</file>