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g06akex\Documents\Science\05_WP01\MainExperiment\SeasonalSampling_2024\Spring_24\AggregateStability\"/>
    </mc:Choice>
  </mc:AlternateContent>
  <xr:revisionPtr revIDLastSave="0" documentId="13_ncr:1_{914FA232-A94B-4624-9E64-61080C2FDF4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elle1" sheetId="1" r:id="rId1"/>
    <sheet name="Tabelle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1" l="1"/>
  <c r="G37" i="1"/>
  <c r="K36" i="1"/>
  <c r="G36" i="1"/>
  <c r="K35" i="1"/>
  <c r="G35" i="1"/>
  <c r="M35" i="1" s="1"/>
  <c r="K34" i="1"/>
  <c r="G34" i="1"/>
  <c r="M34" i="1" s="1"/>
  <c r="K33" i="1"/>
  <c r="G33" i="1"/>
  <c r="M33" i="1" s="1"/>
  <c r="K32" i="1"/>
  <c r="G32" i="1"/>
  <c r="K31" i="1"/>
  <c r="G31" i="1"/>
  <c r="K30" i="1"/>
  <c r="G30" i="1"/>
  <c r="K29" i="1"/>
  <c r="G29" i="1"/>
  <c r="K28" i="1"/>
  <c r="G28" i="1"/>
  <c r="M28" i="1" s="1"/>
  <c r="K27" i="1"/>
  <c r="G27" i="1"/>
  <c r="K26" i="1"/>
  <c r="G26" i="1"/>
  <c r="M26" i="1" s="1"/>
  <c r="K25" i="1"/>
  <c r="G25" i="1"/>
  <c r="K24" i="1"/>
  <c r="G24" i="1"/>
  <c r="K23" i="1"/>
  <c r="G23" i="1"/>
  <c r="M23" i="1" s="1"/>
  <c r="K22" i="1"/>
  <c r="G22" i="1"/>
  <c r="M22" i="1" s="1"/>
  <c r="M24" i="1" l="1"/>
  <c r="M30" i="1"/>
  <c r="M36" i="1"/>
  <c r="N23" i="1"/>
  <c r="M32" i="1"/>
  <c r="M31" i="1"/>
  <c r="L33" i="1"/>
  <c r="N22" i="1"/>
  <c r="N37" i="1"/>
  <c r="N34" i="1"/>
  <c r="N36" i="1"/>
  <c r="N25" i="1"/>
  <c r="N28" i="1"/>
  <c r="N29" i="1"/>
  <c r="N26" i="1"/>
  <c r="N32" i="1"/>
  <c r="L34" i="1"/>
  <c r="M27" i="1"/>
  <c r="L35" i="1"/>
  <c r="N27" i="1"/>
  <c r="M29" i="1"/>
  <c r="L22" i="1"/>
  <c r="N35" i="1"/>
  <c r="L27" i="1"/>
  <c r="L30" i="1"/>
  <c r="L26" i="1"/>
  <c r="N31" i="1"/>
  <c r="L23" i="1"/>
  <c r="L32" i="1"/>
  <c r="L28" i="1"/>
  <c r="M37" i="1"/>
  <c r="N24" i="1"/>
  <c r="N33" i="1"/>
  <c r="M25" i="1"/>
  <c r="N30" i="1"/>
  <c r="L31" i="1"/>
  <c r="L24" i="1"/>
  <c r="L36" i="1"/>
  <c r="L29" i="1"/>
  <c r="L25" i="1"/>
  <c r="L37" i="1"/>
  <c r="K122" i="1" l="1"/>
  <c r="G122" i="1"/>
  <c r="K121" i="1"/>
  <c r="G121" i="1"/>
  <c r="K120" i="1"/>
  <c r="G120" i="1"/>
  <c r="M120" i="1" s="1"/>
  <c r="K119" i="1"/>
  <c r="G119" i="1"/>
  <c r="M119" i="1" s="1"/>
  <c r="K118" i="1"/>
  <c r="G118" i="1"/>
  <c r="L119" i="1" l="1"/>
  <c r="M122" i="1"/>
  <c r="M118" i="1"/>
  <c r="M121" i="1"/>
  <c r="N118" i="1"/>
  <c r="N121" i="1"/>
  <c r="N122" i="1"/>
  <c r="L122" i="1"/>
  <c r="L120" i="1"/>
  <c r="N119" i="1"/>
  <c r="L118" i="1"/>
  <c r="N120" i="1"/>
  <c r="L121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K142" i="1"/>
  <c r="G142" i="1"/>
  <c r="M142" i="1" s="1"/>
  <c r="K141" i="1"/>
  <c r="G141" i="1"/>
  <c r="K140" i="1"/>
  <c r="G140" i="1"/>
  <c r="K139" i="1"/>
  <c r="L139" i="1" s="1"/>
  <c r="G139" i="1"/>
  <c r="K138" i="1"/>
  <c r="G138" i="1"/>
  <c r="K137" i="1"/>
  <c r="G137" i="1"/>
  <c r="M137" i="1" s="1"/>
  <c r="K136" i="1"/>
  <c r="G136" i="1"/>
  <c r="M136" i="1" s="1"/>
  <c r="K135" i="1"/>
  <c r="G135" i="1"/>
  <c r="K134" i="1"/>
  <c r="G134" i="1"/>
  <c r="K133" i="1"/>
  <c r="N133" i="1" s="1"/>
  <c r="G133" i="1"/>
  <c r="K132" i="1"/>
  <c r="G132" i="1"/>
  <c r="M132" i="1" s="1"/>
  <c r="K131" i="1"/>
  <c r="G131" i="1"/>
  <c r="M131" i="1" s="1"/>
  <c r="K130" i="1"/>
  <c r="G130" i="1"/>
  <c r="M130" i="1" s="1"/>
  <c r="K129" i="1"/>
  <c r="G129" i="1"/>
  <c r="K128" i="1"/>
  <c r="N128" i="1" s="1"/>
  <c r="G128" i="1"/>
  <c r="K127" i="1"/>
  <c r="G127" i="1"/>
  <c r="M135" i="1" l="1"/>
  <c r="M141" i="1"/>
  <c r="M138" i="1"/>
  <c r="M134" i="1"/>
  <c r="M133" i="1"/>
  <c r="N135" i="1"/>
  <c r="N131" i="1"/>
  <c r="M127" i="1"/>
  <c r="L133" i="1"/>
  <c r="M139" i="1"/>
  <c r="M129" i="1"/>
  <c r="L140" i="1"/>
  <c r="L135" i="1"/>
  <c r="N130" i="1"/>
  <c r="N141" i="1"/>
  <c r="N142" i="1"/>
  <c r="N127" i="1"/>
  <c r="N137" i="1"/>
  <c r="N136" i="1"/>
  <c r="N132" i="1"/>
  <c r="L128" i="1"/>
  <c r="M140" i="1"/>
  <c r="M128" i="1"/>
  <c r="N140" i="1"/>
  <c r="N129" i="1"/>
  <c r="L134" i="1"/>
  <c r="L136" i="1"/>
  <c r="N138" i="1"/>
  <c r="L141" i="1"/>
  <c r="L138" i="1"/>
  <c r="L131" i="1"/>
  <c r="N134" i="1"/>
  <c r="L127" i="1"/>
  <c r="L132" i="1"/>
  <c r="L137" i="1"/>
  <c r="N139" i="1"/>
  <c r="L130" i="1"/>
  <c r="L142" i="1"/>
  <c r="L129" i="1"/>
  <c r="K126" i="1"/>
  <c r="G126" i="1"/>
  <c r="M126" i="1" s="1"/>
  <c r="K125" i="1"/>
  <c r="G125" i="1"/>
  <c r="K124" i="1"/>
  <c r="G124" i="1"/>
  <c r="N124" i="1" s="1"/>
  <c r="K123" i="1"/>
  <c r="G123" i="1"/>
  <c r="K117" i="1"/>
  <c r="G117" i="1"/>
  <c r="K116" i="1"/>
  <c r="G116" i="1"/>
  <c r="K115" i="1"/>
  <c r="G115" i="1"/>
  <c r="M115" i="1" s="1"/>
  <c r="K114" i="1"/>
  <c r="G114" i="1"/>
  <c r="K113" i="1"/>
  <c r="G113" i="1"/>
  <c r="M113" i="1" s="1"/>
  <c r="K112" i="1"/>
  <c r="G112" i="1"/>
  <c r="M112" i="1" s="1"/>
  <c r="K111" i="1"/>
  <c r="L111" i="1" s="1"/>
  <c r="G111" i="1"/>
  <c r="K110" i="1"/>
  <c r="G110" i="1"/>
  <c r="K109" i="1"/>
  <c r="G109" i="1"/>
  <c r="M109" i="1" s="1"/>
  <c r="K108" i="1"/>
  <c r="G108" i="1"/>
  <c r="K107" i="1"/>
  <c r="G107" i="1"/>
  <c r="K106" i="1"/>
  <c r="G106" i="1"/>
  <c r="K105" i="1"/>
  <c r="G105" i="1"/>
  <c r="K104" i="1"/>
  <c r="G104" i="1"/>
  <c r="K103" i="1"/>
  <c r="G103" i="1"/>
  <c r="M103" i="1" s="1"/>
  <c r="K102" i="1"/>
  <c r="G102" i="1"/>
  <c r="M102" i="1" s="1"/>
  <c r="K101" i="1"/>
  <c r="G101" i="1"/>
  <c r="M101" i="1" s="1"/>
  <c r="K100" i="1"/>
  <c r="G100" i="1"/>
  <c r="L100" i="1" s="1"/>
  <c r="K99" i="1"/>
  <c r="G99" i="1"/>
  <c r="K98" i="1"/>
  <c r="G98" i="1"/>
  <c r="M123" i="1" l="1"/>
  <c r="N98" i="1"/>
  <c r="M99" i="1"/>
  <c r="M108" i="1"/>
  <c r="M117" i="1"/>
  <c r="N100" i="1"/>
  <c r="M114" i="1"/>
  <c r="M125" i="1"/>
  <c r="N104" i="1"/>
  <c r="L110" i="1"/>
  <c r="M116" i="1"/>
  <c r="M100" i="1"/>
  <c r="N112" i="1"/>
  <c r="N125" i="1"/>
  <c r="N106" i="1"/>
  <c r="N101" i="1"/>
  <c r="M98" i="1"/>
  <c r="N103" i="1"/>
  <c r="N109" i="1"/>
  <c r="N115" i="1"/>
  <c r="L104" i="1"/>
  <c r="N116" i="1"/>
  <c r="N99" i="1"/>
  <c r="M105" i="1"/>
  <c r="M111" i="1"/>
  <c r="L109" i="1"/>
  <c r="N113" i="1"/>
  <c r="N123" i="1"/>
  <c r="M104" i="1"/>
  <c r="L114" i="1"/>
  <c r="L124" i="1"/>
  <c r="N105" i="1"/>
  <c r="N110" i="1"/>
  <c r="N114" i="1"/>
  <c r="L99" i="1"/>
  <c r="L107" i="1"/>
  <c r="N111" i="1"/>
  <c r="L115" i="1"/>
  <c r="N126" i="1"/>
  <c r="L126" i="1"/>
  <c r="M110" i="1"/>
  <c r="M106" i="1"/>
  <c r="N108" i="1"/>
  <c r="L112" i="1"/>
  <c r="N117" i="1"/>
  <c r="M124" i="1"/>
  <c r="M107" i="1"/>
  <c r="L105" i="1"/>
  <c r="N107" i="1"/>
  <c r="L117" i="1"/>
  <c r="N102" i="1"/>
  <c r="L103" i="1"/>
  <c r="L108" i="1"/>
  <c r="L125" i="1"/>
  <c r="L101" i="1"/>
  <c r="L113" i="1"/>
  <c r="L106" i="1"/>
  <c r="L123" i="1"/>
  <c r="L98" i="1"/>
  <c r="L116" i="1"/>
  <c r="L102" i="1"/>
  <c r="K97" i="1"/>
  <c r="G97" i="1"/>
  <c r="K96" i="1"/>
  <c r="G96" i="1"/>
  <c r="K95" i="1"/>
  <c r="G95" i="1"/>
  <c r="K94" i="1"/>
  <c r="G94" i="1"/>
  <c r="M94" i="1" s="1"/>
  <c r="K93" i="1"/>
  <c r="G93" i="1"/>
  <c r="K92" i="1"/>
  <c r="G92" i="1"/>
  <c r="K91" i="1"/>
  <c r="G91" i="1"/>
  <c r="M91" i="1" s="1"/>
  <c r="K90" i="1"/>
  <c r="G90" i="1"/>
  <c r="K89" i="1"/>
  <c r="G89" i="1"/>
  <c r="K88" i="1"/>
  <c r="G88" i="1"/>
  <c r="K87" i="1"/>
  <c r="G87" i="1"/>
  <c r="K86" i="1"/>
  <c r="G86" i="1"/>
  <c r="K85" i="1"/>
  <c r="G85" i="1"/>
  <c r="M85" i="1" s="1"/>
  <c r="K84" i="1"/>
  <c r="G84" i="1"/>
  <c r="K83" i="1"/>
  <c r="G83" i="1"/>
  <c r="M83" i="1" s="1"/>
  <c r="K82" i="1"/>
  <c r="G82" i="1"/>
  <c r="N82" i="1" s="1"/>
  <c r="K81" i="1"/>
  <c r="G81" i="1"/>
  <c r="M81" i="1" s="1"/>
  <c r="K80" i="1"/>
  <c r="G80" i="1"/>
  <c r="K79" i="1"/>
  <c r="G79" i="1"/>
  <c r="M79" i="1" s="1"/>
  <c r="K78" i="1"/>
  <c r="G78" i="1"/>
  <c r="K77" i="1"/>
  <c r="G77" i="1"/>
  <c r="M77" i="1" s="1"/>
  <c r="K76" i="1"/>
  <c r="G76" i="1"/>
  <c r="M76" i="1" s="1"/>
  <c r="K75" i="1"/>
  <c r="G75" i="1"/>
  <c r="N75" i="1" s="1"/>
  <c r="K74" i="1"/>
  <c r="G74" i="1"/>
  <c r="K73" i="1"/>
  <c r="G73" i="1"/>
  <c r="K72" i="1"/>
  <c r="G72" i="1"/>
  <c r="K71" i="1"/>
  <c r="G71" i="1"/>
  <c r="M71" i="1" s="1"/>
  <c r="K70" i="1"/>
  <c r="G70" i="1"/>
  <c r="N70" i="1" s="1"/>
  <c r="K69" i="1"/>
  <c r="G69" i="1"/>
  <c r="K68" i="1"/>
  <c r="G68" i="1"/>
  <c r="K67" i="1"/>
  <c r="G67" i="1"/>
  <c r="M67" i="1" s="1"/>
  <c r="K66" i="1"/>
  <c r="N66" i="1" s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M87" i="1" l="1"/>
  <c r="N64" i="1"/>
  <c r="L58" i="1"/>
  <c r="L59" i="1"/>
  <c r="M68" i="1"/>
  <c r="M74" i="1"/>
  <c r="M80" i="1"/>
  <c r="M86" i="1"/>
  <c r="M92" i="1"/>
  <c r="L63" i="1"/>
  <c r="M73" i="1"/>
  <c r="M59" i="1"/>
  <c r="N71" i="1"/>
  <c r="L83" i="1"/>
  <c r="M62" i="1"/>
  <c r="N91" i="1"/>
  <c r="N63" i="1"/>
  <c r="N68" i="1"/>
  <c r="M58" i="1"/>
  <c r="L64" i="1"/>
  <c r="M93" i="1"/>
  <c r="L76" i="1"/>
  <c r="N88" i="1"/>
  <c r="N94" i="1"/>
  <c r="M95" i="1"/>
  <c r="M60" i="1"/>
  <c r="M66" i="1"/>
  <c r="M72" i="1"/>
  <c r="M78" i="1"/>
  <c r="M84" i="1"/>
  <c r="M90" i="1"/>
  <c r="M96" i="1"/>
  <c r="N84" i="1"/>
  <c r="N73" i="1"/>
  <c r="L79" i="1"/>
  <c r="N89" i="1"/>
  <c r="M97" i="1"/>
  <c r="L78" i="1"/>
  <c r="N62" i="1"/>
  <c r="L74" i="1"/>
  <c r="L69" i="1"/>
  <c r="N58" i="1"/>
  <c r="L81" i="1"/>
  <c r="N87" i="1"/>
  <c r="N59" i="1"/>
  <c r="M65" i="1"/>
  <c r="M88" i="1"/>
  <c r="L88" i="1"/>
  <c r="M61" i="1"/>
  <c r="N65" i="1"/>
  <c r="N80" i="1"/>
  <c r="N85" i="1"/>
  <c r="L90" i="1"/>
  <c r="L95" i="1"/>
  <c r="L60" i="1"/>
  <c r="L80" i="1"/>
  <c r="N90" i="1"/>
  <c r="N95" i="1"/>
  <c r="L70" i="1"/>
  <c r="N61" i="1"/>
  <c r="L66" i="1"/>
  <c r="L71" i="1"/>
  <c r="N86" i="1"/>
  <c r="M89" i="1"/>
  <c r="N76" i="1"/>
  <c r="N96" i="1"/>
  <c r="M64" i="1"/>
  <c r="M75" i="1"/>
  <c r="M63" i="1"/>
  <c r="L75" i="1"/>
  <c r="L67" i="1"/>
  <c r="N72" i="1"/>
  <c r="N77" i="1"/>
  <c r="L82" i="1"/>
  <c r="N92" i="1"/>
  <c r="N97" i="1"/>
  <c r="L92" i="1"/>
  <c r="L68" i="1"/>
  <c r="N78" i="1"/>
  <c r="N83" i="1"/>
  <c r="N93" i="1"/>
  <c r="M69" i="1"/>
  <c r="M82" i="1"/>
  <c r="M70" i="1"/>
  <c r="L93" i="1"/>
  <c r="L86" i="1"/>
  <c r="N81" i="1"/>
  <c r="L91" i="1"/>
  <c r="L62" i="1"/>
  <c r="L72" i="1"/>
  <c r="N74" i="1"/>
  <c r="L84" i="1"/>
  <c r="L96" i="1"/>
  <c r="N69" i="1"/>
  <c r="L65" i="1"/>
  <c r="N67" i="1"/>
  <c r="L77" i="1"/>
  <c r="N79" i="1"/>
  <c r="L89" i="1"/>
  <c r="N60" i="1"/>
  <c r="L94" i="1"/>
  <c r="L87" i="1"/>
  <c r="L61" i="1"/>
  <c r="L73" i="1"/>
  <c r="L85" i="1"/>
  <c r="L97" i="1"/>
  <c r="K57" i="1" l="1"/>
  <c r="G57" i="1"/>
  <c r="M57" i="1" s="1"/>
  <c r="K56" i="1"/>
  <c r="G56" i="1"/>
  <c r="K55" i="1"/>
  <c r="G55" i="1"/>
  <c r="K54" i="1"/>
  <c r="G54" i="1"/>
  <c r="M54" i="1" s="1"/>
  <c r="K53" i="1"/>
  <c r="G53" i="1"/>
  <c r="M53" i="1" s="1"/>
  <c r="K52" i="1"/>
  <c r="G52" i="1"/>
  <c r="M52" i="1" s="1"/>
  <c r="K51" i="1"/>
  <c r="G51" i="1"/>
  <c r="M51" i="1" s="1"/>
  <c r="K50" i="1"/>
  <c r="G50" i="1"/>
  <c r="M50" i="1" s="1"/>
  <c r="K49" i="1"/>
  <c r="G49" i="1"/>
  <c r="K48" i="1"/>
  <c r="G48" i="1"/>
  <c r="M48" i="1" s="1"/>
  <c r="K47" i="1"/>
  <c r="G47" i="1"/>
  <c r="K46" i="1"/>
  <c r="G46" i="1"/>
  <c r="M46" i="1" s="1"/>
  <c r="K45" i="1"/>
  <c r="G45" i="1"/>
  <c r="M45" i="1" s="1"/>
  <c r="K44" i="1"/>
  <c r="G44" i="1"/>
  <c r="M44" i="1" s="1"/>
  <c r="K43" i="1"/>
  <c r="G43" i="1"/>
  <c r="K42" i="1"/>
  <c r="G42" i="1"/>
  <c r="M42" i="1" s="1"/>
  <c r="L43" i="1" l="1"/>
  <c r="M56" i="1"/>
  <c r="N48" i="1"/>
  <c r="M43" i="1"/>
  <c r="M55" i="1"/>
  <c r="N44" i="1"/>
  <c r="L55" i="1"/>
  <c r="L50" i="1"/>
  <c r="N49" i="1"/>
  <c r="N45" i="1"/>
  <c r="L57" i="1"/>
  <c r="N52" i="1"/>
  <c r="M47" i="1"/>
  <c r="N55" i="1"/>
  <c r="N50" i="1"/>
  <c r="N56" i="1"/>
  <c r="M49" i="1"/>
  <c r="N51" i="1"/>
  <c r="N46" i="1"/>
  <c r="N42" i="1"/>
  <c r="L47" i="1"/>
  <c r="N47" i="1"/>
  <c r="N57" i="1"/>
  <c r="N43" i="1"/>
  <c r="L48" i="1"/>
  <c r="N53" i="1"/>
  <c r="L45" i="1"/>
  <c r="N54" i="1"/>
  <c r="L46" i="1"/>
  <c r="L56" i="1"/>
  <c r="L51" i="1"/>
  <c r="L53" i="1"/>
  <c r="L44" i="1"/>
  <c r="L54" i="1"/>
  <c r="L49" i="1"/>
  <c r="L42" i="1"/>
  <c r="L52" i="1"/>
  <c r="K41" i="1"/>
  <c r="G41" i="1"/>
  <c r="K40" i="1"/>
  <c r="G40" i="1"/>
  <c r="K39" i="1"/>
  <c r="G39" i="1"/>
  <c r="K38" i="1"/>
  <c r="G38" i="1"/>
  <c r="M38" i="1" s="1"/>
  <c r="K21" i="1"/>
  <c r="G21" i="1"/>
  <c r="K20" i="1"/>
  <c r="G20" i="1"/>
  <c r="K19" i="1"/>
  <c r="G19" i="1"/>
  <c r="K18" i="1"/>
  <c r="G18" i="1"/>
  <c r="M18" i="1" s="1"/>
  <c r="K17" i="1"/>
  <c r="G17" i="1"/>
  <c r="K16" i="1"/>
  <c r="G16" i="1"/>
  <c r="M16" i="1" s="1"/>
  <c r="K15" i="1"/>
  <c r="G15" i="1"/>
  <c r="K14" i="1"/>
  <c r="G14" i="1"/>
  <c r="K13" i="1"/>
  <c r="G13" i="1"/>
  <c r="K12" i="1"/>
  <c r="G12" i="1"/>
  <c r="M12" i="1" s="1"/>
  <c r="K11" i="1"/>
  <c r="G11" i="1"/>
  <c r="M11" i="1" s="1"/>
  <c r="K10" i="1"/>
  <c r="G10" i="1"/>
  <c r="K9" i="1"/>
  <c r="G9" i="1"/>
  <c r="K8" i="1"/>
  <c r="G8" i="1"/>
  <c r="K7" i="1"/>
  <c r="G7" i="1"/>
  <c r="K6" i="1"/>
  <c r="G6" i="1"/>
  <c r="M6" i="1" s="1"/>
  <c r="K5" i="1"/>
  <c r="G5" i="1"/>
  <c r="K4" i="1"/>
  <c r="G4" i="1"/>
  <c r="K3" i="1"/>
  <c r="G3" i="1"/>
  <c r="K2" i="1"/>
  <c r="G2" i="1"/>
  <c r="L9" i="1" l="1"/>
  <c r="L15" i="1"/>
  <c r="M2" i="1"/>
  <c r="M20" i="1"/>
  <c r="M17" i="1"/>
  <c r="M39" i="1"/>
  <c r="N21" i="1"/>
  <c r="N8" i="1"/>
  <c r="N20" i="1"/>
  <c r="N3" i="1"/>
  <c r="M7" i="1"/>
  <c r="M13" i="1"/>
  <c r="M19" i="1"/>
  <c r="M41" i="1"/>
  <c r="M21" i="1"/>
  <c r="L6" i="1"/>
  <c r="M40" i="1"/>
  <c r="N4" i="1"/>
  <c r="M8" i="1"/>
  <c r="M14" i="1"/>
  <c r="M10" i="1"/>
  <c r="M3" i="1"/>
  <c r="L20" i="1"/>
  <c r="N2" i="1"/>
  <c r="L2" i="1"/>
  <c r="L8" i="1"/>
  <c r="N14" i="1"/>
  <c r="N40" i="1"/>
  <c r="M4" i="1"/>
  <c r="M9" i="1"/>
  <c r="M15" i="1"/>
  <c r="L40" i="1"/>
  <c r="N16" i="1"/>
  <c r="M5" i="1"/>
  <c r="N10" i="1"/>
  <c r="N15" i="1"/>
  <c r="L38" i="1"/>
  <c r="N17" i="1"/>
  <c r="N38" i="1"/>
  <c r="N9" i="1"/>
  <c r="L14" i="1"/>
  <c r="N5" i="1"/>
  <c r="N19" i="1"/>
  <c r="L39" i="1"/>
  <c r="L10" i="1"/>
  <c r="L18" i="1"/>
  <c r="N7" i="1"/>
  <c r="L11" i="1"/>
  <c r="N41" i="1"/>
  <c r="N13" i="1"/>
  <c r="L3" i="1"/>
  <c r="N12" i="1"/>
  <c r="L21" i="1"/>
  <c r="L41" i="1"/>
  <c r="L13" i="1"/>
  <c r="L4" i="1"/>
  <c r="N6" i="1"/>
  <c r="L16" i="1"/>
  <c r="N18" i="1"/>
  <c r="N11" i="1"/>
  <c r="N39" i="1"/>
  <c r="L7" i="1"/>
  <c r="L19" i="1"/>
  <c r="L12" i="1"/>
  <c r="L5" i="1"/>
  <c r="L17" i="1"/>
</calcChain>
</file>

<file path=xl/sharedStrings.xml><?xml version="1.0" encoding="utf-8"?>
<sst xmlns="http://schemas.openxmlformats.org/spreadsheetml/2006/main" count="1230" uniqueCount="109">
  <si>
    <t>Number</t>
  </si>
  <si>
    <t>Plot/Subplot/Site</t>
  </si>
  <si>
    <t>m sample (g)</t>
  </si>
  <si>
    <t>metal bin designation H2O</t>
  </si>
  <si>
    <r>
      <t xml:space="preserve">m beaker empty "unstable" (g) </t>
    </r>
    <r>
      <rPr>
        <b/>
        <sz val="12"/>
        <color theme="1"/>
        <rFont val="Georgia"/>
        <family val="1"/>
      </rPr>
      <t>US</t>
    </r>
  </si>
  <si>
    <t>m beaker dry "unstable" (g)</t>
  </si>
  <si>
    <t>m H2O "stable" (g)</t>
  </si>
  <si>
    <t>metal bin designation Na2PO3</t>
  </si>
  <si>
    <r>
      <t xml:space="preserve">m beaker empty "stable" (g) </t>
    </r>
    <r>
      <rPr>
        <b/>
        <sz val="12"/>
        <color theme="1"/>
        <rFont val="Georgia"/>
        <family val="1"/>
      </rPr>
      <t>WS</t>
    </r>
  </si>
  <si>
    <t>m beaker dry "stable" (g)</t>
  </si>
  <si>
    <t>m Na2PO3 "stable" (g)</t>
  </si>
  <si>
    <t>WSA (%)</t>
  </si>
  <si>
    <t>m sand + org. rest</t>
  </si>
  <si>
    <t>Aggregates overall (%)</t>
  </si>
  <si>
    <t>Comments</t>
  </si>
  <si>
    <t>m Na2PO3 in dispersing agent (g)</t>
  </si>
  <si>
    <t>B2A14</t>
  </si>
  <si>
    <t>A</t>
  </si>
  <si>
    <t>B2A08</t>
  </si>
  <si>
    <t>B</t>
  </si>
  <si>
    <t>B2A02</t>
  </si>
  <si>
    <t>C</t>
  </si>
  <si>
    <t>B1A07</t>
  </si>
  <si>
    <t>D</t>
  </si>
  <si>
    <t>B1A14</t>
  </si>
  <si>
    <t>E</t>
  </si>
  <si>
    <t>B3A08</t>
  </si>
  <si>
    <t>F</t>
  </si>
  <si>
    <t>B3A20</t>
  </si>
  <si>
    <t>G</t>
  </si>
  <si>
    <t>B1A05</t>
  </si>
  <si>
    <t>H</t>
  </si>
  <si>
    <t>B4A10</t>
  </si>
  <si>
    <t>B3A04</t>
  </si>
  <si>
    <t>B3A05</t>
  </si>
  <si>
    <t>B4A06</t>
  </si>
  <si>
    <t>B2A03</t>
  </si>
  <si>
    <t>B2A19</t>
  </si>
  <si>
    <t>B2A20</t>
  </si>
  <si>
    <t>B3A02</t>
  </si>
  <si>
    <t>B3A21</t>
  </si>
  <si>
    <t>B1A12</t>
  </si>
  <si>
    <t>B2A21</t>
  </si>
  <si>
    <t>B4A14</t>
  </si>
  <si>
    <t>B2A01</t>
  </si>
  <si>
    <t>second run</t>
  </si>
  <si>
    <t>B3A09</t>
  </si>
  <si>
    <t>B2A10</t>
  </si>
  <si>
    <t>B2A18</t>
  </si>
  <si>
    <t>B2A06</t>
  </si>
  <si>
    <t>B4A13</t>
  </si>
  <si>
    <t>B1A11</t>
  </si>
  <si>
    <t>B1A08</t>
  </si>
  <si>
    <t>B3A14</t>
  </si>
  <si>
    <t>B4A07</t>
  </si>
  <si>
    <t>B1A06</t>
  </si>
  <si>
    <t>B3A16</t>
  </si>
  <si>
    <t>B2A04</t>
  </si>
  <si>
    <t>B1A13</t>
  </si>
  <si>
    <t>B1A01</t>
  </si>
  <si>
    <t>B1A18</t>
  </si>
  <si>
    <t>B2A13</t>
  </si>
  <si>
    <t>B2A09</t>
  </si>
  <si>
    <t>B2A22</t>
  </si>
  <si>
    <t>B1A15</t>
  </si>
  <si>
    <t>B3A17</t>
  </si>
  <si>
    <t>B3A11</t>
  </si>
  <si>
    <t>B1A21</t>
  </si>
  <si>
    <t>B2A05</t>
  </si>
  <si>
    <t>B3A06</t>
  </si>
  <si>
    <t>B2A15</t>
  </si>
  <si>
    <t>B2A16</t>
  </si>
  <si>
    <t>B3A01</t>
  </si>
  <si>
    <t>B3A12</t>
  </si>
  <si>
    <t>B3A13</t>
  </si>
  <si>
    <t>B3A22</t>
  </si>
  <si>
    <t>B4A18</t>
  </si>
  <si>
    <t>B1A19</t>
  </si>
  <si>
    <t>B4A09</t>
  </si>
  <si>
    <t>B3A03</t>
  </si>
  <si>
    <t>B4A11</t>
  </si>
  <si>
    <t>B3A23</t>
  </si>
  <si>
    <t>B1A20</t>
  </si>
  <si>
    <t>B3A24</t>
  </si>
  <si>
    <t>B4A22</t>
  </si>
  <si>
    <t>B1A03</t>
  </si>
  <si>
    <t>B4A12</t>
  </si>
  <si>
    <t>B4A04</t>
  </si>
  <si>
    <t>B4A01</t>
  </si>
  <si>
    <t>B4A02</t>
  </si>
  <si>
    <t>B4A15</t>
  </si>
  <si>
    <t>B1A22</t>
  </si>
  <si>
    <t>B3A07</t>
  </si>
  <si>
    <t>B1A02</t>
  </si>
  <si>
    <t>B1A16</t>
  </si>
  <si>
    <t>B4A21</t>
  </si>
  <si>
    <t>B4A20</t>
  </si>
  <si>
    <t>B1A04</t>
  </si>
  <si>
    <t>B2A17</t>
  </si>
  <si>
    <t>B3A19</t>
  </si>
  <si>
    <t>B2A12</t>
  </si>
  <si>
    <t>B4A08</t>
  </si>
  <si>
    <t>B1A17</t>
  </si>
  <si>
    <t>B4A17</t>
  </si>
  <si>
    <t>B4A16</t>
  </si>
  <si>
    <t>third run</t>
  </si>
  <si>
    <t>measured</t>
  </si>
  <si>
    <t>first run</t>
  </si>
  <si>
    <t>measured 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</si>
</sst>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/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2"/>
  <sheetViews>
    <sheetView topLeftCell="A238" workbookViewId="0">
      <selection activeCell="H239" sqref="H239"/>
    </sheetView>
  </sheetViews>
  <sheetFormatPr baseColWidth="10" defaultColWidth="9.140625" defaultRowHeight="15" x14ac:dyDescent="0.25"/>
  <cols>
    <col min="2" max="2" width="10.28515625" bestFit="1" customWidth="1"/>
    <col min="13" max="13" width="9.42578125" bestFit="1" customWidth="1"/>
    <col min="17" max="17" width="10.140625" bestFit="1" customWidth="1"/>
  </cols>
  <sheetData>
    <row r="1" spans="1:17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106</v>
      </c>
    </row>
    <row r="2" spans="1:17" ht="30" x14ac:dyDescent="0.25">
      <c r="A2" s="4">
        <v>1.1000000000000001</v>
      </c>
      <c r="B2" s="4" t="s">
        <v>16</v>
      </c>
      <c r="C2" s="4">
        <v>1.98</v>
      </c>
      <c r="D2" s="4">
        <v>1</v>
      </c>
      <c r="E2" s="4">
        <v>71.87</v>
      </c>
      <c r="F2" s="4">
        <v>72.11</v>
      </c>
      <c r="G2" s="4">
        <f t="shared" ref="G2:G33" si="0">F2-E2</f>
        <v>0.23999999999999488</v>
      </c>
      <c r="H2" s="4" t="s">
        <v>17</v>
      </c>
      <c r="I2" s="4">
        <v>69.5</v>
      </c>
      <c r="J2" s="4">
        <v>71.3</v>
      </c>
      <c r="K2" s="4">
        <f t="shared" ref="K2:K33" si="1">J2-I2</f>
        <v>1.7999999999999972</v>
      </c>
      <c r="L2" s="4">
        <f t="shared" ref="L2:L33" si="2">((K2-$P$2)/(K2+G2-$P$2))*100</f>
        <v>87.070707070707286</v>
      </c>
      <c r="M2" s="4">
        <f t="shared" ref="M2:M33" si="3">C2-G2-(K2-$P$2)</f>
        <v>0.12375000000000802</v>
      </c>
      <c r="N2" s="4">
        <f t="shared" ref="N2:N33" si="4">((K2+G2-$P$2)/C2)*100</f>
        <v>93.749999999999602</v>
      </c>
      <c r="O2" s="2" t="s">
        <v>107</v>
      </c>
      <c r="P2" s="4">
        <v>0.18375</v>
      </c>
      <c r="Q2" s="5">
        <v>45474</v>
      </c>
    </row>
    <row r="3" spans="1:17" ht="30" x14ac:dyDescent="0.25">
      <c r="A3" s="4">
        <v>2.1</v>
      </c>
      <c r="B3" s="4" t="s">
        <v>18</v>
      </c>
      <c r="C3" s="4">
        <v>1.98</v>
      </c>
      <c r="D3" s="4">
        <v>2</v>
      </c>
      <c r="E3" s="4">
        <v>69.38</v>
      </c>
      <c r="F3" s="4">
        <v>69.77</v>
      </c>
      <c r="G3" s="4">
        <f t="shared" si="0"/>
        <v>0.39000000000000057</v>
      </c>
      <c r="H3" s="4" t="s">
        <v>19</v>
      </c>
      <c r="I3" s="4">
        <v>67.94</v>
      </c>
      <c r="J3" s="4">
        <v>69.569999999999993</v>
      </c>
      <c r="K3" s="4">
        <f t="shared" si="1"/>
        <v>1.6299999999999955</v>
      </c>
      <c r="L3" s="4">
        <f t="shared" si="2"/>
        <v>78.761061946902572</v>
      </c>
      <c r="M3" s="4">
        <f t="shared" si="3"/>
        <v>0.14375000000000404</v>
      </c>
      <c r="N3" s="4">
        <f t="shared" si="4"/>
        <v>92.739898989898791</v>
      </c>
      <c r="O3" s="2" t="s">
        <v>107</v>
      </c>
      <c r="P3" s="4"/>
      <c r="Q3" s="5">
        <v>45474</v>
      </c>
    </row>
    <row r="4" spans="1:17" ht="30" x14ac:dyDescent="0.25">
      <c r="A4" s="4">
        <v>3.1</v>
      </c>
      <c r="B4" s="4" t="s">
        <v>20</v>
      </c>
      <c r="C4" s="4">
        <v>2</v>
      </c>
      <c r="D4" s="4">
        <v>3</v>
      </c>
      <c r="E4" s="4">
        <v>71.489999999999995</v>
      </c>
      <c r="F4" s="4">
        <v>71.73</v>
      </c>
      <c r="G4" s="4">
        <f t="shared" si="0"/>
        <v>0.24000000000000909</v>
      </c>
      <c r="H4" s="4" t="s">
        <v>21</v>
      </c>
      <c r="I4" s="4">
        <v>70.959999999999994</v>
      </c>
      <c r="J4" s="4">
        <v>72.760000000000005</v>
      </c>
      <c r="K4" s="4">
        <f t="shared" si="1"/>
        <v>1.8000000000000114</v>
      </c>
      <c r="L4" s="4">
        <f t="shared" si="2"/>
        <v>87.070707070706717</v>
      </c>
      <c r="M4" s="4">
        <f t="shared" si="3"/>
        <v>0.14374999999997962</v>
      </c>
      <c r="N4" s="4">
        <f t="shared" si="4"/>
        <v>92.812500000001023</v>
      </c>
      <c r="O4" s="2" t="s">
        <v>107</v>
      </c>
      <c r="P4" s="4"/>
      <c r="Q4" s="5">
        <v>45474</v>
      </c>
    </row>
    <row r="5" spans="1:17" ht="30" x14ac:dyDescent="0.25">
      <c r="A5" s="4">
        <v>4.0999999999999996</v>
      </c>
      <c r="B5" s="4" t="s">
        <v>22</v>
      </c>
      <c r="C5" s="4">
        <v>2.0099999999999998</v>
      </c>
      <c r="D5" s="4">
        <v>4</v>
      </c>
      <c r="E5" s="4">
        <v>70.680000000000007</v>
      </c>
      <c r="F5" s="4">
        <v>71.12</v>
      </c>
      <c r="G5" s="4">
        <f t="shared" si="0"/>
        <v>0.43999999999999773</v>
      </c>
      <c r="H5" s="4" t="s">
        <v>23</v>
      </c>
      <c r="I5" s="4">
        <v>72.069999999999993</v>
      </c>
      <c r="J5" s="4">
        <v>73.66</v>
      </c>
      <c r="K5" s="4">
        <f t="shared" si="1"/>
        <v>1.5900000000000034</v>
      </c>
      <c r="L5" s="4">
        <f t="shared" si="2"/>
        <v>76.167907921462557</v>
      </c>
      <c r="M5" s="4">
        <f t="shared" si="3"/>
        <v>0.16374999999999873</v>
      </c>
      <c r="N5" s="4">
        <f t="shared" si="4"/>
        <v>91.853233830845838</v>
      </c>
      <c r="O5" s="2" t="s">
        <v>107</v>
      </c>
      <c r="P5" s="4"/>
      <c r="Q5" s="5">
        <v>45474</v>
      </c>
    </row>
    <row r="6" spans="1:17" ht="30" x14ac:dyDescent="0.25">
      <c r="A6" s="4">
        <v>5.0999999999999996</v>
      </c>
      <c r="B6" s="4" t="s">
        <v>24</v>
      </c>
      <c r="C6" s="4">
        <v>1.98</v>
      </c>
      <c r="D6" s="4">
        <v>5</v>
      </c>
      <c r="E6" s="4">
        <v>69.260000000000005</v>
      </c>
      <c r="F6" s="4">
        <v>69.5</v>
      </c>
      <c r="G6" s="4">
        <f t="shared" si="0"/>
        <v>0.23999999999999488</v>
      </c>
      <c r="H6" s="4" t="s">
        <v>25</v>
      </c>
      <c r="I6" s="4">
        <v>70.87</v>
      </c>
      <c r="J6" s="4">
        <v>72.489999999999995</v>
      </c>
      <c r="K6" s="4">
        <f t="shared" si="1"/>
        <v>1.6199999999999903</v>
      </c>
      <c r="L6" s="4">
        <f t="shared" si="2"/>
        <v>85.682326621924119</v>
      </c>
      <c r="M6" s="4">
        <f t="shared" si="3"/>
        <v>0.30375000000001484</v>
      </c>
      <c r="N6" s="4">
        <f t="shared" si="4"/>
        <v>84.659090909090168</v>
      </c>
      <c r="O6" s="2" t="s">
        <v>107</v>
      </c>
      <c r="P6" s="4"/>
      <c r="Q6" s="5">
        <v>45474</v>
      </c>
    </row>
    <row r="7" spans="1:17" ht="30" x14ac:dyDescent="0.25">
      <c r="A7" s="4">
        <v>6.1</v>
      </c>
      <c r="B7" s="4" t="s">
        <v>26</v>
      </c>
      <c r="C7" s="4">
        <v>1.99</v>
      </c>
      <c r="D7" s="4">
        <v>6</v>
      </c>
      <c r="E7" s="4">
        <v>68.58</v>
      </c>
      <c r="F7" s="4">
        <v>69.28</v>
      </c>
      <c r="G7" s="4">
        <f t="shared" si="0"/>
        <v>0.70000000000000284</v>
      </c>
      <c r="H7" s="4" t="s">
        <v>27</v>
      </c>
      <c r="I7" s="4">
        <v>71.33</v>
      </c>
      <c r="J7" s="4">
        <v>72.72</v>
      </c>
      <c r="K7" s="4">
        <f t="shared" si="1"/>
        <v>1.3900000000000006</v>
      </c>
      <c r="L7" s="4">
        <f t="shared" si="2"/>
        <v>63.278688524590073</v>
      </c>
      <c r="M7" s="4">
        <f t="shared" si="3"/>
        <v>8.374999999999666E-2</v>
      </c>
      <c r="N7" s="4">
        <f t="shared" si="4"/>
        <v>95.791457286432319</v>
      </c>
      <c r="O7" s="2" t="s">
        <v>107</v>
      </c>
      <c r="P7" s="4"/>
      <c r="Q7" s="5">
        <v>45474</v>
      </c>
    </row>
    <row r="8" spans="1:17" ht="30" x14ac:dyDescent="0.25">
      <c r="A8" s="4">
        <v>7.1</v>
      </c>
      <c r="B8" s="4" t="s">
        <v>28</v>
      </c>
      <c r="C8" s="4">
        <v>2.0099999999999998</v>
      </c>
      <c r="D8" s="4">
        <v>7</v>
      </c>
      <c r="E8" s="4">
        <v>71.16</v>
      </c>
      <c r="F8" s="4">
        <v>71.39</v>
      </c>
      <c r="G8" s="4">
        <f t="shared" si="0"/>
        <v>0.23000000000000398</v>
      </c>
      <c r="H8" s="4" t="s">
        <v>29</v>
      </c>
      <c r="I8" s="4">
        <v>70.930000000000007</v>
      </c>
      <c r="J8" s="4">
        <v>72.78</v>
      </c>
      <c r="K8" s="4">
        <f t="shared" si="1"/>
        <v>1.8499999999999943</v>
      </c>
      <c r="L8" s="4">
        <f t="shared" si="2"/>
        <v>87.870797626894969</v>
      </c>
      <c r="M8" s="4">
        <f t="shared" si="3"/>
        <v>0.11375000000000157</v>
      </c>
      <c r="N8" s="4">
        <f t="shared" si="4"/>
        <v>94.340796019900424</v>
      </c>
      <c r="O8" s="2" t="s">
        <v>107</v>
      </c>
      <c r="P8" s="4"/>
      <c r="Q8" s="5">
        <v>45474</v>
      </c>
    </row>
    <row r="9" spans="1:17" ht="30" x14ac:dyDescent="0.25">
      <c r="A9" s="4">
        <v>8.1</v>
      </c>
      <c r="B9" s="4" t="s">
        <v>30</v>
      </c>
      <c r="C9" s="4">
        <v>1.97</v>
      </c>
      <c r="D9" s="4">
        <v>8</v>
      </c>
      <c r="E9" s="4">
        <v>68.239999999999995</v>
      </c>
      <c r="F9" s="4">
        <v>68.680000000000007</v>
      </c>
      <c r="G9" s="4">
        <f t="shared" si="0"/>
        <v>0.44000000000001194</v>
      </c>
      <c r="H9" s="4" t="s">
        <v>31</v>
      </c>
      <c r="I9" s="4">
        <v>70.03</v>
      </c>
      <c r="J9" s="4">
        <v>71.569999999999993</v>
      </c>
      <c r="K9" s="4">
        <f t="shared" si="1"/>
        <v>1.539999999999992</v>
      </c>
      <c r="L9" s="4">
        <f t="shared" si="2"/>
        <v>75.504523312455902</v>
      </c>
      <c r="M9" s="4">
        <f t="shared" si="3"/>
        <v>0.17374999999999607</v>
      </c>
      <c r="N9" s="4">
        <f t="shared" si="4"/>
        <v>91.180203045685488</v>
      </c>
      <c r="O9" s="2" t="s">
        <v>107</v>
      </c>
      <c r="P9" s="4"/>
      <c r="Q9" s="5">
        <v>45474</v>
      </c>
    </row>
    <row r="10" spans="1:17" ht="30" x14ac:dyDescent="0.25">
      <c r="A10" s="4">
        <v>1.2</v>
      </c>
      <c r="B10" s="4" t="s">
        <v>32</v>
      </c>
      <c r="C10" s="4">
        <v>2</v>
      </c>
      <c r="D10" s="4">
        <v>1</v>
      </c>
      <c r="E10" s="4">
        <v>70.81</v>
      </c>
      <c r="F10" s="4">
        <v>71.010000000000005</v>
      </c>
      <c r="G10" s="4">
        <f t="shared" si="0"/>
        <v>0.20000000000000284</v>
      </c>
      <c r="H10" s="4" t="s">
        <v>17</v>
      </c>
      <c r="I10" s="4">
        <v>69.150000000000006</v>
      </c>
      <c r="J10" s="4">
        <v>71.03</v>
      </c>
      <c r="K10" s="4">
        <f t="shared" si="1"/>
        <v>1.8799999999999955</v>
      </c>
      <c r="L10" s="4">
        <f t="shared" si="2"/>
        <v>89.45286750164783</v>
      </c>
      <c r="M10" s="4">
        <f t="shared" si="3"/>
        <v>0.10375000000000179</v>
      </c>
      <c r="N10" s="4">
        <f t="shared" si="4"/>
        <v>94.812499999999915</v>
      </c>
      <c r="O10" s="2" t="s">
        <v>107</v>
      </c>
      <c r="P10" s="4"/>
      <c r="Q10" s="5">
        <v>45474</v>
      </c>
    </row>
    <row r="11" spans="1:17" ht="30" x14ac:dyDescent="0.25">
      <c r="A11" s="4">
        <v>2.2000000000000002</v>
      </c>
      <c r="B11" s="4" t="s">
        <v>33</v>
      </c>
      <c r="C11" s="4">
        <v>1.96</v>
      </c>
      <c r="D11" s="4">
        <v>2</v>
      </c>
      <c r="E11" s="4">
        <v>70.91</v>
      </c>
      <c r="F11" s="4">
        <v>71.2</v>
      </c>
      <c r="G11" s="4">
        <f t="shared" si="0"/>
        <v>0.29000000000000625</v>
      </c>
      <c r="H11" s="4" t="s">
        <v>19</v>
      </c>
      <c r="I11" s="4">
        <v>70.19</v>
      </c>
      <c r="J11" s="4">
        <v>71.930000000000007</v>
      </c>
      <c r="K11" s="4">
        <f t="shared" si="1"/>
        <v>1.7400000000000091</v>
      </c>
      <c r="L11" s="4">
        <f t="shared" si="2"/>
        <v>84.292484766418212</v>
      </c>
      <c r="M11" s="4">
        <f t="shared" si="3"/>
        <v>0.1137499999999847</v>
      </c>
      <c r="N11" s="4">
        <f t="shared" si="4"/>
        <v>94.196428571429351</v>
      </c>
      <c r="O11" s="2" t="s">
        <v>107</v>
      </c>
      <c r="P11" s="4"/>
      <c r="Q11" s="5">
        <v>45474</v>
      </c>
    </row>
    <row r="12" spans="1:17" ht="30" x14ac:dyDescent="0.25">
      <c r="A12" s="4">
        <v>3.2</v>
      </c>
      <c r="B12" s="4" t="s">
        <v>34</v>
      </c>
      <c r="C12" s="4">
        <v>1.99</v>
      </c>
      <c r="D12" s="4">
        <v>3</v>
      </c>
      <c r="E12" s="4">
        <v>70.790000000000006</v>
      </c>
      <c r="F12" s="4">
        <v>71.05</v>
      </c>
      <c r="G12" s="4">
        <f t="shared" si="0"/>
        <v>0.25999999999999091</v>
      </c>
      <c r="H12" s="4" t="s">
        <v>21</v>
      </c>
      <c r="I12" s="4">
        <v>70.48</v>
      </c>
      <c r="J12" s="4">
        <v>72.28</v>
      </c>
      <c r="K12" s="4">
        <f t="shared" si="1"/>
        <v>1.7999999999999972</v>
      </c>
      <c r="L12" s="4">
        <f t="shared" si="2"/>
        <v>86.14257161892111</v>
      </c>
      <c r="M12" s="4">
        <f t="shared" si="3"/>
        <v>0.11375000000001201</v>
      </c>
      <c r="N12" s="4">
        <f t="shared" si="4"/>
        <v>94.283919597989339</v>
      </c>
      <c r="O12" s="2" t="s">
        <v>107</v>
      </c>
      <c r="P12" s="4"/>
      <c r="Q12" s="5">
        <v>45474</v>
      </c>
    </row>
    <row r="13" spans="1:17" ht="30" x14ac:dyDescent="0.25">
      <c r="A13" s="4">
        <v>4.2</v>
      </c>
      <c r="B13" s="4" t="s">
        <v>35</v>
      </c>
      <c r="C13" s="4">
        <v>2</v>
      </c>
      <c r="D13" s="4">
        <v>4</v>
      </c>
      <c r="E13" s="4">
        <v>70.87</v>
      </c>
      <c r="F13" s="4">
        <v>71.290000000000006</v>
      </c>
      <c r="G13" s="4">
        <f t="shared" si="0"/>
        <v>0.42000000000000171</v>
      </c>
      <c r="H13" s="4" t="s">
        <v>23</v>
      </c>
      <c r="I13" s="4">
        <v>69.95</v>
      </c>
      <c r="J13" s="4">
        <v>71.599999999999994</v>
      </c>
      <c r="K13" s="4">
        <f t="shared" si="1"/>
        <v>1.6499999999999915</v>
      </c>
      <c r="L13" s="4">
        <f t="shared" si="2"/>
        <v>77.733598409542566</v>
      </c>
      <c r="M13" s="4">
        <f t="shared" si="3"/>
        <v>0.1137500000000069</v>
      </c>
      <c r="N13" s="4">
        <f t="shared" si="4"/>
        <v>94.312499999999659</v>
      </c>
      <c r="O13" s="2" t="s">
        <v>107</v>
      </c>
      <c r="P13" s="4"/>
      <c r="Q13" s="5">
        <v>45474</v>
      </c>
    </row>
    <row r="14" spans="1:17" ht="30" x14ac:dyDescent="0.25">
      <c r="A14" s="4">
        <v>5.2</v>
      </c>
      <c r="B14" s="4" t="s">
        <v>36</v>
      </c>
      <c r="C14" s="4">
        <v>1.96</v>
      </c>
      <c r="D14" s="4">
        <v>5</v>
      </c>
      <c r="E14" s="4">
        <v>68.05</v>
      </c>
      <c r="F14" s="4">
        <v>68.16</v>
      </c>
      <c r="G14" s="4">
        <f t="shared" si="0"/>
        <v>0.10999999999999943</v>
      </c>
      <c r="H14" s="4" t="s">
        <v>25</v>
      </c>
      <c r="I14" s="4">
        <v>70.47</v>
      </c>
      <c r="J14" s="4">
        <v>72.36</v>
      </c>
      <c r="K14" s="4">
        <f t="shared" si="1"/>
        <v>1.8900000000000006</v>
      </c>
      <c r="L14" s="4">
        <f t="shared" si="2"/>
        <v>93.94356503785275</v>
      </c>
      <c r="M14" s="4">
        <f t="shared" si="3"/>
        <v>0.14375000000000004</v>
      </c>
      <c r="N14" s="4">
        <f t="shared" si="4"/>
        <v>92.665816326530617</v>
      </c>
      <c r="O14" s="2" t="s">
        <v>107</v>
      </c>
      <c r="P14" s="4"/>
      <c r="Q14" s="5">
        <v>45474</v>
      </c>
    </row>
    <row r="15" spans="1:17" ht="30" x14ac:dyDescent="0.25">
      <c r="A15" s="4">
        <v>6.2</v>
      </c>
      <c r="B15" s="4" t="s">
        <v>37</v>
      </c>
      <c r="C15" s="4">
        <v>2.02</v>
      </c>
      <c r="D15" s="4">
        <v>6</v>
      </c>
      <c r="E15" s="4">
        <v>69.5</v>
      </c>
      <c r="F15" s="4">
        <v>69.86</v>
      </c>
      <c r="G15" s="4">
        <f t="shared" si="0"/>
        <v>0.35999999999999943</v>
      </c>
      <c r="H15" s="4" t="s">
        <v>27</v>
      </c>
      <c r="I15" s="4">
        <v>70.540000000000006</v>
      </c>
      <c r="J15" s="4">
        <v>72.260000000000005</v>
      </c>
      <c r="K15" s="4">
        <f t="shared" si="1"/>
        <v>1.7199999999999989</v>
      </c>
      <c r="L15" s="4">
        <f t="shared" si="2"/>
        <v>81.015161502966393</v>
      </c>
      <c r="M15" s="4">
        <f t="shared" si="3"/>
        <v>0.1237500000000018</v>
      </c>
      <c r="N15" s="4">
        <f t="shared" si="4"/>
        <v>93.873762376237536</v>
      </c>
      <c r="O15" s="2" t="s">
        <v>107</v>
      </c>
      <c r="P15" s="4"/>
      <c r="Q15" s="5">
        <v>45474</v>
      </c>
    </row>
    <row r="16" spans="1:17" ht="30" x14ac:dyDescent="0.25">
      <c r="A16" s="4">
        <v>7.2</v>
      </c>
      <c r="B16" s="4" t="s">
        <v>38</v>
      </c>
      <c r="C16" s="4">
        <v>1.98</v>
      </c>
      <c r="D16" s="4">
        <v>7</v>
      </c>
      <c r="E16" s="4">
        <v>71.25</v>
      </c>
      <c r="F16" s="4">
        <v>71.48</v>
      </c>
      <c r="G16" s="4">
        <f t="shared" si="0"/>
        <v>0.23000000000000398</v>
      </c>
      <c r="H16" s="4" t="s">
        <v>29</v>
      </c>
      <c r="I16" s="4">
        <v>68.010000000000005</v>
      </c>
      <c r="J16" s="4">
        <v>69.739999999999995</v>
      </c>
      <c r="K16" s="4">
        <f t="shared" si="1"/>
        <v>1.7299999999999898</v>
      </c>
      <c r="L16" s="4">
        <f t="shared" si="2"/>
        <v>87.05137227304688</v>
      </c>
      <c r="M16" s="4">
        <f t="shared" si="3"/>
        <v>0.20375000000000631</v>
      </c>
      <c r="N16" s="4">
        <f t="shared" si="4"/>
        <v>89.709595959595646</v>
      </c>
      <c r="O16" s="2" t="s">
        <v>107</v>
      </c>
      <c r="P16" s="4"/>
      <c r="Q16" s="5">
        <v>45474</v>
      </c>
    </row>
    <row r="17" spans="1:18" ht="30" x14ac:dyDescent="0.25">
      <c r="A17" s="4">
        <v>8.1999999999999993</v>
      </c>
      <c r="B17" s="4" t="s">
        <v>39</v>
      </c>
      <c r="C17" s="4">
        <v>1.98</v>
      </c>
      <c r="D17" s="4">
        <v>8</v>
      </c>
      <c r="E17" s="4">
        <v>70</v>
      </c>
      <c r="F17" s="4">
        <v>70.55</v>
      </c>
      <c r="G17" s="4">
        <f t="shared" si="0"/>
        <v>0.54999999999999716</v>
      </c>
      <c r="H17" s="4" t="s">
        <v>31</v>
      </c>
      <c r="I17" s="4">
        <v>70.77</v>
      </c>
      <c r="J17" s="4">
        <v>72.260000000000005</v>
      </c>
      <c r="K17" s="4">
        <f t="shared" si="1"/>
        <v>1.4900000000000091</v>
      </c>
      <c r="L17" s="4">
        <f t="shared" si="2"/>
        <v>70.370370370370622</v>
      </c>
      <c r="M17" s="4">
        <f t="shared" si="3"/>
        <v>0.12374999999999381</v>
      </c>
      <c r="N17" s="4">
        <f t="shared" si="4"/>
        <v>93.750000000000313</v>
      </c>
      <c r="O17" s="2" t="s">
        <v>107</v>
      </c>
      <c r="P17" s="4"/>
      <c r="Q17" s="5">
        <v>45474</v>
      </c>
    </row>
    <row r="18" spans="1:18" ht="30" x14ac:dyDescent="0.25">
      <c r="A18" s="1">
        <v>1.3</v>
      </c>
      <c r="B18" s="4" t="s">
        <v>40</v>
      </c>
      <c r="C18" s="4">
        <v>2</v>
      </c>
      <c r="D18" s="1">
        <v>1</v>
      </c>
      <c r="E18" s="1">
        <v>71.22</v>
      </c>
      <c r="F18" s="1">
        <v>71.77</v>
      </c>
      <c r="G18" s="1">
        <f t="shared" si="0"/>
        <v>0.54999999999999716</v>
      </c>
      <c r="H18" s="1" t="s">
        <v>17</v>
      </c>
      <c r="I18" s="1">
        <v>71.34</v>
      </c>
      <c r="J18" s="1">
        <v>72.88</v>
      </c>
      <c r="K18" s="1">
        <f t="shared" si="1"/>
        <v>1.539999999999992</v>
      </c>
      <c r="L18" s="4">
        <f t="shared" si="2"/>
        <v>71.147540983606532</v>
      </c>
      <c r="M18" s="1">
        <f t="shared" si="3"/>
        <v>9.375000000001088E-2</v>
      </c>
      <c r="N18" s="4">
        <f t="shared" si="4"/>
        <v>95.31249999999946</v>
      </c>
      <c r="O18" s="2" t="s">
        <v>107</v>
      </c>
      <c r="P18" s="4"/>
      <c r="Q18" s="5">
        <v>45474</v>
      </c>
    </row>
    <row r="19" spans="1:18" ht="30" x14ac:dyDescent="0.25">
      <c r="A19" s="1">
        <v>2.2999999999999998</v>
      </c>
      <c r="B19" s="4" t="s">
        <v>41</v>
      </c>
      <c r="C19" s="1">
        <v>1.97</v>
      </c>
      <c r="D19" s="1">
        <v>2</v>
      </c>
      <c r="E19" s="1">
        <v>69.150000000000006</v>
      </c>
      <c r="F19" s="1">
        <v>69.5</v>
      </c>
      <c r="G19" s="1">
        <f t="shared" si="0"/>
        <v>0.34999999999999432</v>
      </c>
      <c r="H19" s="1" t="s">
        <v>19</v>
      </c>
      <c r="I19" s="1">
        <v>70.5</v>
      </c>
      <c r="J19" s="1">
        <v>72.13</v>
      </c>
      <c r="K19" s="1">
        <f t="shared" si="1"/>
        <v>1.6299999999999955</v>
      </c>
      <c r="L19" s="4">
        <f t="shared" si="2"/>
        <v>80.514961725817884</v>
      </c>
      <c r="M19" s="1">
        <f t="shared" si="3"/>
        <v>0.17375000000001029</v>
      </c>
      <c r="N19" s="4">
        <f t="shared" si="4"/>
        <v>91.180203045684763</v>
      </c>
      <c r="O19" s="2" t="s">
        <v>107</v>
      </c>
      <c r="P19" s="4"/>
      <c r="Q19" s="5">
        <v>45474</v>
      </c>
    </row>
    <row r="20" spans="1:18" ht="30" x14ac:dyDescent="0.25">
      <c r="A20" s="1">
        <v>3.3</v>
      </c>
      <c r="B20" s="4" t="s">
        <v>42</v>
      </c>
      <c r="C20" s="1">
        <v>2.0099999999999998</v>
      </c>
      <c r="D20" s="1">
        <v>3</v>
      </c>
      <c r="E20" s="1">
        <v>69.209999999999994</v>
      </c>
      <c r="F20" s="1">
        <v>69.33</v>
      </c>
      <c r="G20" s="1">
        <f t="shared" si="0"/>
        <v>0.12000000000000455</v>
      </c>
      <c r="H20" s="1" t="s">
        <v>21</v>
      </c>
      <c r="I20" s="1">
        <v>69.099999999999994</v>
      </c>
      <c r="J20" s="1">
        <v>71.010000000000005</v>
      </c>
      <c r="K20" s="1">
        <f t="shared" si="1"/>
        <v>1.9100000000000108</v>
      </c>
      <c r="L20" s="4">
        <f t="shared" si="2"/>
        <v>93.500338524035016</v>
      </c>
      <c r="M20" s="1">
        <f t="shared" si="3"/>
        <v>0.16374999999998452</v>
      </c>
      <c r="N20" s="4">
        <f t="shared" si="4"/>
        <v>91.853233830846534</v>
      </c>
      <c r="O20" s="2" t="s">
        <v>107</v>
      </c>
      <c r="P20" s="4"/>
      <c r="Q20" s="5">
        <v>45474</v>
      </c>
    </row>
    <row r="21" spans="1:18" ht="30" x14ac:dyDescent="0.25">
      <c r="A21" s="1">
        <v>4.3</v>
      </c>
      <c r="B21" s="4" t="s">
        <v>43</v>
      </c>
      <c r="C21" s="1">
        <v>1.99</v>
      </c>
      <c r="D21" s="1">
        <v>4</v>
      </c>
      <c r="E21" s="1">
        <v>68.97</v>
      </c>
      <c r="F21" s="1">
        <v>69.52</v>
      </c>
      <c r="G21" s="1">
        <f t="shared" si="0"/>
        <v>0.54999999999999716</v>
      </c>
      <c r="H21" s="1" t="s">
        <v>23</v>
      </c>
      <c r="I21" s="1">
        <v>69.64</v>
      </c>
      <c r="J21" s="1">
        <v>71.180000000000007</v>
      </c>
      <c r="K21" s="1">
        <f t="shared" si="1"/>
        <v>1.5400000000000063</v>
      </c>
      <c r="L21" s="4">
        <f t="shared" si="2"/>
        <v>71.14754098360676</v>
      </c>
      <c r="M21" s="1">
        <f t="shared" si="3"/>
        <v>8.374999999999666E-2</v>
      </c>
      <c r="N21" s="4">
        <f t="shared" si="4"/>
        <v>95.791457286432319</v>
      </c>
      <c r="O21" s="2" t="s">
        <v>107</v>
      </c>
      <c r="P21" s="4"/>
      <c r="Q21" s="5">
        <v>45474</v>
      </c>
    </row>
    <row r="22" spans="1:18" ht="30" x14ac:dyDescent="0.35">
      <c r="A22" s="4">
        <v>1</v>
      </c>
      <c r="B22" s="7" t="s">
        <v>98</v>
      </c>
      <c r="C22" s="8">
        <v>2.04</v>
      </c>
      <c r="D22" s="4">
        <v>1</v>
      </c>
      <c r="E22" s="4">
        <v>70.72</v>
      </c>
      <c r="F22" s="4">
        <v>71.03</v>
      </c>
      <c r="G22" s="4">
        <f t="shared" si="0"/>
        <v>0.31000000000000227</v>
      </c>
      <c r="H22" s="4" t="s">
        <v>17</v>
      </c>
      <c r="I22" s="4">
        <v>68.400000000000006</v>
      </c>
      <c r="J22" s="4">
        <v>70.06</v>
      </c>
      <c r="K22" s="4">
        <f t="shared" si="1"/>
        <v>1.6599999999999966</v>
      </c>
      <c r="L22" s="8">
        <f t="shared" si="2"/>
        <v>82.645206438068442</v>
      </c>
      <c r="M22" s="1">
        <f t="shared" si="3"/>
        <v>0.25375000000000125</v>
      </c>
      <c r="N22" s="8">
        <f t="shared" si="4"/>
        <v>87.561274509803866</v>
      </c>
      <c r="O22" s="9" t="s">
        <v>107</v>
      </c>
      <c r="P22" s="11"/>
      <c r="Q22" s="5">
        <v>45469</v>
      </c>
    </row>
    <row r="23" spans="1:18" ht="30" x14ac:dyDescent="0.35">
      <c r="A23" s="4">
        <v>2</v>
      </c>
      <c r="B23" s="7" t="s">
        <v>43</v>
      </c>
      <c r="C23" s="4">
        <v>2.02</v>
      </c>
      <c r="D23" s="4">
        <v>2</v>
      </c>
      <c r="E23" s="4">
        <v>69.819999999999993</v>
      </c>
      <c r="F23" s="4">
        <v>70.44</v>
      </c>
      <c r="G23" s="4">
        <f t="shared" si="0"/>
        <v>0.62000000000000455</v>
      </c>
      <c r="H23" s="4" t="s">
        <v>19</v>
      </c>
      <c r="I23" s="4">
        <v>70.13</v>
      </c>
      <c r="J23" s="4">
        <v>71.459999999999994</v>
      </c>
      <c r="K23" s="4">
        <f t="shared" si="1"/>
        <v>1.3299999999999983</v>
      </c>
      <c r="L23" s="8">
        <f t="shared" si="2"/>
        <v>64.897381457890816</v>
      </c>
      <c r="M23" s="1">
        <f t="shared" si="3"/>
        <v>0.25374999999999726</v>
      </c>
      <c r="N23" s="8">
        <f t="shared" si="4"/>
        <v>87.438118811881324</v>
      </c>
      <c r="O23" s="9" t="s">
        <v>107</v>
      </c>
      <c r="P23" s="11"/>
      <c r="Q23" s="5">
        <v>45469</v>
      </c>
      <c r="R23" t="s">
        <v>108</v>
      </c>
    </row>
    <row r="24" spans="1:18" ht="30" x14ac:dyDescent="0.35">
      <c r="A24" s="4">
        <v>3</v>
      </c>
      <c r="B24" s="7" t="s">
        <v>93</v>
      </c>
      <c r="C24" s="4">
        <v>2</v>
      </c>
      <c r="D24" s="4">
        <v>3</v>
      </c>
      <c r="E24" s="4">
        <v>70.09</v>
      </c>
      <c r="F24" s="4">
        <v>70.27</v>
      </c>
      <c r="G24" s="4">
        <f t="shared" si="0"/>
        <v>0.17999999999999261</v>
      </c>
      <c r="H24" s="4" t="s">
        <v>21</v>
      </c>
      <c r="I24" s="4">
        <v>69.61</v>
      </c>
      <c r="J24" s="4">
        <v>71.239999999999995</v>
      </c>
      <c r="K24" s="4">
        <f t="shared" si="1"/>
        <v>1.6299999999999955</v>
      </c>
      <c r="L24" s="8">
        <f t="shared" si="2"/>
        <v>88.931591083782081</v>
      </c>
      <c r="M24" s="1">
        <f t="shared" si="3"/>
        <v>0.37375000000001202</v>
      </c>
      <c r="N24" s="8">
        <f t="shared" si="4"/>
        <v>81.312499999999403</v>
      </c>
      <c r="O24" s="9" t="s">
        <v>107</v>
      </c>
      <c r="P24" s="11"/>
      <c r="Q24" s="5">
        <v>45469</v>
      </c>
    </row>
    <row r="25" spans="1:18" ht="30" x14ac:dyDescent="0.35">
      <c r="A25" s="4">
        <v>4</v>
      </c>
      <c r="B25" s="7" t="s">
        <v>102</v>
      </c>
      <c r="C25" s="4">
        <v>2.0499999999999998</v>
      </c>
      <c r="D25" s="4">
        <v>4</v>
      </c>
      <c r="E25" s="4">
        <v>68.09</v>
      </c>
      <c r="F25" s="4">
        <v>68.52</v>
      </c>
      <c r="G25" s="4">
        <f t="shared" si="0"/>
        <v>0.42999999999999261</v>
      </c>
      <c r="H25" s="4" t="s">
        <v>23</v>
      </c>
      <c r="I25" s="4">
        <v>69.19</v>
      </c>
      <c r="J25" s="4">
        <v>70.7</v>
      </c>
      <c r="K25" s="4">
        <f t="shared" si="1"/>
        <v>1.5100000000000051</v>
      </c>
      <c r="L25" s="8">
        <f t="shared" si="2"/>
        <v>75.516014234875826</v>
      </c>
      <c r="M25" s="1">
        <f t="shared" si="3"/>
        <v>0.29375000000000218</v>
      </c>
      <c r="N25" s="8">
        <f t="shared" si="4"/>
        <v>85.670731707316961</v>
      </c>
      <c r="O25" s="9" t="s">
        <v>107</v>
      </c>
      <c r="P25" s="11"/>
      <c r="Q25" s="5">
        <v>45469</v>
      </c>
    </row>
    <row r="26" spans="1:18" ht="30" x14ac:dyDescent="0.35">
      <c r="A26" s="4">
        <v>5</v>
      </c>
      <c r="B26" s="7" t="s">
        <v>94</v>
      </c>
      <c r="C26" s="4">
        <v>2.0099999999999998</v>
      </c>
      <c r="D26" s="4">
        <v>5</v>
      </c>
      <c r="E26" s="4">
        <v>71.11</v>
      </c>
      <c r="F26" s="4">
        <v>71.47</v>
      </c>
      <c r="G26" s="4">
        <f t="shared" si="0"/>
        <v>0.35999999999999943</v>
      </c>
      <c r="H26" s="4" t="s">
        <v>25</v>
      </c>
      <c r="I26" s="4">
        <v>69.66</v>
      </c>
      <c r="J26" s="4">
        <v>71.209999999999994</v>
      </c>
      <c r="K26" s="4">
        <f t="shared" si="1"/>
        <v>1.5499999999999972</v>
      </c>
      <c r="L26" s="8">
        <f t="shared" si="2"/>
        <v>79.145546705286023</v>
      </c>
      <c r="M26" s="1">
        <f t="shared" si="3"/>
        <v>0.28375000000000328</v>
      </c>
      <c r="N26" s="8">
        <f t="shared" si="4"/>
        <v>85.883084577114261</v>
      </c>
      <c r="O26" s="9" t="s">
        <v>107</v>
      </c>
      <c r="P26" s="12"/>
      <c r="Q26" s="5">
        <v>45469</v>
      </c>
    </row>
    <row r="27" spans="1:18" ht="30" x14ac:dyDescent="0.35">
      <c r="A27" s="4">
        <v>6</v>
      </c>
      <c r="B27" s="7" t="s">
        <v>53</v>
      </c>
      <c r="C27" s="4">
        <v>2.0099999999999998</v>
      </c>
      <c r="D27" s="4">
        <v>6</v>
      </c>
      <c r="E27" s="4">
        <v>70.17</v>
      </c>
      <c r="F27" s="4">
        <v>70.459999999999994</v>
      </c>
      <c r="G27" s="4">
        <f t="shared" si="0"/>
        <v>0.28999999999999204</v>
      </c>
      <c r="H27" s="4" t="s">
        <v>27</v>
      </c>
      <c r="I27" s="4">
        <v>69.16</v>
      </c>
      <c r="J27" s="4">
        <v>70.849999999999994</v>
      </c>
      <c r="K27" s="4">
        <f t="shared" si="1"/>
        <v>1.6899999999999977</v>
      </c>
      <c r="L27" s="8">
        <f t="shared" si="2"/>
        <v>83.85525400139214</v>
      </c>
      <c r="M27" s="1">
        <f t="shared" si="3"/>
        <v>0.2137500000000101</v>
      </c>
      <c r="N27" s="8">
        <f t="shared" si="4"/>
        <v>89.365671641790541</v>
      </c>
      <c r="O27" s="9" t="s">
        <v>107</v>
      </c>
      <c r="P27" s="12"/>
      <c r="Q27" s="5">
        <v>45469</v>
      </c>
    </row>
    <row r="28" spans="1:18" ht="30" x14ac:dyDescent="0.35">
      <c r="A28" s="4">
        <v>7</v>
      </c>
      <c r="B28" s="7" t="s">
        <v>88</v>
      </c>
      <c r="C28" s="4">
        <v>1.99</v>
      </c>
      <c r="D28" s="4">
        <v>7</v>
      </c>
      <c r="E28" s="4">
        <v>69.7</v>
      </c>
      <c r="F28" s="4">
        <v>68.91</v>
      </c>
      <c r="G28" s="4">
        <f t="shared" si="0"/>
        <v>-0.79000000000000625</v>
      </c>
      <c r="H28" s="4" t="s">
        <v>29</v>
      </c>
      <c r="I28" s="4">
        <v>68.099999999999994</v>
      </c>
      <c r="J28" s="4">
        <v>69.790000000000006</v>
      </c>
      <c r="K28" s="4">
        <f t="shared" si="1"/>
        <v>1.6900000000000119</v>
      </c>
      <c r="L28" s="8">
        <f t="shared" si="2"/>
        <v>210.29668411867362</v>
      </c>
      <c r="M28" s="1">
        <f t="shared" si="3"/>
        <v>1.2737499999999946</v>
      </c>
      <c r="N28" s="8">
        <f t="shared" si="4"/>
        <v>35.992462311558079</v>
      </c>
      <c r="O28" s="9" t="s">
        <v>107</v>
      </c>
      <c r="P28" s="12"/>
      <c r="Q28" s="5">
        <v>45469</v>
      </c>
    </row>
    <row r="29" spans="1:18" ht="30" x14ac:dyDescent="0.35">
      <c r="A29" s="4">
        <v>8</v>
      </c>
      <c r="B29" s="7" t="s">
        <v>99</v>
      </c>
      <c r="C29" s="4">
        <v>2.0299999999999998</v>
      </c>
      <c r="D29" s="4">
        <v>8</v>
      </c>
      <c r="E29" s="4">
        <v>69.12</v>
      </c>
      <c r="F29" s="4">
        <v>69.52</v>
      </c>
      <c r="G29" s="4">
        <f t="shared" si="0"/>
        <v>0.39999999999999147</v>
      </c>
      <c r="H29" s="4" t="s">
        <v>31</v>
      </c>
      <c r="I29" s="4">
        <v>70.03</v>
      </c>
      <c r="J29" s="4">
        <v>71.59</v>
      </c>
      <c r="K29" s="4">
        <f t="shared" si="1"/>
        <v>1.5600000000000023</v>
      </c>
      <c r="L29" s="8">
        <f t="shared" si="2"/>
        <v>77.480647431386757</v>
      </c>
      <c r="M29" s="1">
        <f t="shared" si="3"/>
        <v>0.25375000000000614</v>
      </c>
      <c r="N29" s="8">
        <f t="shared" si="4"/>
        <v>87.499999999999702</v>
      </c>
      <c r="O29" s="9" t="s">
        <v>107</v>
      </c>
      <c r="P29" s="12"/>
      <c r="Q29" s="5">
        <v>45469</v>
      </c>
    </row>
    <row r="30" spans="1:18" ht="30" x14ac:dyDescent="0.35">
      <c r="A30" s="4">
        <v>9</v>
      </c>
      <c r="B30" s="7" t="s">
        <v>101</v>
      </c>
      <c r="C30" s="4">
        <v>2.0099999999999998</v>
      </c>
      <c r="D30" s="4">
        <v>1</v>
      </c>
      <c r="E30" s="4">
        <v>69.88</v>
      </c>
      <c r="F30" s="4">
        <v>70.34</v>
      </c>
      <c r="G30" s="4">
        <f t="shared" si="0"/>
        <v>0.46000000000000796</v>
      </c>
      <c r="H30" s="4" t="s">
        <v>17</v>
      </c>
      <c r="I30" s="4">
        <v>68.39</v>
      </c>
      <c r="J30" s="4">
        <v>69.94</v>
      </c>
      <c r="K30" s="4">
        <f t="shared" si="1"/>
        <v>1.5499999999999972</v>
      </c>
      <c r="L30" s="8">
        <f t="shared" si="2"/>
        <v>74.811772758384294</v>
      </c>
      <c r="M30" s="1">
        <f t="shared" si="3"/>
        <v>0.18374999999999475</v>
      </c>
      <c r="N30" s="8">
        <f t="shared" si="4"/>
        <v>90.858208955224143</v>
      </c>
      <c r="O30" s="9" t="s">
        <v>107</v>
      </c>
      <c r="Q30" s="5">
        <v>45469</v>
      </c>
    </row>
    <row r="31" spans="1:18" ht="30" x14ac:dyDescent="0.35">
      <c r="A31" s="4">
        <v>10</v>
      </c>
      <c r="B31" s="7" t="s">
        <v>104</v>
      </c>
      <c r="C31" s="4">
        <v>2.04</v>
      </c>
      <c r="D31" s="4">
        <v>2</v>
      </c>
      <c r="E31" s="4">
        <v>69.010000000000005</v>
      </c>
      <c r="F31" s="4">
        <v>69.650000000000006</v>
      </c>
      <c r="G31" s="4">
        <f t="shared" si="0"/>
        <v>0.64000000000000057</v>
      </c>
      <c r="H31" s="4" t="s">
        <v>19</v>
      </c>
      <c r="I31" s="4">
        <v>70.010000000000005</v>
      </c>
      <c r="J31" s="4">
        <v>71.36</v>
      </c>
      <c r="K31" s="4">
        <f t="shared" si="1"/>
        <v>1.3499999999999943</v>
      </c>
      <c r="L31" s="8">
        <f t="shared" si="2"/>
        <v>64.567474048442776</v>
      </c>
      <c r="M31" s="1">
        <f t="shared" si="3"/>
        <v>0.23375000000000523</v>
      </c>
      <c r="N31" s="8">
        <f t="shared" si="4"/>
        <v>88.541666666666401</v>
      </c>
      <c r="O31" s="9" t="s">
        <v>107</v>
      </c>
      <c r="Q31" s="5">
        <v>45469</v>
      </c>
    </row>
    <row r="32" spans="1:18" ht="30" x14ac:dyDescent="0.35">
      <c r="A32" s="4">
        <v>11</v>
      </c>
      <c r="B32" s="7" t="s">
        <v>91</v>
      </c>
      <c r="C32" s="4">
        <v>2.02</v>
      </c>
      <c r="D32" s="4">
        <v>3</v>
      </c>
      <c r="E32" s="4">
        <v>69.09</v>
      </c>
      <c r="F32" s="4">
        <v>69.2</v>
      </c>
      <c r="G32" s="4">
        <f t="shared" si="0"/>
        <v>0.10999999999999943</v>
      </c>
      <c r="H32" s="4" t="s">
        <v>21</v>
      </c>
      <c r="I32" s="4">
        <v>69.84</v>
      </c>
      <c r="J32" s="4">
        <v>71.61</v>
      </c>
      <c r="K32" s="4">
        <f t="shared" si="1"/>
        <v>1.769999999999996</v>
      </c>
      <c r="L32" s="8">
        <f t="shared" si="2"/>
        <v>93.515106853353004</v>
      </c>
      <c r="M32" s="1">
        <f t="shared" si="3"/>
        <v>0.32375000000000465</v>
      </c>
      <c r="N32" s="8">
        <f t="shared" si="4"/>
        <v>83.972772277227492</v>
      </c>
      <c r="O32" s="9" t="s">
        <v>107</v>
      </c>
      <c r="Q32" s="5">
        <v>45469</v>
      </c>
    </row>
    <row r="33" spans="1:17" ht="30" x14ac:dyDescent="0.35">
      <c r="A33" s="4">
        <v>12</v>
      </c>
      <c r="B33" s="7" t="s">
        <v>103</v>
      </c>
      <c r="C33" s="4">
        <v>2.02</v>
      </c>
      <c r="D33" s="4">
        <v>4</v>
      </c>
      <c r="E33" s="4">
        <v>69.67</v>
      </c>
      <c r="F33" s="4">
        <v>70.430000000000007</v>
      </c>
      <c r="G33" s="4">
        <f t="shared" si="0"/>
        <v>0.76000000000000512</v>
      </c>
      <c r="H33" s="4" t="s">
        <v>23</v>
      </c>
      <c r="I33" s="4">
        <v>68.66</v>
      </c>
      <c r="J33" s="4">
        <v>69.89</v>
      </c>
      <c r="K33" s="4">
        <f t="shared" si="1"/>
        <v>1.230000000000004</v>
      </c>
      <c r="L33" s="8">
        <f t="shared" si="2"/>
        <v>57.923875432525875</v>
      </c>
      <c r="M33" s="1">
        <f t="shared" si="3"/>
        <v>0.213749999999991</v>
      </c>
      <c r="N33" s="8">
        <f t="shared" si="4"/>
        <v>89.418316831683612</v>
      </c>
      <c r="O33" s="9" t="s">
        <v>107</v>
      </c>
      <c r="Q33" s="5">
        <v>45469</v>
      </c>
    </row>
    <row r="34" spans="1:17" ht="30" x14ac:dyDescent="0.35">
      <c r="A34" s="4">
        <v>13</v>
      </c>
      <c r="B34" s="7" t="s">
        <v>95</v>
      </c>
      <c r="C34" s="4">
        <v>2.0099999999999998</v>
      </c>
      <c r="D34" s="4">
        <v>5</v>
      </c>
      <c r="E34" s="4">
        <v>70.34</v>
      </c>
      <c r="F34" s="4">
        <v>71.349999999999994</v>
      </c>
      <c r="G34" s="4">
        <f t="shared" ref="G34:G65" si="5">F34-E34</f>
        <v>1.0099999999999909</v>
      </c>
      <c r="H34" s="4" t="s">
        <v>25</v>
      </c>
      <c r="I34" s="4">
        <v>68.63</v>
      </c>
      <c r="J34" s="4">
        <v>69.61</v>
      </c>
      <c r="K34" s="4">
        <f t="shared" ref="K34:K65" si="6">J34-I34</f>
        <v>0.98000000000000398</v>
      </c>
      <c r="L34" s="8">
        <f t="shared" ref="L34:L65" si="7">((K34-$P$2)/(K34+G34-$P$2))*100</f>
        <v>44.083044982699313</v>
      </c>
      <c r="M34" s="1">
        <f t="shared" ref="M34:M65" si="8">C34-G34-(K34-$P$2)</f>
        <v>0.20375000000000487</v>
      </c>
      <c r="N34" s="8">
        <f t="shared" ref="N34:N65" si="9">((K34+G34-$P$2)/C34)*100</f>
        <v>89.863184079601737</v>
      </c>
      <c r="O34" s="9" t="s">
        <v>107</v>
      </c>
      <c r="P34" s="3"/>
      <c r="Q34" s="5">
        <v>45469</v>
      </c>
    </row>
    <row r="35" spans="1:17" ht="30" x14ac:dyDescent="0.35">
      <c r="A35" s="4">
        <v>14</v>
      </c>
      <c r="B35" s="7" t="s">
        <v>92</v>
      </c>
      <c r="C35" s="4">
        <v>2</v>
      </c>
      <c r="D35" s="4">
        <v>6</v>
      </c>
      <c r="E35" s="4">
        <v>69.13</v>
      </c>
      <c r="F35" s="4">
        <v>69.33</v>
      </c>
      <c r="G35" s="4">
        <f t="shared" si="5"/>
        <v>0.20000000000000284</v>
      </c>
      <c r="H35" s="4" t="s">
        <v>27</v>
      </c>
      <c r="I35" s="4">
        <v>70.06</v>
      </c>
      <c r="J35" s="4">
        <v>71.81</v>
      </c>
      <c r="K35" s="4">
        <f t="shared" si="6"/>
        <v>1.75</v>
      </c>
      <c r="L35" s="8">
        <f t="shared" si="7"/>
        <v>88.676574663835666</v>
      </c>
      <c r="M35" s="1">
        <f t="shared" si="8"/>
        <v>0.23374999999999724</v>
      </c>
      <c r="N35" s="8">
        <f t="shared" si="9"/>
        <v>88.312500000000142</v>
      </c>
      <c r="O35" s="9" t="s">
        <v>107</v>
      </c>
      <c r="P35" s="3"/>
      <c r="Q35" s="5">
        <v>45469</v>
      </c>
    </row>
    <row r="36" spans="1:17" ht="30" x14ac:dyDescent="0.35">
      <c r="A36" s="4">
        <v>15</v>
      </c>
      <c r="B36" s="7" t="s">
        <v>85</v>
      </c>
      <c r="C36" s="4">
        <v>2</v>
      </c>
      <c r="D36" s="4">
        <v>7</v>
      </c>
      <c r="E36" s="4">
        <v>69.739999999999995</v>
      </c>
      <c r="F36" s="4">
        <v>70.11</v>
      </c>
      <c r="G36" s="4">
        <f t="shared" si="5"/>
        <v>0.37000000000000455</v>
      </c>
      <c r="H36" s="4" t="s">
        <v>29</v>
      </c>
      <c r="I36" s="4">
        <v>69.59</v>
      </c>
      <c r="J36" s="4">
        <v>70.989999999999995</v>
      </c>
      <c r="K36" s="4">
        <f t="shared" si="6"/>
        <v>1.3999999999999915</v>
      </c>
      <c r="L36" s="8">
        <f t="shared" si="7"/>
        <v>76.674546887312502</v>
      </c>
      <c r="M36" s="1">
        <f t="shared" si="8"/>
        <v>0.41375000000000406</v>
      </c>
      <c r="N36" s="8">
        <f t="shared" si="9"/>
        <v>79.312499999999801</v>
      </c>
      <c r="O36" s="9" t="s">
        <v>107</v>
      </c>
      <c r="P36" s="3"/>
      <c r="Q36" s="5">
        <v>45469</v>
      </c>
    </row>
    <row r="37" spans="1:17" ht="30" x14ac:dyDescent="0.35">
      <c r="A37" s="4">
        <v>16</v>
      </c>
      <c r="B37" s="7" t="s">
        <v>100</v>
      </c>
      <c r="C37" s="4">
        <v>1.98</v>
      </c>
      <c r="D37" s="4">
        <v>8</v>
      </c>
      <c r="E37" s="4">
        <v>68.8</v>
      </c>
      <c r="F37" s="4">
        <v>69.05</v>
      </c>
      <c r="G37" s="4">
        <f t="shared" si="5"/>
        <v>0.25</v>
      </c>
      <c r="H37" s="4" t="s">
        <v>31</v>
      </c>
      <c r="I37" s="4">
        <v>70.31</v>
      </c>
      <c r="J37" s="4">
        <v>72.06</v>
      </c>
      <c r="K37" s="4">
        <f t="shared" si="6"/>
        <v>1.75</v>
      </c>
      <c r="L37" s="8">
        <f t="shared" si="7"/>
        <v>86.23537508602891</v>
      </c>
      <c r="M37" s="1">
        <f t="shared" si="8"/>
        <v>0.16375000000000006</v>
      </c>
      <c r="N37" s="8">
        <f t="shared" si="9"/>
        <v>91.729797979797979</v>
      </c>
      <c r="O37" s="9" t="s">
        <v>107</v>
      </c>
      <c r="P37" s="3"/>
      <c r="Q37" s="5">
        <v>45469</v>
      </c>
    </row>
    <row r="38" spans="1:17" ht="30" x14ac:dyDescent="0.25">
      <c r="A38" s="1">
        <v>5.3</v>
      </c>
      <c r="B38" s="1" t="s">
        <v>44</v>
      </c>
      <c r="C38" s="1">
        <v>2</v>
      </c>
      <c r="D38" s="1">
        <v>5</v>
      </c>
      <c r="E38" s="1">
        <v>68.930000000000007</v>
      </c>
      <c r="F38" s="1">
        <v>69.06</v>
      </c>
      <c r="G38" s="1">
        <f t="shared" si="5"/>
        <v>0.12999999999999545</v>
      </c>
      <c r="H38" s="1" t="s">
        <v>25</v>
      </c>
      <c r="I38" s="1">
        <v>70.099999999999994</v>
      </c>
      <c r="J38" s="1">
        <v>71.97</v>
      </c>
      <c r="K38" s="1">
        <f t="shared" si="6"/>
        <v>1.8700000000000045</v>
      </c>
      <c r="L38" s="1">
        <f t="shared" si="7"/>
        <v>92.842395044735284</v>
      </c>
      <c r="M38" s="1">
        <f t="shared" si="8"/>
        <v>0.18375000000000008</v>
      </c>
      <c r="N38" s="1">
        <f t="shared" si="9"/>
        <v>90.8125</v>
      </c>
      <c r="O38" s="4" t="s">
        <v>45</v>
      </c>
      <c r="P38" s="6"/>
      <c r="Q38" s="5">
        <v>45474</v>
      </c>
    </row>
    <row r="39" spans="1:17" ht="30" x14ac:dyDescent="0.25">
      <c r="A39" s="1">
        <v>6.3</v>
      </c>
      <c r="B39" s="1" t="s">
        <v>46</v>
      </c>
      <c r="C39" s="1">
        <v>1.97</v>
      </c>
      <c r="D39" s="1">
        <v>6</v>
      </c>
      <c r="E39" s="1">
        <v>70.010000000000005</v>
      </c>
      <c r="F39" s="1">
        <v>70.23</v>
      </c>
      <c r="G39" s="1">
        <f t="shared" si="5"/>
        <v>0.21999999999999886</v>
      </c>
      <c r="H39" s="1" t="s">
        <v>27</v>
      </c>
      <c r="I39" s="1">
        <v>69.38</v>
      </c>
      <c r="J39" s="1">
        <v>71.180000000000007</v>
      </c>
      <c r="K39" s="1">
        <f t="shared" si="6"/>
        <v>1.8000000000000114</v>
      </c>
      <c r="L39" s="1">
        <f t="shared" si="7"/>
        <v>88.019060585432399</v>
      </c>
      <c r="M39" s="1">
        <f t="shared" si="8"/>
        <v>0.13374999999998982</v>
      </c>
      <c r="N39" s="1">
        <f t="shared" si="9"/>
        <v>93.210659898477672</v>
      </c>
      <c r="O39" s="4" t="s">
        <v>45</v>
      </c>
      <c r="P39" s="6"/>
      <c r="Q39" s="5">
        <v>45474</v>
      </c>
    </row>
    <row r="40" spans="1:17" ht="30" x14ac:dyDescent="0.25">
      <c r="A40" s="1">
        <v>7.3</v>
      </c>
      <c r="B40" s="1" t="s">
        <v>47</v>
      </c>
      <c r="C40" s="1">
        <v>1.96</v>
      </c>
      <c r="D40" s="1">
        <v>7</v>
      </c>
      <c r="E40" s="1">
        <v>69.739999999999995</v>
      </c>
      <c r="F40" s="1">
        <v>69.92</v>
      </c>
      <c r="G40" s="1">
        <f t="shared" si="5"/>
        <v>0.18000000000000682</v>
      </c>
      <c r="H40" s="1" t="s">
        <v>29</v>
      </c>
      <c r="I40" s="1">
        <v>69.73</v>
      </c>
      <c r="J40" s="1">
        <v>71.56</v>
      </c>
      <c r="K40" s="1">
        <f t="shared" si="6"/>
        <v>1.8299999999999983</v>
      </c>
      <c r="L40" s="1">
        <f t="shared" si="7"/>
        <v>90.143737166324087</v>
      </c>
      <c r="M40" s="1">
        <f t="shared" si="8"/>
        <v>0.13374999999999493</v>
      </c>
      <c r="N40" s="1">
        <f t="shared" si="9"/>
        <v>93.176020408163524</v>
      </c>
      <c r="O40" s="4" t="s">
        <v>45</v>
      </c>
      <c r="P40" s="6"/>
      <c r="Q40" s="5">
        <v>45474</v>
      </c>
    </row>
    <row r="41" spans="1:17" ht="30" x14ac:dyDescent="0.25">
      <c r="A41" s="1">
        <v>8.3000000000000007</v>
      </c>
      <c r="B41" s="1" t="s">
        <v>48</v>
      </c>
      <c r="C41" s="1">
        <v>1.99</v>
      </c>
      <c r="D41" s="1">
        <v>8</v>
      </c>
      <c r="E41" s="1">
        <v>69.91</v>
      </c>
      <c r="F41" s="1">
        <v>70.03</v>
      </c>
      <c r="G41" s="1">
        <f t="shared" si="5"/>
        <v>0.12000000000000455</v>
      </c>
      <c r="H41" s="1" t="s">
        <v>31</v>
      </c>
      <c r="I41" s="1">
        <v>70.099999999999994</v>
      </c>
      <c r="J41" s="1">
        <v>72.02</v>
      </c>
      <c r="K41" s="1">
        <f t="shared" si="6"/>
        <v>1.9200000000000017</v>
      </c>
      <c r="L41" s="1">
        <f t="shared" si="7"/>
        <v>93.535353535353323</v>
      </c>
      <c r="M41" s="1">
        <f t="shared" si="8"/>
        <v>0.13374999999999382</v>
      </c>
      <c r="N41" s="1">
        <f t="shared" si="9"/>
        <v>93.278894472362111</v>
      </c>
      <c r="O41" s="4" t="s">
        <v>45</v>
      </c>
      <c r="P41" s="6"/>
      <c r="Q41" s="5">
        <v>45474</v>
      </c>
    </row>
    <row r="42" spans="1:17" ht="30" x14ac:dyDescent="0.25">
      <c r="A42" s="1">
        <v>1.1000000000000001</v>
      </c>
      <c r="B42" s="1" t="s">
        <v>49</v>
      </c>
      <c r="C42" s="1">
        <v>1.97</v>
      </c>
      <c r="D42" s="1">
        <v>1</v>
      </c>
      <c r="E42" s="1">
        <v>68.099999999999994</v>
      </c>
      <c r="F42" s="1">
        <v>68.31</v>
      </c>
      <c r="G42" s="1">
        <f t="shared" si="5"/>
        <v>0.21000000000000796</v>
      </c>
      <c r="H42" s="1" t="s">
        <v>17</v>
      </c>
      <c r="I42" s="1">
        <v>70.06</v>
      </c>
      <c r="J42" s="1">
        <v>71.89</v>
      </c>
      <c r="K42" s="1">
        <f t="shared" si="6"/>
        <v>1.8299999999999983</v>
      </c>
      <c r="L42" s="1">
        <f t="shared" si="7"/>
        <v>88.686868686868294</v>
      </c>
      <c r="M42" s="1">
        <f t="shared" si="8"/>
        <v>0.1137499999999938</v>
      </c>
      <c r="N42" s="1">
        <f t="shared" si="9"/>
        <v>94.225888324873409</v>
      </c>
      <c r="O42" s="4" t="s">
        <v>45</v>
      </c>
      <c r="P42" s="3"/>
      <c r="Q42" s="5">
        <v>45476</v>
      </c>
    </row>
    <row r="43" spans="1:17" ht="30" x14ac:dyDescent="0.25">
      <c r="A43" s="1">
        <v>2.1</v>
      </c>
      <c r="B43" s="1" t="s">
        <v>50</v>
      </c>
      <c r="C43" s="1">
        <v>2.0099999999999998</v>
      </c>
      <c r="D43" s="1">
        <v>2</v>
      </c>
      <c r="E43" s="1">
        <v>73.930000000000007</v>
      </c>
      <c r="F43" s="1">
        <v>74.91</v>
      </c>
      <c r="G43" s="1">
        <f t="shared" si="5"/>
        <v>0.97999999999998977</v>
      </c>
      <c r="H43" s="1" t="s">
        <v>19</v>
      </c>
      <c r="I43" s="1">
        <v>69.569999999999993</v>
      </c>
      <c r="J43" s="1">
        <v>70.709999999999994</v>
      </c>
      <c r="K43" s="1">
        <f t="shared" si="6"/>
        <v>1.1400000000000006</v>
      </c>
      <c r="L43" s="1">
        <f t="shared" si="7"/>
        <v>49.386701097482529</v>
      </c>
      <c r="M43" s="1">
        <f t="shared" si="8"/>
        <v>7.3750000000009419E-2</v>
      </c>
      <c r="N43" s="1">
        <f t="shared" si="9"/>
        <v>96.3308457711438</v>
      </c>
      <c r="O43" s="4" t="s">
        <v>45</v>
      </c>
      <c r="P43" s="3"/>
      <c r="Q43" s="5">
        <v>45476</v>
      </c>
    </row>
    <row r="44" spans="1:17" ht="30" x14ac:dyDescent="0.25">
      <c r="A44" s="1">
        <v>3.1</v>
      </c>
      <c r="B44" s="1" t="s">
        <v>51</v>
      </c>
      <c r="C44" s="1">
        <v>2.02</v>
      </c>
      <c r="D44" s="1">
        <v>3</v>
      </c>
      <c r="E44" s="1">
        <v>69.28</v>
      </c>
      <c r="F44" s="1">
        <v>69.459999999999994</v>
      </c>
      <c r="G44" s="1">
        <f t="shared" si="5"/>
        <v>0.17999999999999261</v>
      </c>
      <c r="H44" s="1" t="s">
        <v>21</v>
      </c>
      <c r="I44" s="1">
        <v>70.12</v>
      </c>
      <c r="J44" s="1">
        <v>72.03</v>
      </c>
      <c r="K44" s="1">
        <f t="shared" si="6"/>
        <v>1.9099999999999966</v>
      </c>
      <c r="L44" s="1">
        <f t="shared" si="7"/>
        <v>90.557377049180658</v>
      </c>
      <c r="M44" s="1">
        <f t="shared" si="8"/>
        <v>0.1137500000000109</v>
      </c>
      <c r="N44" s="1">
        <f t="shared" si="9"/>
        <v>94.368811881187582</v>
      </c>
      <c r="O44" s="4" t="s">
        <v>45</v>
      </c>
      <c r="P44" s="3"/>
      <c r="Q44" s="5">
        <v>45476</v>
      </c>
    </row>
    <row r="45" spans="1:17" ht="30" x14ac:dyDescent="0.25">
      <c r="A45" s="1">
        <v>4.0999999999999996</v>
      </c>
      <c r="B45" s="1" t="s">
        <v>52</v>
      </c>
      <c r="C45" s="1">
        <v>1.98</v>
      </c>
      <c r="D45" s="1">
        <v>4</v>
      </c>
      <c r="E45" s="1">
        <v>70.12</v>
      </c>
      <c r="F45" s="1">
        <v>70.47</v>
      </c>
      <c r="G45" s="1">
        <f t="shared" si="5"/>
        <v>0.34999999999999432</v>
      </c>
      <c r="H45" s="1" t="s">
        <v>23</v>
      </c>
      <c r="I45" s="1">
        <v>68.62</v>
      </c>
      <c r="J45" s="1">
        <v>70.25</v>
      </c>
      <c r="K45" s="1">
        <f t="shared" si="6"/>
        <v>1.6299999999999955</v>
      </c>
      <c r="L45" s="1">
        <f t="shared" si="7"/>
        <v>80.514961725817884</v>
      </c>
      <c r="M45" s="1">
        <f t="shared" si="8"/>
        <v>0.18375000000001029</v>
      </c>
      <c r="N45" s="1">
        <f t="shared" si="9"/>
        <v>90.719696969696457</v>
      </c>
      <c r="O45" s="4" t="s">
        <v>45</v>
      </c>
      <c r="P45" s="3"/>
      <c r="Q45" s="5">
        <v>45476</v>
      </c>
    </row>
    <row r="46" spans="1:17" ht="30" x14ac:dyDescent="0.25">
      <c r="A46" s="1">
        <v>5.0999999999999996</v>
      </c>
      <c r="B46" s="1" t="s">
        <v>53</v>
      </c>
      <c r="C46" s="1">
        <v>1.97</v>
      </c>
      <c r="D46" s="1">
        <v>5</v>
      </c>
      <c r="E46" s="1">
        <v>41.18</v>
      </c>
      <c r="F46" s="1">
        <v>41.46</v>
      </c>
      <c r="G46" s="1">
        <f t="shared" si="5"/>
        <v>0.28000000000000114</v>
      </c>
      <c r="H46" s="1" t="s">
        <v>25</v>
      </c>
      <c r="I46" s="1">
        <v>73.349999999999994</v>
      </c>
      <c r="J46" s="1">
        <v>75.12</v>
      </c>
      <c r="K46" s="1">
        <f t="shared" si="6"/>
        <v>1.7700000000000102</v>
      </c>
      <c r="L46" s="1">
        <f t="shared" si="7"/>
        <v>84.9966510381782</v>
      </c>
      <c r="M46" s="1">
        <f t="shared" si="8"/>
        <v>0.10374999999998868</v>
      </c>
      <c r="N46" s="1">
        <f t="shared" si="9"/>
        <v>94.733502538071647</v>
      </c>
      <c r="O46" s="4" t="s">
        <v>45</v>
      </c>
      <c r="P46" s="3"/>
      <c r="Q46" s="5">
        <v>45476</v>
      </c>
    </row>
    <row r="47" spans="1:17" ht="30" x14ac:dyDescent="0.25">
      <c r="A47" s="1">
        <v>6.1</v>
      </c>
      <c r="B47" s="1" t="s">
        <v>54</v>
      </c>
      <c r="C47" s="1">
        <v>1.99</v>
      </c>
      <c r="D47" s="1">
        <v>6</v>
      </c>
      <c r="E47" s="1">
        <v>40.659999999999997</v>
      </c>
      <c r="F47" s="1">
        <v>41.38</v>
      </c>
      <c r="G47" s="1">
        <f t="shared" si="5"/>
        <v>0.72000000000000597</v>
      </c>
      <c r="H47" s="1" t="s">
        <v>27</v>
      </c>
      <c r="I47" s="1">
        <v>69.53</v>
      </c>
      <c r="J47" s="1">
        <v>70.88</v>
      </c>
      <c r="K47" s="1">
        <f t="shared" si="6"/>
        <v>1.3499999999999943</v>
      </c>
      <c r="L47" s="1">
        <f t="shared" si="7"/>
        <v>61.829025844930108</v>
      </c>
      <c r="M47" s="1">
        <f t="shared" si="8"/>
        <v>0.10374999999999979</v>
      </c>
      <c r="N47" s="1">
        <f t="shared" si="9"/>
        <v>94.78643216080404</v>
      </c>
      <c r="O47" s="4" t="s">
        <v>45</v>
      </c>
      <c r="P47" s="3"/>
      <c r="Q47" s="5">
        <v>45476</v>
      </c>
    </row>
    <row r="48" spans="1:17" ht="30" x14ac:dyDescent="0.25">
      <c r="A48" s="1">
        <v>7.1</v>
      </c>
      <c r="B48" s="1" t="s">
        <v>55</v>
      </c>
      <c r="C48" s="1">
        <v>2</v>
      </c>
      <c r="D48" s="1">
        <v>7</v>
      </c>
      <c r="E48" s="1">
        <v>69.03</v>
      </c>
      <c r="F48" s="1">
        <v>69.27</v>
      </c>
      <c r="G48" s="1">
        <f t="shared" si="5"/>
        <v>0.23999999999999488</v>
      </c>
      <c r="H48" s="1" t="s">
        <v>29</v>
      </c>
      <c r="I48" s="1">
        <v>70.040000000000006</v>
      </c>
      <c r="J48" s="1">
        <v>71.8</v>
      </c>
      <c r="K48" s="1">
        <f t="shared" si="6"/>
        <v>1.7599999999999909</v>
      </c>
      <c r="L48" s="1">
        <f t="shared" si="7"/>
        <v>86.785960082587934</v>
      </c>
      <c r="M48" s="1">
        <f t="shared" si="8"/>
        <v>0.18375000000001429</v>
      </c>
      <c r="N48" s="1">
        <f t="shared" si="9"/>
        <v>90.812499999999289</v>
      </c>
      <c r="O48" s="4" t="s">
        <v>45</v>
      </c>
      <c r="P48" s="3"/>
      <c r="Q48" s="5">
        <v>45476</v>
      </c>
    </row>
    <row r="49" spans="1:17" ht="30" x14ac:dyDescent="0.25">
      <c r="A49" s="1">
        <v>8.1</v>
      </c>
      <c r="B49" s="1" t="s">
        <v>56</v>
      </c>
      <c r="C49" s="1">
        <v>1.98</v>
      </c>
      <c r="D49" s="1">
        <v>8</v>
      </c>
      <c r="E49" s="1">
        <v>68.760000000000005</v>
      </c>
      <c r="F49" s="1">
        <v>69.400000000000006</v>
      </c>
      <c r="G49" s="1">
        <f t="shared" si="5"/>
        <v>0.64000000000000057</v>
      </c>
      <c r="H49" s="1" t="s">
        <v>31</v>
      </c>
      <c r="I49" s="1">
        <v>68.61</v>
      </c>
      <c r="J49" s="1">
        <v>70.05</v>
      </c>
      <c r="K49" s="1">
        <f t="shared" si="6"/>
        <v>1.4399999999999977</v>
      </c>
      <c r="L49" s="1">
        <f t="shared" si="7"/>
        <v>66.249176005273497</v>
      </c>
      <c r="M49" s="1">
        <f t="shared" si="8"/>
        <v>8.3750000000001767E-2</v>
      </c>
      <c r="N49" s="1">
        <f t="shared" si="9"/>
        <v>95.770202020201936</v>
      </c>
      <c r="O49" s="4" t="s">
        <v>45</v>
      </c>
      <c r="P49" s="3"/>
      <c r="Q49" s="5">
        <v>45476</v>
      </c>
    </row>
    <row r="50" spans="1:17" ht="30" x14ac:dyDescent="0.25">
      <c r="A50" s="1">
        <v>1.2</v>
      </c>
      <c r="B50" s="1" t="s">
        <v>57</v>
      </c>
      <c r="C50" s="1">
        <v>2.0099999999999998</v>
      </c>
      <c r="D50" s="1">
        <v>1</v>
      </c>
      <c r="E50" s="1">
        <v>70.87</v>
      </c>
      <c r="F50" s="1">
        <v>71.58</v>
      </c>
      <c r="G50" s="1">
        <f t="shared" si="5"/>
        <v>0.70999999999999375</v>
      </c>
      <c r="H50" s="1" t="s">
        <v>17</v>
      </c>
      <c r="I50" s="1">
        <v>68.02</v>
      </c>
      <c r="J50" s="1">
        <v>69.400000000000006</v>
      </c>
      <c r="K50" s="1">
        <f t="shared" si="6"/>
        <v>1.3800000000000097</v>
      </c>
      <c r="L50" s="1">
        <f t="shared" si="7"/>
        <v>62.75409836065613</v>
      </c>
      <c r="M50" s="1">
        <f t="shared" si="8"/>
        <v>0.10374999999999646</v>
      </c>
      <c r="N50" s="1">
        <f t="shared" si="9"/>
        <v>94.838308457711619</v>
      </c>
      <c r="O50" s="4" t="s">
        <v>45</v>
      </c>
      <c r="P50" s="3"/>
      <c r="Q50" s="5">
        <v>45476</v>
      </c>
    </row>
    <row r="51" spans="1:17" ht="30" x14ac:dyDescent="0.25">
      <c r="A51" s="1">
        <v>2.2000000000000002</v>
      </c>
      <c r="B51" s="1" t="s">
        <v>58</v>
      </c>
      <c r="C51" s="1">
        <v>1.97</v>
      </c>
      <c r="D51" s="1">
        <v>2</v>
      </c>
      <c r="E51" s="1">
        <v>69.64</v>
      </c>
      <c r="F51" s="1">
        <v>70.150000000000006</v>
      </c>
      <c r="G51" s="1">
        <f t="shared" si="5"/>
        <v>0.51000000000000512</v>
      </c>
      <c r="H51" s="1" t="s">
        <v>19</v>
      </c>
      <c r="I51" s="1">
        <v>71.22</v>
      </c>
      <c r="J51" s="1">
        <v>72.709999999999994</v>
      </c>
      <c r="K51" s="1">
        <f t="shared" si="6"/>
        <v>1.4899999999999949</v>
      </c>
      <c r="L51" s="1">
        <f t="shared" si="7"/>
        <v>71.920165175498681</v>
      </c>
      <c r="M51" s="1">
        <f t="shared" si="8"/>
        <v>0.15375000000000005</v>
      </c>
      <c r="N51" s="1">
        <f t="shared" si="9"/>
        <v>92.195431472081211</v>
      </c>
      <c r="O51" s="4" t="s">
        <v>45</v>
      </c>
      <c r="P51" s="3"/>
      <c r="Q51" s="5">
        <v>45476</v>
      </c>
    </row>
    <row r="52" spans="1:17" ht="30" x14ac:dyDescent="0.25">
      <c r="A52" s="1">
        <v>3.2</v>
      </c>
      <c r="B52" s="1" t="s">
        <v>59</v>
      </c>
      <c r="C52" s="1">
        <v>1.97</v>
      </c>
      <c r="D52" s="1">
        <v>3</v>
      </c>
      <c r="E52" s="1">
        <v>70.900000000000006</v>
      </c>
      <c r="F52" s="1">
        <v>71.040000000000006</v>
      </c>
      <c r="G52" s="1">
        <f t="shared" si="5"/>
        <v>0.14000000000000057</v>
      </c>
      <c r="H52" s="1" t="s">
        <v>21</v>
      </c>
      <c r="I52" s="1">
        <v>69.98</v>
      </c>
      <c r="J52" s="1">
        <v>71.81</v>
      </c>
      <c r="K52" s="1">
        <f t="shared" si="6"/>
        <v>1.8299999999999983</v>
      </c>
      <c r="L52" s="1">
        <f t="shared" si="7"/>
        <v>92.162351294611582</v>
      </c>
      <c r="M52" s="1">
        <f t="shared" si="8"/>
        <v>0.18375000000000119</v>
      </c>
      <c r="N52" s="1">
        <f t="shared" si="9"/>
        <v>90.67258883248725</v>
      </c>
      <c r="O52" s="4" t="s">
        <v>45</v>
      </c>
      <c r="P52" s="3"/>
      <c r="Q52" s="5">
        <v>45476</v>
      </c>
    </row>
    <row r="53" spans="1:17" ht="30" x14ac:dyDescent="0.25">
      <c r="A53" s="1">
        <v>4.2</v>
      </c>
      <c r="B53" s="1" t="s">
        <v>60</v>
      </c>
      <c r="C53" s="1">
        <v>2.02</v>
      </c>
      <c r="D53" s="1">
        <v>4</v>
      </c>
      <c r="E53" s="1">
        <v>67.94</v>
      </c>
      <c r="F53" s="1">
        <v>68.28</v>
      </c>
      <c r="G53" s="1">
        <f t="shared" si="5"/>
        <v>0.34000000000000341</v>
      </c>
      <c r="H53" s="1" t="s">
        <v>23</v>
      </c>
      <c r="I53" s="1">
        <v>68.069999999999993</v>
      </c>
      <c r="J53" s="1">
        <v>69.78</v>
      </c>
      <c r="K53" s="1">
        <f t="shared" si="6"/>
        <v>1.710000000000008</v>
      </c>
      <c r="L53" s="1">
        <f t="shared" si="7"/>
        <v>81.781647689216271</v>
      </c>
      <c r="M53" s="1">
        <f t="shared" si="8"/>
        <v>0.15374999999998873</v>
      </c>
      <c r="N53" s="1">
        <f t="shared" si="9"/>
        <v>92.388613861386688</v>
      </c>
      <c r="O53" s="4" t="s">
        <v>45</v>
      </c>
      <c r="P53" s="3"/>
      <c r="Q53" s="5">
        <v>45476</v>
      </c>
    </row>
    <row r="54" spans="1:17" ht="30" x14ac:dyDescent="0.25">
      <c r="A54" s="1">
        <v>5.2</v>
      </c>
      <c r="B54" s="1" t="s">
        <v>61</v>
      </c>
      <c r="C54" s="1">
        <v>1.98</v>
      </c>
      <c r="D54" s="1">
        <v>5</v>
      </c>
      <c r="E54" s="1">
        <v>69.38</v>
      </c>
      <c r="F54" s="1">
        <v>69.63</v>
      </c>
      <c r="G54" s="1">
        <f t="shared" si="5"/>
        <v>0.25</v>
      </c>
      <c r="H54" s="1" t="s">
        <v>25</v>
      </c>
      <c r="I54" s="1">
        <v>69.39</v>
      </c>
      <c r="J54" s="1">
        <v>71.19</v>
      </c>
      <c r="K54" s="1">
        <f t="shared" si="6"/>
        <v>1.7999999999999972</v>
      </c>
      <c r="L54" s="1">
        <f t="shared" si="7"/>
        <v>86.604152712659058</v>
      </c>
      <c r="M54" s="1">
        <f t="shared" si="8"/>
        <v>0.1137500000000029</v>
      </c>
      <c r="N54" s="1">
        <f t="shared" si="9"/>
        <v>94.255050505050349</v>
      </c>
      <c r="O54" s="1" t="s">
        <v>45</v>
      </c>
      <c r="P54" s="3"/>
      <c r="Q54" s="5">
        <v>45476</v>
      </c>
    </row>
    <row r="55" spans="1:17" ht="30" x14ac:dyDescent="0.25">
      <c r="A55" s="1">
        <v>6.2</v>
      </c>
      <c r="B55" s="1" t="s">
        <v>62</v>
      </c>
      <c r="C55" s="1">
        <v>1.97</v>
      </c>
      <c r="D55" s="1">
        <v>6</v>
      </c>
      <c r="E55" s="1">
        <v>68.25</v>
      </c>
      <c r="F55" s="1">
        <v>68.400000000000006</v>
      </c>
      <c r="G55" s="1">
        <f t="shared" si="5"/>
        <v>0.15000000000000568</v>
      </c>
      <c r="H55" s="1" t="s">
        <v>27</v>
      </c>
      <c r="I55" s="1">
        <v>69.77</v>
      </c>
      <c r="J55" s="1">
        <v>71.63</v>
      </c>
      <c r="K55" s="1">
        <f t="shared" si="6"/>
        <v>1.8599999999999994</v>
      </c>
      <c r="L55" s="1">
        <f t="shared" si="7"/>
        <v>91.786447638603406</v>
      </c>
      <c r="M55" s="1">
        <f t="shared" si="8"/>
        <v>0.14374999999999494</v>
      </c>
      <c r="N55" s="1">
        <f t="shared" si="9"/>
        <v>92.703045685279434</v>
      </c>
      <c r="O55" s="1" t="s">
        <v>45</v>
      </c>
      <c r="P55" s="3"/>
      <c r="Q55" s="5">
        <v>45476</v>
      </c>
    </row>
    <row r="56" spans="1:17" ht="30" x14ac:dyDescent="0.25">
      <c r="A56" s="1">
        <v>7.2</v>
      </c>
      <c r="B56" s="1" t="s">
        <v>63</v>
      </c>
      <c r="C56" s="1">
        <v>1.97</v>
      </c>
      <c r="D56" s="1">
        <v>7</v>
      </c>
      <c r="E56" s="1">
        <v>70.8</v>
      </c>
      <c r="F56" s="1">
        <v>70.95</v>
      </c>
      <c r="G56" s="1">
        <f t="shared" si="5"/>
        <v>0.15000000000000568</v>
      </c>
      <c r="H56" s="1" t="s">
        <v>29</v>
      </c>
      <c r="I56" s="1">
        <v>70.510000000000005</v>
      </c>
      <c r="J56" s="1">
        <v>72.39</v>
      </c>
      <c r="K56" s="1">
        <f t="shared" si="6"/>
        <v>1.8799999999999955</v>
      </c>
      <c r="L56" s="1">
        <f t="shared" si="7"/>
        <v>91.875423155043705</v>
      </c>
      <c r="M56" s="1">
        <f t="shared" si="8"/>
        <v>0.12374999999999892</v>
      </c>
      <c r="N56" s="1">
        <f t="shared" si="9"/>
        <v>93.718274111675186</v>
      </c>
      <c r="O56" s="1" t="s">
        <v>45</v>
      </c>
      <c r="P56" s="3"/>
      <c r="Q56" s="5">
        <v>45476</v>
      </c>
    </row>
    <row r="57" spans="1:17" ht="30" x14ac:dyDescent="0.25">
      <c r="A57" s="1">
        <v>8.1999999999999993</v>
      </c>
      <c r="B57" s="1" t="s">
        <v>64</v>
      </c>
      <c r="C57" s="1">
        <v>2</v>
      </c>
      <c r="D57" s="1">
        <v>8</v>
      </c>
      <c r="E57" s="1">
        <v>70.69</v>
      </c>
      <c r="F57" s="1">
        <v>71.209999999999994</v>
      </c>
      <c r="G57" s="1">
        <f t="shared" si="5"/>
        <v>0.51999999999999602</v>
      </c>
      <c r="H57" s="1" t="s">
        <v>31</v>
      </c>
      <c r="I57" s="1">
        <v>68.94</v>
      </c>
      <c r="J57" s="1">
        <v>70.47</v>
      </c>
      <c r="K57" s="1">
        <f t="shared" si="6"/>
        <v>1.5300000000000011</v>
      </c>
      <c r="L57" s="1">
        <f t="shared" si="7"/>
        <v>72.136637642331053</v>
      </c>
      <c r="M57" s="1">
        <f t="shared" si="8"/>
        <v>0.13375000000000292</v>
      </c>
      <c r="N57" s="1">
        <f t="shared" si="9"/>
        <v>93.312499999999858</v>
      </c>
      <c r="O57" s="1" t="s">
        <v>45</v>
      </c>
      <c r="P57" s="3"/>
      <c r="Q57" s="5">
        <v>45476</v>
      </c>
    </row>
    <row r="58" spans="1:17" ht="30" x14ac:dyDescent="0.25">
      <c r="A58" s="1">
        <v>1.1000000000000001</v>
      </c>
      <c r="B58" s="1" t="s">
        <v>65</v>
      </c>
      <c r="C58" s="1">
        <v>2</v>
      </c>
      <c r="D58" s="1">
        <v>1</v>
      </c>
      <c r="E58" s="1">
        <v>70.13</v>
      </c>
      <c r="F58" s="1">
        <v>70.790000000000006</v>
      </c>
      <c r="G58" s="1">
        <f t="shared" si="5"/>
        <v>0.6600000000000108</v>
      </c>
      <c r="H58" s="1" t="s">
        <v>17</v>
      </c>
      <c r="I58" s="1">
        <v>68.25</v>
      </c>
      <c r="J58" s="1">
        <v>69.650000000000006</v>
      </c>
      <c r="K58" s="1">
        <f t="shared" si="6"/>
        <v>1.4000000000000057</v>
      </c>
      <c r="L58" s="1">
        <f t="shared" si="7"/>
        <v>64.823451032644627</v>
      </c>
      <c r="M58" s="1">
        <f t="shared" si="8"/>
        <v>0.1237499999999836</v>
      </c>
      <c r="N58" s="1">
        <f t="shared" si="9"/>
        <v>93.812500000000824</v>
      </c>
      <c r="O58" s="1" t="s">
        <v>45</v>
      </c>
      <c r="Q58" s="5">
        <v>45481</v>
      </c>
    </row>
    <row r="59" spans="1:17" ht="30" x14ac:dyDescent="0.25">
      <c r="A59" s="1">
        <v>2.1</v>
      </c>
      <c r="B59" s="1" t="s">
        <v>66</v>
      </c>
      <c r="C59" s="1">
        <v>1.97</v>
      </c>
      <c r="D59" s="1">
        <v>2</v>
      </c>
      <c r="E59" s="1">
        <v>68.77</v>
      </c>
      <c r="F59" s="1">
        <v>68.88</v>
      </c>
      <c r="G59" s="1">
        <f t="shared" si="5"/>
        <v>0.10999999999999943</v>
      </c>
      <c r="H59" s="1" t="s">
        <v>19</v>
      </c>
      <c r="I59" s="1">
        <v>67.94</v>
      </c>
      <c r="J59" s="1">
        <v>69.83</v>
      </c>
      <c r="K59" s="1">
        <f t="shared" si="6"/>
        <v>1.8900000000000006</v>
      </c>
      <c r="L59" s="1">
        <f t="shared" si="7"/>
        <v>93.94356503785275</v>
      </c>
      <c r="M59" s="1">
        <f t="shared" si="8"/>
        <v>0.15375000000000005</v>
      </c>
      <c r="N59" s="1">
        <f t="shared" si="9"/>
        <v>92.195431472081211</v>
      </c>
      <c r="O59" s="1" t="s">
        <v>45</v>
      </c>
      <c r="Q59" s="5">
        <v>45481</v>
      </c>
    </row>
    <row r="60" spans="1:17" ht="30" x14ac:dyDescent="0.25">
      <c r="A60" s="1">
        <v>3.1</v>
      </c>
      <c r="B60" s="1" t="s">
        <v>67</v>
      </c>
      <c r="C60" s="1">
        <v>1.97</v>
      </c>
      <c r="D60" s="1">
        <v>3</v>
      </c>
      <c r="E60" s="1">
        <v>69.39</v>
      </c>
      <c r="F60" s="1">
        <v>69.69</v>
      </c>
      <c r="G60" s="1">
        <f t="shared" si="5"/>
        <v>0.29999999999999716</v>
      </c>
      <c r="H60" s="1" t="s">
        <v>21</v>
      </c>
      <c r="I60" s="1">
        <v>68.09</v>
      </c>
      <c r="J60" s="1">
        <v>69.78</v>
      </c>
      <c r="K60" s="1">
        <f t="shared" si="6"/>
        <v>1.6899999999999977</v>
      </c>
      <c r="L60" s="1">
        <f t="shared" si="7"/>
        <v>83.391003460207727</v>
      </c>
      <c r="M60" s="1">
        <f t="shared" si="8"/>
        <v>0.16375000000000517</v>
      </c>
      <c r="N60" s="1">
        <f t="shared" si="9"/>
        <v>91.687817258882987</v>
      </c>
      <c r="O60" s="1" t="s">
        <v>45</v>
      </c>
      <c r="Q60" s="5">
        <v>45481</v>
      </c>
    </row>
    <row r="61" spans="1:17" ht="30" x14ac:dyDescent="0.25">
      <c r="A61" s="1">
        <v>4.0999999999999996</v>
      </c>
      <c r="B61" s="1" t="s">
        <v>68</v>
      </c>
      <c r="C61" s="1">
        <v>2.0299999999999998</v>
      </c>
      <c r="D61" s="1">
        <v>4</v>
      </c>
      <c r="E61" s="1">
        <v>69.53</v>
      </c>
      <c r="F61" s="1">
        <v>69.88</v>
      </c>
      <c r="G61" s="1">
        <f t="shared" si="5"/>
        <v>0.34999999999999432</v>
      </c>
      <c r="H61" s="1" t="s">
        <v>23</v>
      </c>
      <c r="I61" s="1">
        <v>68.06</v>
      </c>
      <c r="J61" s="1">
        <v>69.75</v>
      </c>
      <c r="K61" s="1">
        <f t="shared" si="6"/>
        <v>1.6899999999999977</v>
      </c>
      <c r="L61" s="1">
        <f t="shared" si="7"/>
        <v>81.144781144781362</v>
      </c>
      <c r="M61" s="1">
        <f t="shared" si="8"/>
        <v>0.17375000000000784</v>
      </c>
      <c r="N61" s="1">
        <f t="shared" si="9"/>
        <v>91.440886699507004</v>
      </c>
      <c r="O61" s="1" t="s">
        <v>45</v>
      </c>
      <c r="Q61" s="5">
        <v>45481</v>
      </c>
    </row>
    <row r="62" spans="1:17" ht="30" x14ac:dyDescent="0.25">
      <c r="A62" s="1">
        <v>5.0999999999999996</v>
      </c>
      <c r="B62" s="1" t="s">
        <v>69</v>
      </c>
      <c r="C62" s="1">
        <v>2.02</v>
      </c>
      <c r="D62" s="1">
        <v>5</v>
      </c>
      <c r="E62" s="1">
        <v>71.22</v>
      </c>
      <c r="F62" s="1">
        <v>71.77</v>
      </c>
      <c r="G62" s="1">
        <f t="shared" si="5"/>
        <v>0.54999999999999716</v>
      </c>
      <c r="H62" s="1" t="s">
        <v>25</v>
      </c>
      <c r="I62" s="1">
        <v>69.03</v>
      </c>
      <c r="J62" s="1">
        <v>70.56</v>
      </c>
      <c r="K62" s="1">
        <f t="shared" si="6"/>
        <v>1.5300000000000011</v>
      </c>
      <c r="L62" s="1">
        <f t="shared" si="7"/>
        <v>70.995385629532095</v>
      </c>
      <c r="M62" s="1">
        <f t="shared" si="8"/>
        <v>0.1237500000000018</v>
      </c>
      <c r="N62" s="1">
        <f t="shared" si="9"/>
        <v>93.873762376237536</v>
      </c>
      <c r="O62" s="1" t="s">
        <v>45</v>
      </c>
      <c r="Q62" s="5">
        <v>45481</v>
      </c>
    </row>
    <row r="63" spans="1:17" ht="30" x14ac:dyDescent="0.25">
      <c r="A63" s="1">
        <v>6.1</v>
      </c>
      <c r="B63" s="1" t="s">
        <v>70</v>
      </c>
      <c r="C63" s="1">
        <v>1.97</v>
      </c>
      <c r="D63" s="1">
        <v>6</v>
      </c>
      <c r="E63" s="1">
        <v>68.61</v>
      </c>
      <c r="F63" s="1">
        <v>69.08</v>
      </c>
      <c r="G63" s="1">
        <f t="shared" si="5"/>
        <v>0.46999999999999886</v>
      </c>
      <c r="H63" s="1" t="s">
        <v>27</v>
      </c>
      <c r="I63" s="1">
        <v>70.900000000000006</v>
      </c>
      <c r="J63" s="1">
        <v>72.42</v>
      </c>
      <c r="K63" s="1">
        <f t="shared" si="6"/>
        <v>1.519999999999996</v>
      </c>
      <c r="L63" s="1">
        <f t="shared" si="7"/>
        <v>73.979238754325252</v>
      </c>
      <c r="M63" s="1">
        <f t="shared" si="8"/>
        <v>0.16375000000000517</v>
      </c>
      <c r="N63" s="1">
        <f t="shared" si="9"/>
        <v>91.687817258882987</v>
      </c>
      <c r="O63" s="1" t="s">
        <v>45</v>
      </c>
      <c r="Q63" s="5">
        <v>45481</v>
      </c>
    </row>
    <row r="64" spans="1:17" ht="30" x14ac:dyDescent="0.25">
      <c r="A64" s="1">
        <v>7.1</v>
      </c>
      <c r="B64" s="1" t="s">
        <v>71</v>
      </c>
      <c r="C64" s="1">
        <v>2.02</v>
      </c>
      <c r="D64" s="1">
        <v>7</v>
      </c>
      <c r="E64" s="1">
        <v>69.760000000000005</v>
      </c>
      <c r="F64" s="1">
        <v>69.930000000000007</v>
      </c>
      <c r="G64" s="1">
        <f t="shared" si="5"/>
        <v>0.17000000000000171</v>
      </c>
      <c r="H64" s="1" t="s">
        <v>29</v>
      </c>
      <c r="I64" s="1">
        <v>70.069999999999993</v>
      </c>
      <c r="J64" s="1">
        <v>71.989999999999995</v>
      </c>
      <c r="K64" s="1">
        <f t="shared" si="6"/>
        <v>1.9200000000000017</v>
      </c>
      <c r="L64" s="1">
        <f t="shared" si="7"/>
        <v>91.08196721311468</v>
      </c>
      <c r="M64" s="1">
        <f t="shared" si="8"/>
        <v>0.11374999999999669</v>
      </c>
      <c r="N64" s="1">
        <f t="shared" si="9"/>
        <v>94.368811881188293</v>
      </c>
      <c r="O64" s="1" t="s">
        <v>45</v>
      </c>
      <c r="Q64" s="5">
        <v>45481</v>
      </c>
    </row>
    <row r="65" spans="1:17" ht="30" x14ac:dyDescent="0.25">
      <c r="A65" s="1">
        <v>8.1</v>
      </c>
      <c r="B65" s="1" t="s">
        <v>72</v>
      </c>
      <c r="C65" s="1">
        <v>1.99</v>
      </c>
      <c r="D65" s="1">
        <v>8</v>
      </c>
      <c r="E65" s="1">
        <v>68.62</v>
      </c>
      <c r="F65" s="1">
        <v>69.11</v>
      </c>
      <c r="G65" s="1">
        <f t="shared" si="5"/>
        <v>0.48999999999999488</v>
      </c>
      <c r="H65" s="1" t="s">
        <v>31</v>
      </c>
      <c r="I65" s="1">
        <v>70.8</v>
      </c>
      <c r="J65" s="1">
        <v>72.34</v>
      </c>
      <c r="K65" s="1">
        <f t="shared" si="6"/>
        <v>1.5400000000000063</v>
      </c>
      <c r="L65" s="1">
        <f t="shared" si="7"/>
        <v>73.459715639810724</v>
      </c>
      <c r="M65" s="1">
        <f t="shared" si="8"/>
        <v>0.14374999999999893</v>
      </c>
      <c r="N65" s="1">
        <f t="shared" si="9"/>
        <v>92.776381909547794</v>
      </c>
      <c r="O65" s="1" t="s">
        <v>45</v>
      </c>
      <c r="Q65" s="5">
        <v>45481</v>
      </c>
    </row>
    <row r="66" spans="1:17" ht="30" x14ac:dyDescent="0.25">
      <c r="A66" s="1">
        <v>1.2</v>
      </c>
      <c r="B66" s="1" t="s">
        <v>73</v>
      </c>
      <c r="C66" s="1">
        <v>1.98</v>
      </c>
      <c r="D66" s="1">
        <v>1</v>
      </c>
      <c r="E66" s="1">
        <v>70.680000000000007</v>
      </c>
      <c r="F66" s="1">
        <v>71.150000000000006</v>
      </c>
      <c r="G66" s="1">
        <f t="shared" ref="G66:G97" si="10">F66-E66</f>
        <v>0.46999999999999886</v>
      </c>
      <c r="H66" s="1" t="s">
        <v>17</v>
      </c>
      <c r="I66" s="1">
        <v>69.099999999999994</v>
      </c>
      <c r="J66" s="1">
        <v>70.67</v>
      </c>
      <c r="K66" s="1">
        <f t="shared" ref="K66:K97" si="11">J66-I66</f>
        <v>1.5700000000000074</v>
      </c>
      <c r="L66" s="1">
        <f t="shared" ref="L66:L97" si="12">((K66-$P$2)/(K66+G66-$P$2))*100</f>
        <v>74.680134680134827</v>
      </c>
      <c r="M66" s="1">
        <f t="shared" ref="M66:M97" si="13">C66-G66-(K66-$P$2)</f>
        <v>0.12374999999999381</v>
      </c>
      <c r="N66" s="1">
        <f t="shared" ref="N66:N97" si="14">((K66+G66-$P$2)/C66)*100</f>
        <v>93.750000000000313</v>
      </c>
      <c r="O66" s="1" t="s">
        <v>45</v>
      </c>
      <c r="Q66" s="5">
        <v>45481</v>
      </c>
    </row>
    <row r="67" spans="1:17" ht="30" x14ac:dyDescent="0.25">
      <c r="A67" s="1">
        <v>2.2000000000000002</v>
      </c>
      <c r="B67" s="1" t="s">
        <v>74</v>
      </c>
      <c r="C67" s="1">
        <v>1.98</v>
      </c>
      <c r="D67" s="1">
        <v>2</v>
      </c>
      <c r="E67" s="1">
        <v>70.05</v>
      </c>
      <c r="F67" s="1">
        <v>70.3</v>
      </c>
      <c r="G67" s="1">
        <f t="shared" si="10"/>
        <v>0.25</v>
      </c>
      <c r="H67" s="1" t="s">
        <v>19</v>
      </c>
      <c r="I67" s="1">
        <v>70.12</v>
      </c>
      <c r="J67" s="1">
        <v>71.900000000000006</v>
      </c>
      <c r="K67" s="1">
        <f t="shared" si="11"/>
        <v>1.7800000000000011</v>
      </c>
      <c r="L67" s="1">
        <f t="shared" si="12"/>
        <v>86.459038591740025</v>
      </c>
      <c r="M67" s="1">
        <f t="shared" si="13"/>
        <v>0.13374999999999893</v>
      </c>
      <c r="N67" s="1">
        <f t="shared" si="14"/>
        <v>93.244949494949552</v>
      </c>
      <c r="O67" s="1" t="s">
        <v>45</v>
      </c>
      <c r="Q67" s="5">
        <v>45481</v>
      </c>
    </row>
    <row r="68" spans="1:17" ht="30" x14ac:dyDescent="0.25">
      <c r="A68" s="1">
        <v>3.2</v>
      </c>
      <c r="B68" s="1" t="s">
        <v>75</v>
      </c>
      <c r="C68" s="1">
        <v>1.99</v>
      </c>
      <c r="D68" s="1">
        <v>3</v>
      </c>
      <c r="E68" s="1">
        <v>70.510000000000005</v>
      </c>
      <c r="F68" s="1">
        <v>70.680000000000007</v>
      </c>
      <c r="G68" s="1">
        <f t="shared" si="10"/>
        <v>0.17000000000000171</v>
      </c>
      <c r="H68" s="1" t="s">
        <v>21</v>
      </c>
      <c r="I68" s="1">
        <v>69.64</v>
      </c>
      <c r="J68" s="1">
        <v>71.510000000000005</v>
      </c>
      <c r="K68" s="1">
        <f t="shared" si="11"/>
        <v>1.8700000000000045</v>
      </c>
      <c r="L68" s="1">
        <f t="shared" si="12"/>
        <v>90.84175084175078</v>
      </c>
      <c r="M68" s="1">
        <f t="shared" si="13"/>
        <v>0.13374999999999382</v>
      </c>
      <c r="N68" s="1">
        <f t="shared" si="14"/>
        <v>93.278894472362111</v>
      </c>
      <c r="O68" s="1" t="s">
        <v>45</v>
      </c>
      <c r="Q68" s="5">
        <v>45481</v>
      </c>
    </row>
    <row r="69" spans="1:17" ht="30" x14ac:dyDescent="0.25">
      <c r="A69" s="1">
        <v>4.2</v>
      </c>
      <c r="B69" s="1" t="s">
        <v>76</v>
      </c>
      <c r="C69" s="1">
        <v>2</v>
      </c>
      <c r="D69" s="1">
        <v>4</v>
      </c>
      <c r="E69" s="1">
        <v>70.88</v>
      </c>
      <c r="F69" s="1">
        <v>71.38</v>
      </c>
      <c r="G69" s="1">
        <f t="shared" si="10"/>
        <v>0.5</v>
      </c>
      <c r="H69" s="1" t="s">
        <v>23</v>
      </c>
      <c r="I69" s="1">
        <v>70.3</v>
      </c>
      <c r="J69" s="1">
        <v>71.89</v>
      </c>
      <c r="K69" s="1">
        <f t="shared" si="11"/>
        <v>1.5900000000000034</v>
      </c>
      <c r="L69" s="1">
        <f t="shared" si="12"/>
        <v>73.77049180327873</v>
      </c>
      <c r="M69" s="1">
        <f t="shared" si="13"/>
        <v>9.3749999999996669E-2</v>
      </c>
      <c r="N69" s="1">
        <f t="shared" si="14"/>
        <v>95.312500000000171</v>
      </c>
      <c r="O69" s="1" t="s">
        <v>45</v>
      </c>
      <c r="Q69" s="5">
        <v>45481</v>
      </c>
    </row>
    <row r="70" spans="1:17" ht="30" x14ac:dyDescent="0.25">
      <c r="A70" s="1">
        <v>5.2</v>
      </c>
      <c r="B70" s="1" t="s">
        <v>77</v>
      </c>
      <c r="C70" s="1">
        <v>2.0099999999999998</v>
      </c>
      <c r="D70" s="1">
        <v>5</v>
      </c>
      <c r="E70" s="1">
        <v>69.400000000000006</v>
      </c>
      <c r="F70" s="1">
        <v>69.61</v>
      </c>
      <c r="G70" s="1">
        <f t="shared" si="10"/>
        <v>0.20999999999999375</v>
      </c>
      <c r="H70" s="1" t="s">
        <v>25</v>
      </c>
      <c r="I70" s="1">
        <v>68.010000000000005</v>
      </c>
      <c r="J70" s="1">
        <v>69.78</v>
      </c>
      <c r="K70" s="1">
        <f t="shared" si="11"/>
        <v>1.769999999999996</v>
      </c>
      <c r="L70" s="1">
        <f t="shared" si="12"/>
        <v>88.308977035490884</v>
      </c>
      <c r="M70" s="1">
        <f t="shared" si="13"/>
        <v>0.2137500000000101</v>
      </c>
      <c r="N70" s="1">
        <f t="shared" si="14"/>
        <v>89.365671641790541</v>
      </c>
      <c r="O70" s="1" t="s">
        <v>45</v>
      </c>
      <c r="Q70" s="5">
        <v>45481</v>
      </c>
    </row>
    <row r="71" spans="1:17" ht="30" x14ac:dyDescent="0.25">
      <c r="A71" s="1">
        <v>6.2</v>
      </c>
      <c r="B71" s="1" t="s">
        <v>78</v>
      </c>
      <c r="C71" s="1">
        <v>2</v>
      </c>
      <c r="D71" s="1">
        <v>6</v>
      </c>
      <c r="E71" s="1">
        <v>73.36</v>
      </c>
      <c r="F71" s="1">
        <v>74.3</v>
      </c>
      <c r="G71" s="1">
        <f t="shared" si="10"/>
        <v>0.93999999999999773</v>
      </c>
      <c r="H71" s="1" t="s">
        <v>27</v>
      </c>
      <c r="I71" s="1">
        <v>69.569999999999993</v>
      </c>
      <c r="J71" s="1">
        <v>70.73</v>
      </c>
      <c r="K71" s="1">
        <f t="shared" si="11"/>
        <v>1.1600000000000108</v>
      </c>
      <c r="L71" s="1">
        <f t="shared" si="12"/>
        <v>50.945857795173197</v>
      </c>
      <c r="M71" s="1">
        <f t="shared" si="13"/>
        <v>8.3749999999991442E-2</v>
      </c>
      <c r="N71" s="1">
        <f t="shared" si="14"/>
        <v>95.812500000000426</v>
      </c>
      <c r="O71" s="1" t="s">
        <v>45</v>
      </c>
      <c r="Q71" s="5">
        <v>45481</v>
      </c>
    </row>
    <row r="72" spans="1:17" ht="30" x14ac:dyDescent="0.25">
      <c r="A72" s="1">
        <v>7.2</v>
      </c>
      <c r="B72" s="1" t="s">
        <v>79</v>
      </c>
      <c r="C72" s="1">
        <v>1.98</v>
      </c>
      <c r="D72" s="1">
        <v>7</v>
      </c>
      <c r="E72" s="1">
        <v>69.97</v>
      </c>
      <c r="F72" s="1">
        <v>70.56</v>
      </c>
      <c r="G72" s="1">
        <f t="shared" si="10"/>
        <v>0.59000000000000341</v>
      </c>
      <c r="H72" s="1" t="s">
        <v>29</v>
      </c>
      <c r="I72" s="1">
        <v>68.92</v>
      </c>
      <c r="J72" s="1">
        <v>70.39</v>
      </c>
      <c r="K72" s="1">
        <f t="shared" si="11"/>
        <v>1.4699999999999989</v>
      </c>
      <c r="L72" s="1">
        <f t="shared" si="12"/>
        <v>68.554297135243019</v>
      </c>
      <c r="M72" s="1">
        <f t="shared" si="13"/>
        <v>0.10374999999999779</v>
      </c>
      <c r="N72" s="1">
        <f t="shared" si="14"/>
        <v>94.76010101010111</v>
      </c>
      <c r="O72" s="1" t="s">
        <v>45</v>
      </c>
      <c r="Q72" s="5">
        <v>45481</v>
      </c>
    </row>
    <row r="73" spans="1:17" ht="30" x14ac:dyDescent="0.25">
      <c r="A73" s="1">
        <v>8.1999999999999993</v>
      </c>
      <c r="B73" s="1" t="s">
        <v>80</v>
      </c>
      <c r="C73" s="1">
        <v>1.99</v>
      </c>
      <c r="D73" s="1">
        <v>8</v>
      </c>
      <c r="E73" s="1">
        <v>69.28</v>
      </c>
      <c r="F73" s="1">
        <v>69.88</v>
      </c>
      <c r="G73" s="1">
        <f t="shared" si="10"/>
        <v>0.59999999999999432</v>
      </c>
      <c r="H73" s="1" t="s">
        <v>31</v>
      </c>
      <c r="I73" s="1">
        <v>73.930000000000007</v>
      </c>
      <c r="J73" s="1">
        <v>75.400000000000006</v>
      </c>
      <c r="K73" s="1">
        <f t="shared" si="11"/>
        <v>1.4699999999999989</v>
      </c>
      <c r="L73" s="1">
        <f t="shared" si="12"/>
        <v>68.190854870775524</v>
      </c>
      <c r="M73" s="1">
        <f t="shared" si="13"/>
        <v>0.10375000000000689</v>
      </c>
      <c r="N73" s="1">
        <f t="shared" si="14"/>
        <v>94.78643216080367</v>
      </c>
      <c r="O73" s="1" t="s">
        <v>45</v>
      </c>
      <c r="Q73" s="5">
        <v>45481</v>
      </c>
    </row>
    <row r="74" spans="1:17" ht="30" x14ac:dyDescent="0.25">
      <c r="A74" s="1">
        <v>1.3</v>
      </c>
      <c r="B74" s="1" t="s">
        <v>81</v>
      </c>
      <c r="C74" s="1">
        <v>2.04</v>
      </c>
      <c r="D74" s="1">
        <v>1</v>
      </c>
      <c r="E74" s="1">
        <v>70.89</v>
      </c>
      <c r="F74" s="1">
        <v>71.099999999999994</v>
      </c>
      <c r="G74" s="1">
        <f t="shared" si="10"/>
        <v>0.20999999999999375</v>
      </c>
      <c r="H74" s="1" t="s">
        <v>17</v>
      </c>
      <c r="I74" s="1">
        <v>70</v>
      </c>
      <c r="J74" s="1">
        <v>71.88</v>
      </c>
      <c r="K74" s="1">
        <f t="shared" si="11"/>
        <v>1.8799999999999955</v>
      </c>
      <c r="L74" s="1">
        <f t="shared" si="12"/>
        <v>88.983606557377314</v>
      </c>
      <c r="M74" s="1">
        <f t="shared" si="13"/>
        <v>0.13375000000001092</v>
      </c>
      <c r="N74" s="1">
        <f t="shared" si="14"/>
        <v>93.443627450979861</v>
      </c>
      <c r="O74" s="1" t="s">
        <v>45</v>
      </c>
      <c r="Q74" s="5">
        <v>45481</v>
      </c>
    </row>
    <row r="75" spans="1:17" ht="30" x14ac:dyDescent="0.25">
      <c r="A75" s="1">
        <v>2.2999999999999998</v>
      </c>
      <c r="B75" s="1" t="s">
        <v>82</v>
      </c>
      <c r="C75" s="1">
        <v>2</v>
      </c>
      <c r="D75" s="1">
        <v>2</v>
      </c>
      <c r="E75" s="1">
        <v>69.27</v>
      </c>
      <c r="F75" s="1">
        <v>69.489999999999995</v>
      </c>
      <c r="G75" s="1">
        <f t="shared" si="10"/>
        <v>0.21999999999999886</v>
      </c>
      <c r="H75" s="1" t="s">
        <v>19</v>
      </c>
      <c r="I75" s="1">
        <v>69.63</v>
      </c>
      <c r="J75" s="1">
        <v>71.42</v>
      </c>
      <c r="K75" s="1">
        <f t="shared" si="11"/>
        <v>1.7900000000000063</v>
      </c>
      <c r="L75" s="1">
        <f t="shared" si="12"/>
        <v>87.953456536618845</v>
      </c>
      <c r="M75" s="1">
        <f t="shared" si="13"/>
        <v>0.17374999999999496</v>
      </c>
      <c r="N75" s="1">
        <f t="shared" si="14"/>
        <v>91.312500000000256</v>
      </c>
      <c r="O75" s="1" t="s">
        <v>45</v>
      </c>
      <c r="Q75" s="5">
        <v>45481</v>
      </c>
    </row>
    <row r="76" spans="1:17" ht="30" x14ac:dyDescent="0.25">
      <c r="A76" s="1">
        <v>3.3</v>
      </c>
      <c r="B76" s="1" t="s">
        <v>83</v>
      </c>
      <c r="C76" s="1">
        <v>1.99</v>
      </c>
      <c r="D76" s="1">
        <v>3</v>
      </c>
      <c r="E76" s="1">
        <v>68.989999999999995</v>
      </c>
      <c r="F76" s="1">
        <v>69.13</v>
      </c>
      <c r="G76" s="1">
        <f t="shared" si="10"/>
        <v>0.14000000000000057</v>
      </c>
      <c r="H76" s="1" t="s">
        <v>21</v>
      </c>
      <c r="I76" s="1">
        <v>70.63</v>
      </c>
      <c r="J76" s="1">
        <v>72.430000000000007</v>
      </c>
      <c r="K76" s="1">
        <f t="shared" si="11"/>
        <v>1.8000000000000114</v>
      </c>
      <c r="L76" s="1">
        <f t="shared" si="12"/>
        <v>92.028469750889698</v>
      </c>
      <c r="M76" s="1">
        <f t="shared" si="13"/>
        <v>0.23374999999998813</v>
      </c>
      <c r="N76" s="1">
        <f t="shared" si="14"/>
        <v>88.253768844221696</v>
      </c>
      <c r="O76" s="1" t="s">
        <v>45</v>
      </c>
      <c r="Q76" s="5">
        <v>45481</v>
      </c>
    </row>
    <row r="77" spans="1:17" ht="30" x14ac:dyDescent="0.25">
      <c r="A77" s="1">
        <v>4.3</v>
      </c>
      <c r="B77" s="1" t="s">
        <v>84</v>
      </c>
      <c r="C77" s="1">
        <v>1.97</v>
      </c>
      <c r="D77" s="1">
        <v>4</v>
      </c>
      <c r="E77" s="1">
        <v>70.099999999999994</v>
      </c>
      <c r="F77" s="1">
        <v>70.53</v>
      </c>
      <c r="G77" s="1">
        <f t="shared" si="10"/>
        <v>0.43000000000000682</v>
      </c>
      <c r="H77" s="1" t="s">
        <v>23</v>
      </c>
      <c r="I77" s="1">
        <v>71.489999999999995</v>
      </c>
      <c r="J77" s="1">
        <v>73.14</v>
      </c>
      <c r="K77" s="1">
        <f t="shared" si="11"/>
        <v>1.6500000000000057</v>
      </c>
      <c r="L77" s="1">
        <f t="shared" si="12"/>
        <v>77.323665128542956</v>
      </c>
      <c r="M77" s="1">
        <f t="shared" si="13"/>
        <v>7.3749999999987548E-2</v>
      </c>
      <c r="N77" s="1">
        <f t="shared" si="14"/>
        <v>96.256345177665608</v>
      </c>
      <c r="O77" s="1" t="s">
        <v>45</v>
      </c>
      <c r="Q77" s="5">
        <v>45481</v>
      </c>
    </row>
    <row r="78" spans="1:17" ht="30" x14ac:dyDescent="0.25">
      <c r="A78" s="1">
        <v>5.3</v>
      </c>
      <c r="B78" s="1" t="s">
        <v>85</v>
      </c>
      <c r="C78" s="1">
        <v>2.0299999999999998</v>
      </c>
      <c r="D78" s="1">
        <v>5</v>
      </c>
      <c r="E78" s="1">
        <v>71.790000000000006</v>
      </c>
      <c r="F78" s="1">
        <v>72.069999999999993</v>
      </c>
      <c r="G78" s="1">
        <f t="shared" si="10"/>
        <v>0.27999999999998693</v>
      </c>
      <c r="H78" s="1" t="s">
        <v>25</v>
      </c>
      <c r="I78" s="1">
        <v>69.75</v>
      </c>
      <c r="J78" s="1">
        <v>71.37</v>
      </c>
      <c r="K78" s="1">
        <f t="shared" si="11"/>
        <v>1.6200000000000045</v>
      </c>
      <c r="L78" s="1">
        <f t="shared" si="12"/>
        <v>83.685360524399812</v>
      </c>
      <c r="M78" s="1">
        <f t="shared" si="13"/>
        <v>0.31375000000000841</v>
      </c>
      <c r="N78" s="1">
        <f t="shared" si="14"/>
        <v>84.54433497536904</v>
      </c>
      <c r="O78" s="1" t="s">
        <v>45</v>
      </c>
      <c r="Q78" s="5">
        <v>45481</v>
      </c>
    </row>
    <row r="79" spans="1:17" ht="30" x14ac:dyDescent="0.25">
      <c r="A79" s="1">
        <v>6.3</v>
      </c>
      <c r="B79" s="1" t="s">
        <v>86</v>
      </c>
      <c r="C79" s="1">
        <v>1.96</v>
      </c>
      <c r="D79" s="1">
        <v>6</v>
      </c>
      <c r="E79" s="1">
        <v>70.48</v>
      </c>
      <c r="F79" s="1">
        <v>71.16</v>
      </c>
      <c r="G79" s="1">
        <f t="shared" si="10"/>
        <v>0.67999999999999261</v>
      </c>
      <c r="H79" s="1" t="s">
        <v>27</v>
      </c>
      <c r="I79" s="1">
        <v>69.87</v>
      </c>
      <c r="J79" s="1">
        <v>71.239999999999995</v>
      </c>
      <c r="K79" s="1">
        <f t="shared" si="11"/>
        <v>1.3699999999999903</v>
      </c>
      <c r="L79" s="1">
        <f t="shared" si="12"/>
        <v>63.563295378432748</v>
      </c>
      <c r="M79" s="1">
        <f t="shared" si="13"/>
        <v>9.3750000000017097E-2</v>
      </c>
      <c r="N79" s="1">
        <f t="shared" si="14"/>
        <v>95.216836734693004</v>
      </c>
      <c r="O79" s="1" t="s">
        <v>45</v>
      </c>
      <c r="Q79" s="5">
        <v>45481</v>
      </c>
    </row>
    <row r="80" spans="1:17" ht="30" x14ac:dyDescent="0.25">
      <c r="A80" s="1">
        <v>7.3</v>
      </c>
      <c r="B80" s="1" t="s">
        <v>87</v>
      </c>
      <c r="C80" s="1">
        <v>1.97</v>
      </c>
      <c r="D80" s="1">
        <v>7</v>
      </c>
      <c r="E80" s="1">
        <v>69.28</v>
      </c>
      <c r="F80" s="1">
        <v>69.650000000000006</v>
      </c>
      <c r="G80" s="1">
        <f t="shared" si="10"/>
        <v>0.37000000000000455</v>
      </c>
      <c r="H80" s="1" t="s">
        <v>29</v>
      </c>
      <c r="I80" s="1">
        <v>69.91</v>
      </c>
      <c r="J80" s="1">
        <v>71.540000000000006</v>
      </c>
      <c r="K80" s="1">
        <f t="shared" si="11"/>
        <v>1.6300000000000097</v>
      </c>
      <c r="L80" s="1">
        <f t="shared" si="12"/>
        <v>79.628355127322692</v>
      </c>
      <c r="M80" s="1">
        <f t="shared" si="13"/>
        <v>0.15374999999998584</v>
      </c>
      <c r="N80" s="1">
        <f t="shared" si="14"/>
        <v>92.195431472081935</v>
      </c>
      <c r="O80" s="1" t="s">
        <v>45</v>
      </c>
      <c r="Q80" s="5">
        <v>45481</v>
      </c>
    </row>
    <row r="81" spans="1:17" ht="30" x14ac:dyDescent="0.25">
      <c r="A81" s="1">
        <v>8.3000000000000007</v>
      </c>
      <c r="B81" s="1" t="s">
        <v>88</v>
      </c>
      <c r="C81" s="1">
        <v>2.02</v>
      </c>
      <c r="D81" s="1">
        <v>8</v>
      </c>
      <c r="E81" s="1">
        <v>71.14</v>
      </c>
      <c r="F81" s="1">
        <v>71.319999999999993</v>
      </c>
      <c r="G81" s="1">
        <f t="shared" si="10"/>
        <v>0.17999999999999261</v>
      </c>
      <c r="H81" s="1" t="s">
        <v>31</v>
      </c>
      <c r="I81" s="1">
        <v>70.48</v>
      </c>
      <c r="J81" s="1">
        <v>72.37</v>
      </c>
      <c r="K81" s="1">
        <f t="shared" si="11"/>
        <v>1.8900000000000006</v>
      </c>
      <c r="L81" s="1">
        <f t="shared" si="12"/>
        <v>90.457256461232959</v>
      </c>
      <c r="M81" s="1">
        <f t="shared" si="13"/>
        <v>0.13375000000000692</v>
      </c>
      <c r="N81" s="1">
        <f t="shared" si="14"/>
        <v>93.37871287128678</v>
      </c>
      <c r="O81" s="1" t="s">
        <v>45</v>
      </c>
      <c r="Q81" s="5">
        <v>45481</v>
      </c>
    </row>
    <row r="82" spans="1:17" ht="30" x14ac:dyDescent="0.25">
      <c r="A82" s="1">
        <v>1.4</v>
      </c>
      <c r="B82" s="1" t="s">
        <v>89</v>
      </c>
      <c r="C82" s="1">
        <v>2</v>
      </c>
      <c r="D82" s="1">
        <v>1</v>
      </c>
      <c r="E82" s="1">
        <v>70.930000000000007</v>
      </c>
      <c r="F82" s="1">
        <v>71.11</v>
      </c>
      <c r="G82" s="1">
        <f t="shared" si="10"/>
        <v>0.17999999999999261</v>
      </c>
      <c r="H82" s="1" t="s">
        <v>17</v>
      </c>
      <c r="I82" s="1">
        <v>69.27</v>
      </c>
      <c r="J82" s="1">
        <v>71.2</v>
      </c>
      <c r="K82" s="1">
        <f t="shared" si="11"/>
        <v>1.9300000000000068</v>
      </c>
      <c r="L82" s="1">
        <f t="shared" si="12"/>
        <v>90.655418559377409</v>
      </c>
      <c r="M82" s="1">
        <f t="shared" si="13"/>
        <v>7.3750000000000648E-2</v>
      </c>
      <c r="N82" s="1">
        <f t="shared" si="14"/>
        <v>96.312499999999972</v>
      </c>
      <c r="O82" s="1" t="s">
        <v>45</v>
      </c>
      <c r="Q82" s="5">
        <v>45481</v>
      </c>
    </row>
    <row r="83" spans="1:17" ht="30" x14ac:dyDescent="0.25">
      <c r="A83" s="1">
        <v>2.4</v>
      </c>
      <c r="B83" s="1" t="s">
        <v>90</v>
      </c>
      <c r="C83" s="1">
        <v>2.0299999999999998</v>
      </c>
      <c r="D83" s="1">
        <v>2</v>
      </c>
      <c r="E83" s="1">
        <v>69.150000000000006</v>
      </c>
      <c r="F83" s="1">
        <v>69.77</v>
      </c>
      <c r="G83" s="1">
        <f t="shared" si="10"/>
        <v>0.61999999999999034</v>
      </c>
      <c r="H83" s="1" t="s">
        <v>19</v>
      </c>
      <c r="I83" s="1">
        <v>69.739999999999995</v>
      </c>
      <c r="J83" s="1">
        <v>71.25</v>
      </c>
      <c r="K83" s="1">
        <f t="shared" si="11"/>
        <v>1.5100000000000051</v>
      </c>
      <c r="L83" s="1">
        <f t="shared" si="12"/>
        <v>68.143866409762794</v>
      </c>
      <c r="M83" s="1">
        <f t="shared" si="13"/>
        <v>8.3750000000004432E-2</v>
      </c>
      <c r="N83" s="1">
        <f t="shared" si="14"/>
        <v>95.874384236452983</v>
      </c>
      <c r="O83" s="1" t="s">
        <v>45</v>
      </c>
      <c r="Q83" s="5">
        <v>45481</v>
      </c>
    </row>
    <row r="84" spans="1:17" ht="30" x14ac:dyDescent="0.25">
      <c r="A84" s="1">
        <v>3.4</v>
      </c>
      <c r="B84" s="1" t="s">
        <v>91</v>
      </c>
      <c r="C84" s="1">
        <v>2.0099999999999998</v>
      </c>
      <c r="D84" s="1">
        <v>3</v>
      </c>
      <c r="E84" s="1">
        <v>71.25</v>
      </c>
      <c r="F84" s="1">
        <v>71.38</v>
      </c>
      <c r="G84" s="1">
        <f t="shared" si="10"/>
        <v>0.12999999999999545</v>
      </c>
      <c r="H84" s="1" t="s">
        <v>21</v>
      </c>
      <c r="I84" s="1">
        <v>70.89</v>
      </c>
      <c r="J84" s="1">
        <v>72.819999999999993</v>
      </c>
      <c r="K84" s="1">
        <f t="shared" si="11"/>
        <v>1.9299999999999926</v>
      </c>
      <c r="L84" s="1">
        <f t="shared" si="12"/>
        <v>93.071285809460562</v>
      </c>
      <c r="M84" s="1">
        <f t="shared" si="13"/>
        <v>0.1337500000000118</v>
      </c>
      <c r="N84" s="1">
        <f t="shared" si="14"/>
        <v>93.345771144278018</v>
      </c>
      <c r="O84" s="1" t="s">
        <v>45</v>
      </c>
      <c r="Q84" s="5">
        <v>45481</v>
      </c>
    </row>
    <row r="85" spans="1:17" ht="30" x14ac:dyDescent="0.25">
      <c r="A85" s="1">
        <v>4.4000000000000004</v>
      </c>
      <c r="B85" s="1" t="s">
        <v>92</v>
      </c>
      <c r="C85" s="1">
        <v>1.97</v>
      </c>
      <c r="D85" s="1">
        <v>4</v>
      </c>
      <c r="E85" s="1">
        <v>70</v>
      </c>
      <c r="F85" s="1">
        <v>70.209999999999994</v>
      </c>
      <c r="G85" s="1">
        <f t="shared" si="10"/>
        <v>0.20999999999999375</v>
      </c>
      <c r="H85" s="1" t="s">
        <v>23</v>
      </c>
      <c r="I85" s="1">
        <v>70.099999999999994</v>
      </c>
      <c r="J85" s="1">
        <v>71.95</v>
      </c>
      <c r="K85" s="1">
        <f t="shared" si="11"/>
        <v>1.8500000000000085</v>
      </c>
      <c r="L85" s="1">
        <f t="shared" si="12"/>
        <v>88.80746169220555</v>
      </c>
      <c r="M85" s="1">
        <f t="shared" si="13"/>
        <v>9.374999999999778E-2</v>
      </c>
      <c r="N85" s="1">
        <f t="shared" si="14"/>
        <v>95.241116751269146</v>
      </c>
      <c r="O85" s="1" t="s">
        <v>45</v>
      </c>
      <c r="Q85" s="5">
        <v>45481</v>
      </c>
    </row>
    <row r="86" spans="1:17" ht="30" x14ac:dyDescent="0.25">
      <c r="A86" s="1">
        <v>5.4</v>
      </c>
      <c r="B86" s="1" t="s">
        <v>93</v>
      </c>
      <c r="C86" s="1">
        <v>1.98</v>
      </c>
      <c r="D86" s="1">
        <v>5</v>
      </c>
      <c r="E86" s="1">
        <v>69.5</v>
      </c>
      <c r="F86" s="1">
        <v>69.69</v>
      </c>
      <c r="G86" s="1">
        <f t="shared" si="10"/>
        <v>0.18999999999999773</v>
      </c>
      <c r="H86" s="1" t="s">
        <v>25</v>
      </c>
      <c r="I86" s="1">
        <v>69.209999999999994</v>
      </c>
      <c r="J86" s="1">
        <v>70.989999999999995</v>
      </c>
      <c r="K86" s="1">
        <f t="shared" si="11"/>
        <v>1.7800000000000011</v>
      </c>
      <c r="L86" s="1">
        <f t="shared" si="12"/>
        <v>89.363191042687319</v>
      </c>
      <c r="M86" s="1">
        <f t="shared" si="13"/>
        <v>0.1937500000000012</v>
      </c>
      <c r="N86" s="1">
        <f t="shared" si="14"/>
        <v>90.214646464646407</v>
      </c>
      <c r="O86" s="1" t="s">
        <v>45</v>
      </c>
      <c r="Q86" s="5">
        <v>45481</v>
      </c>
    </row>
    <row r="87" spans="1:17" ht="30" x14ac:dyDescent="0.25">
      <c r="A87" s="1">
        <v>6.4</v>
      </c>
      <c r="B87" s="1" t="s">
        <v>94</v>
      </c>
      <c r="C87" s="1">
        <v>1.99</v>
      </c>
      <c r="D87" s="1">
        <v>6</v>
      </c>
      <c r="E87" s="1">
        <v>69.5</v>
      </c>
      <c r="F87" s="1">
        <v>69.78</v>
      </c>
      <c r="G87" s="1">
        <f t="shared" si="10"/>
        <v>0.28000000000000114</v>
      </c>
      <c r="H87" s="1" t="s">
        <v>27</v>
      </c>
      <c r="I87" s="1">
        <v>70.2</v>
      </c>
      <c r="J87" s="1">
        <v>71.959999999999994</v>
      </c>
      <c r="K87" s="1">
        <f t="shared" si="11"/>
        <v>1.7599999999999909</v>
      </c>
      <c r="L87" s="1">
        <f t="shared" si="12"/>
        <v>84.915824915824786</v>
      </c>
      <c r="M87" s="1">
        <f t="shared" si="13"/>
        <v>0.13375000000000803</v>
      </c>
      <c r="N87" s="1">
        <f t="shared" si="14"/>
        <v>93.278894472361401</v>
      </c>
      <c r="O87" s="1" t="s">
        <v>45</v>
      </c>
      <c r="Q87" s="5">
        <v>45481</v>
      </c>
    </row>
    <row r="88" spans="1:17" ht="30" x14ac:dyDescent="0.25">
      <c r="A88" s="1">
        <v>7.4</v>
      </c>
      <c r="B88" s="1" t="s">
        <v>95</v>
      </c>
      <c r="C88" s="1">
        <v>2.0099999999999998</v>
      </c>
      <c r="D88" s="1">
        <v>7</v>
      </c>
      <c r="E88" s="1">
        <v>71.34</v>
      </c>
      <c r="F88" s="1">
        <v>72.31</v>
      </c>
      <c r="G88" s="1">
        <f t="shared" si="10"/>
        <v>0.96999999999999886</v>
      </c>
      <c r="H88" s="1" t="s">
        <v>29</v>
      </c>
      <c r="I88" s="1">
        <v>72.08</v>
      </c>
      <c r="J88" s="1">
        <v>73.27</v>
      </c>
      <c r="K88" s="1">
        <f t="shared" si="11"/>
        <v>1.1899999999999977</v>
      </c>
      <c r="L88" s="1">
        <f t="shared" si="12"/>
        <v>50.91714104996835</v>
      </c>
      <c r="M88" s="1">
        <f t="shared" si="13"/>
        <v>3.3750000000003277E-2</v>
      </c>
      <c r="N88" s="1">
        <f t="shared" si="14"/>
        <v>98.3208955223879</v>
      </c>
      <c r="O88" s="1" t="s">
        <v>45</v>
      </c>
      <c r="Q88" s="5">
        <v>45481</v>
      </c>
    </row>
    <row r="89" spans="1:17" ht="30" x14ac:dyDescent="0.25">
      <c r="A89" s="1">
        <v>8.4</v>
      </c>
      <c r="B89" s="1" t="s">
        <v>96</v>
      </c>
      <c r="C89" s="1">
        <v>2</v>
      </c>
      <c r="D89" s="1">
        <v>8</v>
      </c>
      <c r="E89" s="1">
        <v>69.16</v>
      </c>
      <c r="F89" s="1">
        <v>69.75</v>
      </c>
      <c r="G89" s="1">
        <f t="shared" si="10"/>
        <v>0.59000000000000341</v>
      </c>
      <c r="H89" s="1" t="s">
        <v>31</v>
      </c>
      <c r="I89" s="1">
        <v>69.95</v>
      </c>
      <c r="J89" s="1">
        <v>71.44</v>
      </c>
      <c r="K89" s="1">
        <f t="shared" si="11"/>
        <v>1.4899999999999949</v>
      </c>
      <c r="L89" s="1">
        <f t="shared" si="12"/>
        <v>68.885959129861362</v>
      </c>
      <c r="M89" s="1">
        <f t="shared" si="13"/>
        <v>0.10375000000000179</v>
      </c>
      <c r="N89" s="1">
        <f t="shared" si="14"/>
        <v>94.812499999999915</v>
      </c>
      <c r="O89" s="1" t="s">
        <v>45</v>
      </c>
      <c r="Q89" s="5">
        <v>45481</v>
      </c>
    </row>
    <row r="90" spans="1:17" ht="30" x14ac:dyDescent="0.25">
      <c r="A90" s="1">
        <v>1.5</v>
      </c>
      <c r="B90" s="1" t="s">
        <v>97</v>
      </c>
      <c r="C90" s="1">
        <v>1.99</v>
      </c>
      <c r="D90" s="1">
        <v>1</v>
      </c>
      <c r="E90" s="1">
        <v>71.87</v>
      </c>
      <c r="F90" s="1">
        <v>72.27</v>
      </c>
      <c r="G90" s="1">
        <f t="shared" si="10"/>
        <v>0.39999999999999147</v>
      </c>
      <c r="H90" s="1" t="s">
        <v>17</v>
      </c>
      <c r="I90" s="1">
        <v>71.33</v>
      </c>
      <c r="J90" s="1">
        <v>72.989999999999995</v>
      </c>
      <c r="K90" s="1">
        <f t="shared" si="11"/>
        <v>1.6599999999999966</v>
      </c>
      <c r="L90" s="1">
        <f t="shared" si="12"/>
        <v>78.680879413724497</v>
      </c>
      <c r="M90" s="1">
        <f t="shared" si="13"/>
        <v>0.11375000000001201</v>
      </c>
      <c r="N90" s="1">
        <f t="shared" si="14"/>
        <v>94.283919597989339</v>
      </c>
      <c r="O90" s="1" t="s">
        <v>45</v>
      </c>
      <c r="Q90" s="5">
        <v>45481</v>
      </c>
    </row>
    <row r="91" spans="1:17" ht="30" x14ac:dyDescent="0.25">
      <c r="A91" s="1">
        <v>2.5</v>
      </c>
      <c r="B91" s="1" t="s">
        <v>98</v>
      </c>
      <c r="C91" s="1">
        <v>1.98</v>
      </c>
      <c r="D91" s="1">
        <v>2</v>
      </c>
      <c r="E91" s="1">
        <v>70.03</v>
      </c>
      <c r="F91" s="1">
        <v>70.23</v>
      </c>
      <c r="G91" s="1">
        <f t="shared" si="10"/>
        <v>0.20000000000000284</v>
      </c>
      <c r="H91" s="1" t="s">
        <v>19</v>
      </c>
      <c r="I91" s="1">
        <v>70.48</v>
      </c>
      <c r="J91" s="1">
        <v>72.36</v>
      </c>
      <c r="K91" s="1">
        <f t="shared" si="11"/>
        <v>1.8799999999999955</v>
      </c>
      <c r="L91" s="1">
        <f t="shared" si="12"/>
        <v>89.45286750164783</v>
      </c>
      <c r="M91" s="1">
        <f t="shared" si="13"/>
        <v>8.3750000000001767E-2</v>
      </c>
      <c r="N91" s="1">
        <f t="shared" si="14"/>
        <v>95.770202020201936</v>
      </c>
      <c r="O91" s="1" t="s">
        <v>45</v>
      </c>
      <c r="Q91" s="5">
        <v>45481</v>
      </c>
    </row>
    <row r="92" spans="1:17" ht="30" x14ac:dyDescent="0.25">
      <c r="A92" s="1">
        <v>3.5</v>
      </c>
      <c r="B92" s="1" t="s">
        <v>99</v>
      </c>
      <c r="C92" s="1">
        <v>2.0299999999999998</v>
      </c>
      <c r="D92" s="1">
        <v>3</v>
      </c>
      <c r="E92" s="1">
        <v>69.099999999999994</v>
      </c>
      <c r="F92" s="1">
        <v>69.33</v>
      </c>
      <c r="G92" s="1">
        <f t="shared" si="10"/>
        <v>0.23000000000000398</v>
      </c>
      <c r="H92" s="1" t="s">
        <v>21</v>
      </c>
      <c r="I92" s="1">
        <v>68.58</v>
      </c>
      <c r="J92" s="1">
        <v>70.459999999999994</v>
      </c>
      <c r="K92" s="1">
        <f t="shared" si="11"/>
        <v>1.8799999999999955</v>
      </c>
      <c r="L92" s="1">
        <f t="shared" si="12"/>
        <v>88.059701492537101</v>
      </c>
      <c r="M92" s="1">
        <f t="shared" si="13"/>
        <v>0.10375000000000045</v>
      </c>
      <c r="N92" s="1">
        <f t="shared" si="14"/>
        <v>94.889162561576342</v>
      </c>
      <c r="O92" s="1" t="s">
        <v>45</v>
      </c>
      <c r="Q92" s="5">
        <v>45481</v>
      </c>
    </row>
    <row r="93" spans="1:17" ht="30" x14ac:dyDescent="0.25">
      <c r="A93" s="1">
        <v>4.5</v>
      </c>
      <c r="B93" s="1" t="s">
        <v>100</v>
      </c>
      <c r="C93" s="1">
        <v>1.98</v>
      </c>
      <c r="D93" s="1">
        <v>4</v>
      </c>
      <c r="E93" s="1">
        <v>71.489999999999995</v>
      </c>
      <c r="F93" s="1">
        <v>71.61</v>
      </c>
      <c r="G93" s="1">
        <f t="shared" si="10"/>
        <v>0.12000000000000455</v>
      </c>
      <c r="H93" s="1" t="s">
        <v>23</v>
      </c>
      <c r="I93" s="1">
        <v>69.150000000000006</v>
      </c>
      <c r="J93" s="1">
        <v>71.05</v>
      </c>
      <c r="K93" s="1">
        <f t="shared" si="11"/>
        <v>1.8999999999999915</v>
      </c>
      <c r="L93" s="1">
        <f t="shared" si="12"/>
        <v>93.464942137508245</v>
      </c>
      <c r="M93" s="1">
        <f t="shared" si="13"/>
        <v>0.14375000000000404</v>
      </c>
      <c r="N93" s="1">
        <f t="shared" si="14"/>
        <v>92.739898989898791</v>
      </c>
      <c r="O93" s="1" t="s">
        <v>45</v>
      </c>
      <c r="Q93" s="5">
        <v>45481</v>
      </c>
    </row>
    <row r="94" spans="1:17" ht="30" x14ac:dyDescent="0.25">
      <c r="A94" s="1">
        <v>5.5</v>
      </c>
      <c r="B94" s="1" t="s">
        <v>101</v>
      </c>
      <c r="C94" s="1">
        <v>2</v>
      </c>
      <c r="D94" s="1">
        <v>5</v>
      </c>
      <c r="E94" s="1">
        <v>70.959999999999994</v>
      </c>
      <c r="F94" s="1">
        <v>71.2</v>
      </c>
      <c r="G94" s="1">
        <f t="shared" si="10"/>
        <v>0.24000000000000909</v>
      </c>
      <c r="H94" s="1" t="s">
        <v>25</v>
      </c>
      <c r="I94" s="1">
        <v>70.099999999999994</v>
      </c>
      <c r="J94" s="1">
        <v>71.94</v>
      </c>
      <c r="K94" s="1">
        <f t="shared" si="11"/>
        <v>1.8400000000000034</v>
      </c>
      <c r="L94" s="1">
        <f t="shared" si="12"/>
        <v>87.343441001977197</v>
      </c>
      <c r="M94" s="1">
        <f t="shared" si="13"/>
        <v>0.10374999999998757</v>
      </c>
      <c r="N94" s="1">
        <f t="shared" si="14"/>
        <v>94.812500000000625</v>
      </c>
      <c r="O94" s="1" t="s">
        <v>45</v>
      </c>
      <c r="Q94" s="5">
        <v>45481</v>
      </c>
    </row>
    <row r="95" spans="1:17" ht="30" x14ac:dyDescent="0.25">
      <c r="A95" s="1">
        <v>6.5</v>
      </c>
      <c r="B95" s="1" t="s">
        <v>102</v>
      </c>
      <c r="C95" s="1">
        <v>2</v>
      </c>
      <c r="D95" s="1">
        <v>6</v>
      </c>
      <c r="E95" s="1">
        <v>71.16</v>
      </c>
      <c r="F95" s="1">
        <v>71.510000000000005</v>
      </c>
      <c r="G95" s="1">
        <f t="shared" si="10"/>
        <v>0.35000000000000853</v>
      </c>
      <c r="H95" s="1" t="s">
        <v>27</v>
      </c>
      <c r="I95" s="1">
        <v>70.8</v>
      </c>
      <c r="J95" s="1">
        <v>72.510000000000005</v>
      </c>
      <c r="K95" s="1">
        <f t="shared" si="11"/>
        <v>1.710000000000008</v>
      </c>
      <c r="L95" s="1">
        <f t="shared" si="12"/>
        <v>81.345769487008369</v>
      </c>
      <c r="M95" s="1">
        <f t="shared" si="13"/>
        <v>0.1237499999999836</v>
      </c>
      <c r="N95" s="1">
        <f t="shared" si="14"/>
        <v>93.812500000000824</v>
      </c>
      <c r="O95" s="1" t="s">
        <v>45</v>
      </c>
      <c r="Q95" s="5">
        <v>45481</v>
      </c>
    </row>
    <row r="96" spans="1:17" ht="30" x14ac:dyDescent="0.25">
      <c r="A96" s="1">
        <v>7.5</v>
      </c>
      <c r="B96" s="1" t="s">
        <v>103</v>
      </c>
      <c r="C96" s="1">
        <v>1.99</v>
      </c>
      <c r="D96" s="1">
        <v>7</v>
      </c>
      <c r="E96" s="1">
        <v>70.77</v>
      </c>
      <c r="F96" s="1">
        <v>71.489999999999995</v>
      </c>
      <c r="G96" s="1">
        <f t="shared" si="10"/>
        <v>0.71999999999999886</v>
      </c>
      <c r="H96" s="1" t="s">
        <v>29</v>
      </c>
      <c r="I96" s="1">
        <v>69.599999999999994</v>
      </c>
      <c r="J96" s="1">
        <v>71.010000000000005</v>
      </c>
      <c r="K96" s="1">
        <f t="shared" si="11"/>
        <v>1.4100000000000108</v>
      </c>
      <c r="L96" s="1">
        <f t="shared" si="12"/>
        <v>63.005780346821048</v>
      </c>
      <c r="M96" s="1">
        <f t="shared" si="13"/>
        <v>4.3749999999990408E-2</v>
      </c>
      <c r="N96" s="1">
        <f t="shared" si="14"/>
        <v>97.80150753768892</v>
      </c>
      <c r="O96" s="1" t="s">
        <v>45</v>
      </c>
      <c r="Q96" s="5">
        <v>45481</v>
      </c>
    </row>
    <row r="97" spans="1:17" ht="30" x14ac:dyDescent="0.25">
      <c r="A97" s="1">
        <v>8.5</v>
      </c>
      <c r="B97" s="1" t="s">
        <v>104</v>
      </c>
      <c r="C97" s="1">
        <v>1.99</v>
      </c>
      <c r="D97" s="1">
        <v>8</v>
      </c>
      <c r="E97" s="1">
        <v>70.55</v>
      </c>
      <c r="F97" s="1">
        <v>71.11</v>
      </c>
      <c r="G97" s="1">
        <f t="shared" si="10"/>
        <v>0.56000000000000227</v>
      </c>
      <c r="H97" s="1" t="s">
        <v>31</v>
      </c>
      <c r="I97" s="1">
        <v>69.98</v>
      </c>
      <c r="J97" s="1">
        <v>71.510000000000005</v>
      </c>
      <c r="K97" s="1">
        <f t="shared" si="11"/>
        <v>1.5300000000000011</v>
      </c>
      <c r="L97" s="1">
        <f t="shared" si="12"/>
        <v>70.622950819672056</v>
      </c>
      <c r="M97" s="1">
        <f t="shared" si="13"/>
        <v>8.374999999999666E-2</v>
      </c>
      <c r="N97" s="1">
        <f t="shared" si="14"/>
        <v>95.791457286432319</v>
      </c>
      <c r="O97" s="1" t="s">
        <v>45</v>
      </c>
      <c r="Q97" s="5">
        <v>45481</v>
      </c>
    </row>
    <row r="98" spans="1:17" ht="30" x14ac:dyDescent="0.25">
      <c r="A98" s="1">
        <v>1.1000000000000001</v>
      </c>
      <c r="B98" s="1" t="s">
        <v>24</v>
      </c>
      <c r="C98" s="1">
        <v>2</v>
      </c>
      <c r="D98" s="1">
        <v>1</v>
      </c>
      <c r="E98" s="1">
        <v>70.09</v>
      </c>
      <c r="F98" s="1">
        <v>70.37</v>
      </c>
      <c r="G98" s="1">
        <f t="shared" ref="G98:G129" si="15">F98-E98</f>
        <v>0.28000000000000114</v>
      </c>
      <c r="H98" s="1" t="s">
        <v>17</v>
      </c>
      <c r="I98" s="1">
        <v>68.97</v>
      </c>
      <c r="J98" s="1">
        <v>70.53</v>
      </c>
      <c r="K98" s="1">
        <f t="shared" ref="K98:K129" si="16">J98-I98</f>
        <v>1.5600000000000023</v>
      </c>
      <c r="L98" s="1">
        <f t="shared" ref="L98:L129" si="17">((K98-$P$2)/(K98+G98-$P$2))*100</f>
        <v>83.094339622641485</v>
      </c>
      <c r="M98" s="1">
        <f t="shared" ref="M98:M129" si="18">C98-G98-(K98-$P$2)</f>
        <v>0.34374999999999667</v>
      </c>
      <c r="N98" s="1">
        <f t="shared" ref="N98:N129" si="19">((K98+G98-$P$2)/C98)*100</f>
        <v>82.812500000000171</v>
      </c>
      <c r="O98" s="1" t="s">
        <v>45</v>
      </c>
      <c r="Q98" s="5">
        <v>45489</v>
      </c>
    </row>
    <row r="99" spans="1:17" ht="30" x14ac:dyDescent="0.25">
      <c r="A99" s="1">
        <v>2.1</v>
      </c>
      <c r="B99" s="1" t="s">
        <v>32</v>
      </c>
      <c r="C99" s="1">
        <v>1.97</v>
      </c>
      <c r="D99" s="1">
        <v>2</v>
      </c>
      <c r="E99" s="1">
        <v>70.64</v>
      </c>
      <c r="F99" s="1">
        <v>70.95</v>
      </c>
      <c r="G99" s="1">
        <f t="shared" si="15"/>
        <v>0.31000000000000227</v>
      </c>
      <c r="H99" s="1" t="s">
        <v>19</v>
      </c>
      <c r="I99" s="1">
        <v>71.87</v>
      </c>
      <c r="J99" s="1">
        <v>73.61</v>
      </c>
      <c r="K99" s="1">
        <f t="shared" si="16"/>
        <v>1.7399999999999949</v>
      </c>
      <c r="L99" s="1">
        <f t="shared" si="17"/>
        <v>83.389149363697101</v>
      </c>
      <c r="M99" s="1">
        <f t="shared" si="18"/>
        <v>0.1037500000000029</v>
      </c>
      <c r="N99" s="1">
        <f t="shared" si="19"/>
        <v>94.733502538070923</v>
      </c>
      <c r="O99" s="1" t="s">
        <v>45</v>
      </c>
      <c r="Q99" s="5">
        <v>45489</v>
      </c>
    </row>
    <row r="100" spans="1:17" ht="30" x14ac:dyDescent="0.25">
      <c r="A100" s="1">
        <v>3.1</v>
      </c>
      <c r="B100" s="1" t="s">
        <v>43</v>
      </c>
      <c r="C100" s="1">
        <v>2.0099999999999998</v>
      </c>
      <c r="D100" s="1">
        <v>3</v>
      </c>
      <c r="E100" s="1">
        <v>70.94</v>
      </c>
      <c r="F100" s="1">
        <v>71.489999999999995</v>
      </c>
      <c r="G100" s="1">
        <f t="shared" si="15"/>
        <v>0.54999999999999716</v>
      </c>
      <c r="H100" s="1" t="s">
        <v>21</v>
      </c>
      <c r="I100" s="1">
        <v>70</v>
      </c>
      <c r="J100" s="1">
        <v>71.56</v>
      </c>
      <c r="K100" s="1">
        <f t="shared" si="16"/>
        <v>1.5600000000000023</v>
      </c>
      <c r="L100" s="1">
        <f t="shared" si="17"/>
        <v>71.447112264763277</v>
      </c>
      <c r="M100" s="1">
        <f t="shared" si="18"/>
        <v>8.3750000000000435E-2</v>
      </c>
      <c r="N100" s="1">
        <f t="shared" si="19"/>
        <v>95.833333333333314</v>
      </c>
      <c r="O100" s="1" t="s">
        <v>45</v>
      </c>
      <c r="Q100" s="5">
        <v>45489</v>
      </c>
    </row>
    <row r="101" spans="1:17" ht="30" x14ac:dyDescent="0.25">
      <c r="A101" s="1">
        <v>4.0999999999999996</v>
      </c>
      <c r="B101" s="1" t="s">
        <v>40</v>
      </c>
      <c r="C101" s="1">
        <v>2.0299999999999998</v>
      </c>
      <c r="D101" s="1">
        <v>4</v>
      </c>
      <c r="E101" s="1">
        <v>69.38</v>
      </c>
      <c r="F101" s="1">
        <v>69.94</v>
      </c>
      <c r="G101" s="1">
        <f t="shared" si="15"/>
        <v>0.56000000000000227</v>
      </c>
      <c r="H101" s="1" t="s">
        <v>23</v>
      </c>
      <c r="I101" s="1">
        <v>69.75</v>
      </c>
      <c r="J101" s="1">
        <v>71.3</v>
      </c>
      <c r="K101" s="1">
        <f t="shared" si="16"/>
        <v>1.5499999999999972</v>
      </c>
      <c r="L101" s="1">
        <f t="shared" si="17"/>
        <v>70.927968851395079</v>
      </c>
      <c r="M101" s="1">
        <f t="shared" si="18"/>
        <v>0.10375000000000045</v>
      </c>
      <c r="N101" s="1">
        <f t="shared" si="19"/>
        <v>94.889162561576342</v>
      </c>
      <c r="O101" s="1" t="s">
        <v>45</v>
      </c>
      <c r="Q101" s="5">
        <v>45489</v>
      </c>
    </row>
    <row r="102" spans="1:17" ht="30" x14ac:dyDescent="0.25">
      <c r="A102" s="1">
        <v>5.0999999999999996</v>
      </c>
      <c r="B102" s="1" t="s">
        <v>41</v>
      </c>
      <c r="C102" s="1">
        <v>1.98</v>
      </c>
      <c r="D102" s="1">
        <v>5</v>
      </c>
      <c r="E102" s="1">
        <v>68.05</v>
      </c>
      <c r="F102" s="1">
        <v>68.37</v>
      </c>
      <c r="G102" s="1">
        <f t="shared" si="15"/>
        <v>0.32000000000000739</v>
      </c>
      <c r="H102" s="1" t="s">
        <v>25</v>
      </c>
      <c r="I102" s="1">
        <v>70.91</v>
      </c>
      <c r="J102" s="1">
        <v>72.599999999999994</v>
      </c>
      <c r="K102" s="1">
        <f t="shared" si="16"/>
        <v>1.6899999999999977</v>
      </c>
      <c r="L102" s="1">
        <f t="shared" si="17"/>
        <v>82.477754962354197</v>
      </c>
      <c r="M102" s="1">
        <f t="shared" si="18"/>
        <v>0.15374999999999495</v>
      </c>
      <c r="N102" s="1">
        <f t="shared" si="19"/>
        <v>92.23484848484874</v>
      </c>
      <c r="O102" s="1" t="s">
        <v>45</v>
      </c>
      <c r="Q102" s="5">
        <v>45489</v>
      </c>
    </row>
    <row r="103" spans="1:17" ht="30" x14ac:dyDescent="0.25">
      <c r="A103" s="1">
        <v>6.1</v>
      </c>
      <c r="B103" s="1" t="s">
        <v>42</v>
      </c>
      <c r="C103" s="1">
        <v>2.02</v>
      </c>
      <c r="D103" s="1">
        <v>6</v>
      </c>
      <c r="E103" s="1">
        <v>69.25</v>
      </c>
      <c r="F103" s="1">
        <v>69.36</v>
      </c>
      <c r="G103" s="1">
        <f t="shared" si="15"/>
        <v>0.10999999999999943</v>
      </c>
      <c r="H103" s="1" t="s">
        <v>27</v>
      </c>
      <c r="I103" s="1">
        <v>69.09</v>
      </c>
      <c r="J103" s="1">
        <v>71.06</v>
      </c>
      <c r="K103" s="1">
        <f t="shared" si="16"/>
        <v>1.9699999999999989</v>
      </c>
      <c r="L103" s="1">
        <f t="shared" si="17"/>
        <v>94.199077125906413</v>
      </c>
      <c r="M103" s="1">
        <f t="shared" si="18"/>
        <v>0.1237500000000018</v>
      </c>
      <c r="N103" s="1">
        <f t="shared" si="19"/>
        <v>93.873762376237536</v>
      </c>
      <c r="O103" s="1" t="s">
        <v>45</v>
      </c>
      <c r="Q103" s="5">
        <v>45489</v>
      </c>
    </row>
    <row r="104" spans="1:17" ht="30" x14ac:dyDescent="0.25">
      <c r="A104" s="1">
        <v>7.1</v>
      </c>
      <c r="B104" s="1" t="s">
        <v>30</v>
      </c>
      <c r="C104" s="1">
        <v>2.0099999999999998</v>
      </c>
      <c r="D104" s="1">
        <v>7</v>
      </c>
      <c r="E104" s="1">
        <v>70.12</v>
      </c>
      <c r="F104" s="1">
        <v>70.62</v>
      </c>
      <c r="G104" s="1">
        <f t="shared" si="15"/>
        <v>0.5</v>
      </c>
      <c r="H104" s="1" t="s">
        <v>29</v>
      </c>
      <c r="I104" s="1">
        <v>70</v>
      </c>
      <c r="J104" s="1">
        <v>71.5</v>
      </c>
      <c r="K104" s="1">
        <f t="shared" si="16"/>
        <v>1.5</v>
      </c>
      <c r="L104" s="1">
        <f t="shared" si="17"/>
        <v>72.470750172057805</v>
      </c>
      <c r="M104" s="1">
        <f t="shared" si="18"/>
        <v>0.19374999999999987</v>
      </c>
      <c r="N104" s="1">
        <f t="shared" si="19"/>
        <v>90.360696517412947</v>
      </c>
      <c r="O104" s="1" t="s">
        <v>45</v>
      </c>
      <c r="Q104" s="5">
        <v>45489</v>
      </c>
    </row>
    <row r="105" spans="1:17" ht="30" x14ac:dyDescent="0.25">
      <c r="A105" s="1">
        <v>8.1</v>
      </c>
      <c r="B105" s="1" t="s">
        <v>16</v>
      </c>
      <c r="C105" s="1">
        <v>1.98</v>
      </c>
      <c r="D105" s="1">
        <v>8</v>
      </c>
      <c r="E105" s="1">
        <v>69.27</v>
      </c>
      <c r="F105" s="1">
        <v>69.47</v>
      </c>
      <c r="G105" s="1">
        <f t="shared" si="15"/>
        <v>0.20000000000000284</v>
      </c>
      <c r="H105" s="1" t="s">
        <v>31</v>
      </c>
      <c r="I105" s="1">
        <v>70.87</v>
      </c>
      <c r="J105" s="1">
        <v>72.73</v>
      </c>
      <c r="K105" s="1">
        <f t="shared" si="16"/>
        <v>1.8599999999999994</v>
      </c>
      <c r="L105" s="1">
        <f t="shared" si="17"/>
        <v>89.340439706861957</v>
      </c>
      <c r="M105" s="1">
        <f t="shared" si="18"/>
        <v>0.10374999999999779</v>
      </c>
      <c r="N105" s="1">
        <f t="shared" si="19"/>
        <v>94.76010101010111</v>
      </c>
      <c r="O105" s="1" t="s">
        <v>45</v>
      </c>
      <c r="Q105" s="5">
        <v>45489</v>
      </c>
    </row>
    <row r="106" spans="1:17" ht="30" x14ac:dyDescent="0.25">
      <c r="A106" s="1">
        <v>1.2</v>
      </c>
      <c r="B106" s="1" t="s">
        <v>20</v>
      </c>
      <c r="C106" s="1">
        <v>1.97</v>
      </c>
      <c r="D106" s="1">
        <v>1</v>
      </c>
      <c r="E106" s="1">
        <v>69.64</v>
      </c>
      <c r="F106" s="1">
        <v>69.87</v>
      </c>
      <c r="G106" s="1">
        <f t="shared" si="15"/>
        <v>0.23000000000000398</v>
      </c>
      <c r="H106" s="1" t="s">
        <v>17</v>
      </c>
      <c r="I106" s="1">
        <v>69.97</v>
      </c>
      <c r="J106" s="1">
        <v>71.78</v>
      </c>
      <c r="K106" s="1">
        <f t="shared" si="16"/>
        <v>1.8100000000000023</v>
      </c>
      <c r="L106" s="1">
        <f t="shared" si="17"/>
        <v>87.609427609427442</v>
      </c>
      <c r="M106" s="1">
        <f t="shared" si="18"/>
        <v>0.1137499999999938</v>
      </c>
      <c r="N106" s="1">
        <f t="shared" si="19"/>
        <v>94.225888324873409</v>
      </c>
      <c r="O106" s="1" t="s">
        <v>45</v>
      </c>
      <c r="Q106" s="5">
        <v>45489</v>
      </c>
    </row>
    <row r="107" spans="1:17" ht="30" x14ac:dyDescent="0.25">
      <c r="A107" s="1">
        <v>2.2000000000000002</v>
      </c>
      <c r="B107" s="1" t="s">
        <v>34</v>
      </c>
      <c r="C107" s="1">
        <v>2</v>
      </c>
      <c r="D107" s="1">
        <v>2</v>
      </c>
      <c r="E107" s="1">
        <v>69.5</v>
      </c>
      <c r="F107" s="1">
        <v>69.8</v>
      </c>
      <c r="G107" s="1">
        <f t="shared" si="15"/>
        <v>0.29999999999999716</v>
      </c>
      <c r="H107" s="1" t="s">
        <v>19</v>
      </c>
      <c r="I107" s="1">
        <v>70.8</v>
      </c>
      <c r="J107" s="1">
        <v>72.599999999999994</v>
      </c>
      <c r="K107" s="1">
        <f t="shared" si="16"/>
        <v>1.7999999999999972</v>
      </c>
      <c r="L107" s="1">
        <f t="shared" si="17"/>
        <v>84.344422700587188</v>
      </c>
      <c r="M107" s="1">
        <f t="shared" si="18"/>
        <v>8.3750000000005764E-2</v>
      </c>
      <c r="N107" s="1">
        <f t="shared" si="19"/>
        <v>95.812499999999716</v>
      </c>
      <c r="O107" s="1" t="s">
        <v>45</v>
      </c>
      <c r="Q107" s="5">
        <v>45489</v>
      </c>
    </row>
    <row r="108" spans="1:17" ht="30" x14ac:dyDescent="0.25">
      <c r="A108" s="1">
        <v>3.2</v>
      </c>
      <c r="B108" s="1" t="s">
        <v>18</v>
      </c>
      <c r="C108" s="1">
        <v>2.0099999999999998</v>
      </c>
      <c r="D108" s="1">
        <v>3</v>
      </c>
      <c r="E108" s="1">
        <v>70.89</v>
      </c>
      <c r="F108" s="1">
        <v>71.27</v>
      </c>
      <c r="G108" s="1">
        <f t="shared" si="15"/>
        <v>0.37999999999999545</v>
      </c>
      <c r="H108" s="1" t="s">
        <v>21</v>
      </c>
      <c r="I108" s="1">
        <v>69.75</v>
      </c>
      <c r="J108" s="1">
        <v>71.44</v>
      </c>
      <c r="K108" s="1">
        <f t="shared" si="16"/>
        <v>1.6899999999999977</v>
      </c>
      <c r="L108" s="1">
        <f t="shared" si="17"/>
        <v>79.854208084824549</v>
      </c>
      <c r="M108" s="1">
        <f t="shared" si="18"/>
        <v>0.12375000000000669</v>
      </c>
      <c r="N108" s="1">
        <f t="shared" si="19"/>
        <v>93.843283582089214</v>
      </c>
      <c r="O108" s="1" t="s">
        <v>45</v>
      </c>
      <c r="Q108" s="5">
        <v>45489</v>
      </c>
    </row>
    <row r="109" spans="1:17" ht="30" x14ac:dyDescent="0.25">
      <c r="A109" s="1">
        <v>4.2</v>
      </c>
      <c r="B109" s="1" t="s">
        <v>39</v>
      </c>
      <c r="C109" s="1">
        <v>2.0299999999999998</v>
      </c>
      <c r="D109" s="1">
        <v>4</v>
      </c>
      <c r="E109" s="1">
        <v>67.94</v>
      </c>
      <c r="F109" s="1">
        <v>68.540000000000006</v>
      </c>
      <c r="G109" s="1">
        <f t="shared" si="15"/>
        <v>0.60000000000000853</v>
      </c>
      <c r="H109" s="1" t="s">
        <v>23</v>
      </c>
      <c r="I109" s="1">
        <v>68.61</v>
      </c>
      <c r="J109" s="1">
        <v>70.099999999999994</v>
      </c>
      <c r="K109" s="1">
        <f t="shared" si="16"/>
        <v>1.4899999999999949</v>
      </c>
      <c r="L109" s="1">
        <f t="shared" si="17"/>
        <v>68.524590163934036</v>
      </c>
      <c r="M109" s="1">
        <f t="shared" si="18"/>
        <v>0.12374999999999647</v>
      </c>
      <c r="N109" s="1">
        <f t="shared" si="19"/>
        <v>93.903940886699672</v>
      </c>
      <c r="O109" s="1" t="s">
        <v>45</v>
      </c>
      <c r="Q109" s="5">
        <v>45489</v>
      </c>
    </row>
    <row r="110" spans="1:17" ht="30" x14ac:dyDescent="0.25">
      <c r="A110" s="1">
        <v>5.2</v>
      </c>
      <c r="B110" s="1" t="s">
        <v>38</v>
      </c>
      <c r="C110" s="1">
        <v>2.0099999999999998</v>
      </c>
      <c r="D110" s="1">
        <v>5</v>
      </c>
      <c r="E110" s="1">
        <v>71.16</v>
      </c>
      <c r="F110" s="1">
        <v>71.41</v>
      </c>
      <c r="G110" s="1">
        <f t="shared" si="15"/>
        <v>0.25</v>
      </c>
      <c r="H110" s="1" t="s">
        <v>25</v>
      </c>
      <c r="I110" s="1">
        <v>68.25</v>
      </c>
      <c r="J110" s="1">
        <v>70.08</v>
      </c>
      <c r="K110" s="1">
        <f t="shared" si="16"/>
        <v>1.8299999999999983</v>
      </c>
      <c r="L110" s="1">
        <f t="shared" si="17"/>
        <v>86.81608437705998</v>
      </c>
      <c r="M110" s="1">
        <f t="shared" si="18"/>
        <v>0.11375000000000157</v>
      </c>
      <c r="N110" s="1">
        <f t="shared" si="19"/>
        <v>94.340796019900424</v>
      </c>
      <c r="O110" s="1" t="s">
        <v>45</v>
      </c>
      <c r="Q110" s="5">
        <v>45489</v>
      </c>
    </row>
    <row r="111" spans="1:17" ht="30" x14ac:dyDescent="0.25">
      <c r="A111" s="1">
        <v>6.2</v>
      </c>
      <c r="B111" s="1" t="s">
        <v>33</v>
      </c>
      <c r="C111" s="1">
        <v>1.99</v>
      </c>
      <c r="D111" s="1">
        <v>6</v>
      </c>
      <c r="E111" s="1">
        <v>69.5</v>
      </c>
      <c r="F111" s="1">
        <v>69.88</v>
      </c>
      <c r="G111" s="1">
        <f t="shared" si="15"/>
        <v>0.37999999999999545</v>
      </c>
      <c r="H111" s="1" t="s">
        <v>27</v>
      </c>
      <c r="I111" s="1">
        <v>70.12</v>
      </c>
      <c r="J111" s="1">
        <v>71.8</v>
      </c>
      <c r="K111" s="1">
        <f t="shared" si="16"/>
        <v>1.6799999999999926</v>
      </c>
      <c r="L111" s="1">
        <f t="shared" si="17"/>
        <v>79.746835443038094</v>
      </c>
      <c r="M111" s="1">
        <f t="shared" si="18"/>
        <v>0.11375000000001201</v>
      </c>
      <c r="N111" s="1">
        <f t="shared" si="19"/>
        <v>94.283919597989339</v>
      </c>
      <c r="O111" s="1" t="s">
        <v>45</v>
      </c>
      <c r="Q111" s="5">
        <v>45489</v>
      </c>
    </row>
    <row r="112" spans="1:17" ht="30" x14ac:dyDescent="0.25">
      <c r="A112" s="1">
        <v>7.2</v>
      </c>
      <c r="B112" s="1" t="s">
        <v>35</v>
      </c>
      <c r="C112" s="1">
        <v>1.97</v>
      </c>
      <c r="D112" s="1">
        <v>7</v>
      </c>
      <c r="E112" s="1">
        <v>68.930000000000007</v>
      </c>
      <c r="F112" s="1">
        <v>69.319999999999993</v>
      </c>
      <c r="G112" s="1">
        <f t="shared" si="15"/>
        <v>0.38999999999998636</v>
      </c>
      <c r="H112" s="1" t="s">
        <v>29</v>
      </c>
      <c r="I112" s="1">
        <v>71.25</v>
      </c>
      <c r="J112" s="1">
        <v>72.92</v>
      </c>
      <c r="K112" s="1">
        <f t="shared" si="16"/>
        <v>1.6700000000000017</v>
      </c>
      <c r="L112" s="1">
        <f t="shared" si="17"/>
        <v>79.213857428381672</v>
      </c>
      <c r="M112" s="1">
        <f t="shared" si="18"/>
        <v>9.375000000001199E-2</v>
      </c>
      <c r="N112" s="1">
        <f t="shared" si="19"/>
        <v>95.241116751268436</v>
      </c>
      <c r="O112" s="1" t="s">
        <v>45</v>
      </c>
      <c r="Q112" s="5">
        <v>45489</v>
      </c>
    </row>
    <row r="113" spans="1:17" ht="30" x14ac:dyDescent="0.25">
      <c r="A113" s="1">
        <v>8.1999999999999993</v>
      </c>
      <c r="B113" s="1" t="s">
        <v>26</v>
      </c>
      <c r="C113" s="1">
        <v>2.02</v>
      </c>
      <c r="D113" s="1">
        <v>8</v>
      </c>
      <c r="E113" s="1">
        <v>70.790000000000006</v>
      </c>
      <c r="F113" s="1">
        <v>71.540000000000006</v>
      </c>
      <c r="G113" s="1">
        <f t="shared" si="15"/>
        <v>0.75</v>
      </c>
      <c r="H113" s="1" t="s">
        <v>31</v>
      </c>
      <c r="I113" s="1">
        <v>69.16</v>
      </c>
      <c r="J113" s="1">
        <v>70.53</v>
      </c>
      <c r="K113" s="1">
        <f t="shared" si="16"/>
        <v>1.3700000000000045</v>
      </c>
      <c r="L113" s="1">
        <f t="shared" si="17"/>
        <v>61.265332472563031</v>
      </c>
      <c r="M113" s="1">
        <f t="shared" si="18"/>
        <v>8.374999999999555E-2</v>
      </c>
      <c r="N113" s="1">
        <f t="shared" si="19"/>
        <v>95.853960396039824</v>
      </c>
      <c r="O113" s="1" t="s">
        <v>45</v>
      </c>
      <c r="Q113" s="5">
        <v>45489</v>
      </c>
    </row>
    <row r="114" spans="1:17" ht="30" x14ac:dyDescent="0.25">
      <c r="A114" s="1">
        <v>1.3</v>
      </c>
      <c r="B114" s="1" t="s">
        <v>37</v>
      </c>
      <c r="C114" s="1">
        <v>2.02</v>
      </c>
      <c r="D114" s="1">
        <v>1</v>
      </c>
      <c r="E114" s="1">
        <v>70.78</v>
      </c>
      <c r="F114" s="1">
        <v>71.08</v>
      </c>
      <c r="G114" s="1">
        <f t="shared" si="15"/>
        <v>0.29999999999999716</v>
      </c>
      <c r="H114" s="1" t="s">
        <v>17</v>
      </c>
      <c r="I114" s="1">
        <v>70.069999999999993</v>
      </c>
      <c r="J114" s="1">
        <v>71.86</v>
      </c>
      <c r="K114" s="1">
        <f t="shared" si="16"/>
        <v>1.7900000000000063</v>
      </c>
      <c r="L114" s="1">
        <f t="shared" si="17"/>
        <v>84.26229508196738</v>
      </c>
      <c r="M114" s="1">
        <f t="shared" si="18"/>
        <v>0.11374999999999669</v>
      </c>
      <c r="N114" s="1">
        <f t="shared" si="19"/>
        <v>94.368811881188293</v>
      </c>
      <c r="O114" s="1" t="s">
        <v>45</v>
      </c>
      <c r="Q114" s="5">
        <v>45489</v>
      </c>
    </row>
    <row r="115" spans="1:17" ht="30" x14ac:dyDescent="0.25">
      <c r="A115" s="1">
        <v>2.2999999999999998</v>
      </c>
      <c r="B115" s="1" t="s">
        <v>28</v>
      </c>
      <c r="C115" s="1">
        <v>1.98</v>
      </c>
      <c r="D115" s="1">
        <v>2</v>
      </c>
      <c r="E115" s="1">
        <v>69.209999999999994</v>
      </c>
      <c r="F115" s="1">
        <v>69.400000000000006</v>
      </c>
      <c r="G115" s="1">
        <f t="shared" si="15"/>
        <v>0.19000000000001194</v>
      </c>
      <c r="H115" s="1" t="s">
        <v>19</v>
      </c>
      <c r="I115" s="1">
        <v>69.569999999999993</v>
      </c>
      <c r="J115" s="1">
        <v>71.44</v>
      </c>
      <c r="K115" s="1">
        <f t="shared" si="16"/>
        <v>1.8700000000000045</v>
      </c>
      <c r="L115" s="1">
        <f t="shared" si="17"/>
        <v>89.87341772151845</v>
      </c>
      <c r="M115" s="1">
        <f t="shared" si="18"/>
        <v>0.10374999999998358</v>
      </c>
      <c r="N115" s="1">
        <f t="shared" si="19"/>
        <v>94.760101010101835</v>
      </c>
      <c r="O115" s="1" t="s">
        <v>45</v>
      </c>
      <c r="Q115" s="5">
        <v>45489</v>
      </c>
    </row>
    <row r="116" spans="1:17" ht="30" x14ac:dyDescent="0.25">
      <c r="A116" s="1">
        <v>3.3</v>
      </c>
      <c r="B116" s="1" t="s">
        <v>22</v>
      </c>
      <c r="C116" s="1">
        <v>1.97</v>
      </c>
      <c r="D116" s="1">
        <v>3</v>
      </c>
      <c r="E116" s="1">
        <v>69.28</v>
      </c>
      <c r="F116" s="1">
        <v>69.510000000000005</v>
      </c>
      <c r="G116" s="1">
        <f t="shared" si="15"/>
        <v>0.23000000000000398</v>
      </c>
      <c r="H116" s="1" t="s">
        <v>21</v>
      </c>
      <c r="I116" s="1">
        <v>71.77</v>
      </c>
      <c r="J116" s="1">
        <v>73.55</v>
      </c>
      <c r="K116" s="1">
        <f t="shared" si="16"/>
        <v>1.7800000000000011</v>
      </c>
      <c r="L116" s="1">
        <f t="shared" si="17"/>
        <v>87.405886379192154</v>
      </c>
      <c r="M116" s="1">
        <f t="shared" si="18"/>
        <v>0.14374999999999494</v>
      </c>
      <c r="N116" s="1">
        <f t="shared" si="19"/>
        <v>92.703045685279434</v>
      </c>
      <c r="O116" s="1" t="s">
        <v>45</v>
      </c>
      <c r="Q116" s="5">
        <v>45489</v>
      </c>
    </row>
    <row r="117" spans="1:17" ht="30" x14ac:dyDescent="0.25">
      <c r="A117" s="1">
        <v>4.3</v>
      </c>
      <c r="B117" s="1" t="s">
        <v>36</v>
      </c>
      <c r="C117" s="1">
        <v>1.97</v>
      </c>
      <c r="D117" s="1">
        <v>4</v>
      </c>
      <c r="E117" s="1">
        <v>69.260000000000005</v>
      </c>
      <c r="F117" s="1">
        <v>69.34</v>
      </c>
      <c r="G117" s="1">
        <f t="shared" si="15"/>
        <v>7.9999999999998295E-2</v>
      </c>
      <c r="H117" s="1" t="s">
        <v>23</v>
      </c>
      <c r="I117" s="1">
        <v>70.040000000000006</v>
      </c>
      <c r="J117" s="1">
        <v>71.959999999999994</v>
      </c>
      <c r="K117" s="1">
        <f t="shared" si="16"/>
        <v>1.9199999999999875</v>
      </c>
      <c r="L117" s="1">
        <f t="shared" si="17"/>
        <v>95.595320027529311</v>
      </c>
      <c r="M117" s="1">
        <f t="shared" si="18"/>
        <v>0.15375000000001426</v>
      </c>
      <c r="N117" s="1">
        <f t="shared" si="19"/>
        <v>92.195431472080486</v>
      </c>
      <c r="O117" s="1" t="s">
        <v>45</v>
      </c>
      <c r="Q117" s="5">
        <v>45489</v>
      </c>
    </row>
    <row r="118" spans="1:17" ht="30" x14ac:dyDescent="0.25">
      <c r="A118" s="4">
        <v>1.1000000000000001</v>
      </c>
      <c r="B118" s="4" t="s">
        <v>46</v>
      </c>
      <c r="C118" s="4">
        <v>2.0099999999999998</v>
      </c>
      <c r="D118" s="4">
        <v>1</v>
      </c>
      <c r="E118" s="4">
        <v>69.03</v>
      </c>
      <c r="F118" s="4">
        <v>69.290000000000006</v>
      </c>
      <c r="G118" s="4">
        <f t="shared" si="15"/>
        <v>0.26000000000000512</v>
      </c>
      <c r="H118" s="4" t="s">
        <v>17</v>
      </c>
      <c r="I118" s="4">
        <v>69.8</v>
      </c>
      <c r="J118" s="4">
        <v>71.62</v>
      </c>
      <c r="K118" s="4">
        <f t="shared" si="16"/>
        <v>1.8200000000000074</v>
      </c>
      <c r="L118" s="4">
        <f t="shared" si="17"/>
        <v>86.288727752142208</v>
      </c>
      <c r="M118" s="4">
        <f t="shared" si="18"/>
        <v>0.11374999999998736</v>
      </c>
      <c r="N118" s="4">
        <f t="shared" si="19"/>
        <v>94.340796019901134</v>
      </c>
      <c r="O118" s="4" t="s">
        <v>105</v>
      </c>
      <c r="Q118" s="5">
        <v>45532</v>
      </c>
    </row>
    <row r="119" spans="1:17" ht="30" x14ac:dyDescent="0.25">
      <c r="A119" s="4">
        <v>2.1</v>
      </c>
      <c r="B119" s="4" t="s">
        <v>64</v>
      </c>
      <c r="C119" s="4">
        <v>2.0099999999999998</v>
      </c>
      <c r="D119" s="4">
        <v>2</v>
      </c>
      <c r="E119" s="4">
        <v>69.63</v>
      </c>
      <c r="F119" s="4">
        <v>70.11</v>
      </c>
      <c r="G119" s="4">
        <f t="shared" si="15"/>
        <v>0.48000000000000398</v>
      </c>
      <c r="H119" s="4" t="s">
        <v>19</v>
      </c>
      <c r="I119" s="4">
        <v>70.87</v>
      </c>
      <c r="J119" s="4">
        <v>72.47</v>
      </c>
      <c r="K119" s="4">
        <f t="shared" si="16"/>
        <v>1.5999999999999943</v>
      </c>
      <c r="L119" s="4">
        <f t="shared" si="17"/>
        <v>74.686882003954949</v>
      </c>
      <c r="M119" s="4">
        <f t="shared" si="18"/>
        <v>0.11375000000000157</v>
      </c>
      <c r="N119" s="4">
        <f t="shared" si="19"/>
        <v>94.340796019900424</v>
      </c>
      <c r="O119" s="4" t="s">
        <v>105</v>
      </c>
      <c r="Q119" s="5">
        <v>45532</v>
      </c>
    </row>
    <row r="120" spans="1:17" ht="30" x14ac:dyDescent="0.25">
      <c r="A120" s="4">
        <v>3.1</v>
      </c>
      <c r="B120" s="4" t="s">
        <v>47</v>
      </c>
      <c r="C120" s="4">
        <v>2.0099999999999998</v>
      </c>
      <c r="D120" s="4">
        <v>3</v>
      </c>
      <c r="E120" s="4">
        <v>68.25</v>
      </c>
      <c r="F120" s="4">
        <v>68.39</v>
      </c>
      <c r="G120" s="4">
        <f t="shared" si="15"/>
        <v>0.14000000000000057</v>
      </c>
      <c r="H120" s="4" t="s">
        <v>21</v>
      </c>
      <c r="I120" s="4">
        <v>68.58</v>
      </c>
      <c r="J120" s="4">
        <v>70.53</v>
      </c>
      <c r="K120" s="4">
        <f t="shared" si="16"/>
        <v>1.9500000000000028</v>
      </c>
      <c r="L120" s="4">
        <f t="shared" si="17"/>
        <v>92.65573770491801</v>
      </c>
      <c r="M120" s="4">
        <f t="shared" si="18"/>
        <v>0.10374999999999646</v>
      </c>
      <c r="N120" s="4">
        <f t="shared" si="19"/>
        <v>94.838308457711619</v>
      </c>
      <c r="O120" s="4" t="s">
        <v>105</v>
      </c>
      <c r="Q120" s="5">
        <v>45532</v>
      </c>
    </row>
    <row r="121" spans="1:17" ht="30" x14ac:dyDescent="0.25">
      <c r="A121" s="4">
        <v>4.0999999999999996</v>
      </c>
      <c r="B121" s="4" t="s">
        <v>49</v>
      </c>
      <c r="C121" s="4">
        <v>2.04</v>
      </c>
      <c r="D121" s="4">
        <v>4</v>
      </c>
      <c r="E121" s="4">
        <v>70.760000000000005</v>
      </c>
      <c r="F121" s="4">
        <v>70.94</v>
      </c>
      <c r="G121" s="4">
        <f t="shared" si="15"/>
        <v>0.17999999999999261</v>
      </c>
      <c r="H121" s="4" t="s">
        <v>23</v>
      </c>
      <c r="I121" s="4">
        <v>70.040000000000006</v>
      </c>
      <c r="J121" s="4">
        <v>71.98</v>
      </c>
      <c r="K121" s="4">
        <f t="shared" si="16"/>
        <v>1.9399999999999977</v>
      </c>
      <c r="L121" s="4">
        <f t="shared" si="17"/>
        <v>90.703679793415432</v>
      </c>
      <c r="M121" s="4">
        <f t="shared" si="18"/>
        <v>0.10375000000000978</v>
      </c>
      <c r="N121" s="4">
        <f t="shared" si="19"/>
        <v>94.914215686274034</v>
      </c>
      <c r="O121" s="4" t="s">
        <v>105</v>
      </c>
      <c r="Q121" s="5">
        <v>45532</v>
      </c>
    </row>
    <row r="122" spans="1:17" ht="30" x14ac:dyDescent="0.25">
      <c r="A122" s="4">
        <v>1.3</v>
      </c>
      <c r="B122" s="4" t="s">
        <v>88</v>
      </c>
      <c r="C122" s="4">
        <v>1.97</v>
      </c>
      <c r="D122" s="4">
        <v>1</v>
      </c>
      <c r="E122" s="4">
        <v>68.78</v>
      </c>
      <c r="F122" s="4">
        <v>68.95</v>
      </c>
      <c r="G122" s="4">
        <f t="shared" si="15"/>
        <v>0.17000000000000171</v>
      </c>
      <c r="H122" s="4" t="s">
        <v>17</v>
      </c>
      <c r="I122" s="4">
        <v>71.34</v>
      </c>
      <c r="J122" s="4">
        <v>73.180000000000007</v>
      </c>
      <c r="K122" s="4">
        <f t="shared" si="16"/>
        <v>1.8400000000000034</v>
      </c>
      <c r="L122" s="4">
        <f t="shared" si="17"/>
        <v>90.691307323750792</v>
      </c>
      <c r="M122" s="4">
        <f t="shared" si="18"/>
        <v>0.14374999999999494</v>
      </c>
      <c r="N122" s="4">
        <f t="shared" si="19"/>
        <v>92.703045685279434</v>
      </c>
      <c r="O122" s="4" t="s">
        <v>105</v>
      </c>
      <c r="Q122" s="5">
        <v>45532</v>
      </c>
    </row>
    <row r="123" spans="1:17" ht="30" x14ac:dyDescent="0.25">
      <c r="A123" s="4">
        <v>5.3</v>
      </c>
      <c r="B123" s="4" t="s">
        <v>86</v>
      </c>
      <c r="C123" s="4">
        <v>2.0299999999999998</v>
      </c>
      <c r="D123" s="4">
        <v>5</v>
      </c>
      <c r="E123" s="4">
        <v>68.08</v>
      </c>
      <c r="F123" s="4">
        <v>68.53</v>
      </c>
      <c r="G123" s="4">
        <f t="shared" si="15"/>
        <v>0.45000000000000284</v>
      </c>
      <c r="H123" s="4" t="s">
        <v>25</v>
      </c>
      <c r="I123" s="4">
        <v>70.489999999999995</v>
      </c>
      <c r="J123" s="4">
        <v>72.16</v>
      </c>
      <c r="K123" s="4">
        <f t="shared" si="16"/>
        <v>1.6700000000000017</v>
      </c>
      <c r="L123" s="4">
        <f t="shared" si="17"/>
        <v>76.759199483537671</v>
      </c>
      <c r="M123" s="4">
        <f t="shared" si="18"/>
        <v>9.3749999999995337E-2</v>
      </c>
      <c r="N123" s="4">
        <f t="shared" si="19"/>
        <v>95.381773399015017</v>
      </c>
      <c r="O123" s="4" t="s">
        <v>105</v>
      </c>
      <c r="Q123" s="5">
        <v>45489</v>
      </c>
    </row>
    <row r="124" spans="1:17" ht="30" x14ac:dyDescent="0.25">
      <c r="A124" s="4">
        <v>6.3</v>
      </c>
      <c r="B124" s="4" t="s">
        <v>88</v>
      </c>
      <c r="C124" s="4">
        <v>2.0099999999999998</v>
      </c>
      <c r="D124" s="4">
        <v>6</v>
      </c>
      <c r="E124" s="4">
        <v>70.88</v>
      </c>
      <c r="F124" s="4">
        <v>70.97</v>
      </c>
      <c r="G124" s="4">
        <f t="shared" si="15"/>
        <v>9.0000000000003411E-2</v>
      </c>
      <c r="H124" s="4" t="s">
        <v>27</v>
      </c>
      <c r="I124" s="4">
        <v>69.92</v>
      </c>
      <c r="J124" s="4">
        <v>71.86</v>
      </c>
      <c r="K124" s="4">
        <f t="shared" si="16"/>
        <v>1.9399999999999977</v>
      </c>
      <c r="L124" s="4">
        <f t="shared" si="17"/>
        <v>95.125253893026212</v>
      </c>
      <c r="M124" s="4">
        <f t="shared" si="18"/>
        <v>0.16374999999999873</v>
      </c>
      <c r="N124" s="4">
        <f t="shared" si="19"/>
        <v>91.853233830845838</v>
      </c>
      <c r="O124" s="4" t="s">
        <v>105</v>
      </c>
      <c r="Q124" s="5">
        <v>45489</v>
      </c>
    </row>
    <row r="125" spans="1:17" ht="30" x14ac:dyDescent="0.25">
      <c r="A125" s="4">
        <v>7.3</v>
      </c>
      <c r="B125" s="4" t="s">
        <v>54</v>
      </c>
      <c r="C125" s="4">
        <v>1.97</v>
      </c>
      <c r="D125" s="4">
        <v>7</v>
      </c>
      <c r="E125" s="4">
        <v>71.34</v>
      </c>
      <c r="F125" s="4">
        <v>71.87</v>
      </c>
      <c r="G125" s="4">
        <f t="shared" si="15"/>
        <v>0.53000000000000114</v>
      </c>
      <c r="H125" s="4" t="s">
        <v>29</v>
      </c>
      <c r="I125" s="4">
        <v>70.959999999999994</v>
      </c>
      <c r="J125" s="4">
        <v>72.52</v>
      </c>
      <c r="K125" s="4">
        <f t="shared" si="16"/>
        <v>1.5600000000000023</v>
      </c>
      <c r="L125" s="4">
        <f t="shared" si="17"/>
        <v>72.1967213114754</v>
      </c>
      <c r="M125" s="4">
        <f t="shared" si="18"/>
        <v>6.3749999999996643E-2</v>
      </c>
      <c r="N125" s="4">
        <f t="shared" si="19"/>
        <v>96.763959390863121</v>
      </c>
      <c r="O125" s="4" t="s">
        <v>105</v>
      </c>
      <c r="Q125" s="5">
        <v>45489</v>
      </c>
    </row>
    <row r="126" spans="1:17" ht="30" x14ac:dyDescent="0.25">
      <c r="A126" s="4">
        <v>8.3000000000000007</v>
      </c>
      <c r="B126" s="4" t="s">
        <v>63</v>
      </c>
      <c r="C126" s="4">
        <v>1.98</v>
      </c>
      <c r="D126" s="4">
        <v>8</v>
      </c>
      <c r="E126" s="4">
        <v>71.489999999999995</v>
      </c>
      <c r="F126" s="4">
        <v>71.62</v>
      </c>
      <c r="G126" s="4">
        <f t="shared" si="15"/>
        <v>0.13000000000000966</v>
      </c>
      <c r="H126" s="4" t="s">
        <v>31</v>
      </c>
      <c r="I126" s="4">
        <v>70.680000000000007</v>
      </c>
      <c r="J126" s="4">
        <v>72.62</v>
      </c>
      <c r="K126" s="4">
        <f t="shared" si="16"/>
        <v>1.9399999999999977</v>
      </c>
      <c r="L126" s="4">
        <f t="shared" si="17"/>
        <v>93.108018555334169</v>
      </c>
      <c r="M126" s="4">
        <f t="shared" si="18"/>
        <v>9.3749999999992673E-2</v>
      </c>
      <c r="N126" s="4">
        <f t="shared" si="19"/>
        <v>95.265151515151885</v>
      </c>
      <c r="O126" s="4" t="s">
        <v>105</v>
      </c>
      <c r="Q126" s="5">
        <v>45489</v>
      </c>
    </row>
    <row r="127" spans="1:17" ht="30" x14ac:dyDescent="0.25">
      <c r="A127" s="4">
        <v>1.1000000000000001</v>
      </c>
      <c r="B127" s="4" t="s">
        <v>102</v>
      </c>
      <c r="C127" s="4">
        <v>2.0099999999999998</v>
      </c>
      <c r="D127" s="4">
        <v>1</v>
      </c>
      <c r="E127" s="4">
        <v>70.3</v>
      </c>
      <c r="F127" s="4">
        <v>70.709999999999994</v>
      </c>
      <c r="G127" s="4">
        <f t="shared" si="15"/>
        <v>0.40999999999999659</v>
      </c>
      <c r="H127" s="4" t="s">
        <v>17</v>
      </c>
      <c r="I127" s="4">
        <v>69.52</v>
      </c>
      <c r="J127" s="4">
        <v>71.150000000000006</v>
      </c>
      <c r="K127" s="4">
        <f t="shared" si="16"/>
        <v>1.6300000000000097</v>
      </c>
      <c r="L127" s="4">
        <f t="shared" si="17"/>
        <v>77.912457912458166</v>
      </c>
      <c r="M127" s="4">
        <f t="shared" si="18"/>
        <v>0.15374999999999361</v>
      </c>
      <c r="N127" s="4">
        <f t="shared" si="19"/>
        <v>92.350746268657034</v>
      </c>
      <c r="O127" s="4" t="s">
        <v>105</v>
      </c>
      <c r="Q127" s="5">
        <v>45491</v>
      </c>
    </row>
    <row r="128" spans="1:17" ht="30" x14ac:dyDescent="0.25">
      <c r="A128" s="4">
        <v>2.1</v>
      </c>
      <c r="B128" s="4" t="s">
        <v>20</v>
      </c>
      <c r="C128" s="4">
        <v>2.0299999999999998</v>
      </c>
      <c r="D128" s="4">
        <v>2</v>
      </c>
      <c r="E128" s="4">
        <v>69.97</v>
      </c>
      <c r="F128" s="4">
        <v>70.22</v>
      </c>
      <c r="G128" s="4">
        <f t="shared" si="15"/>
        <v>0.25</v>
      </c>
      <c r="H128" s="4" t="s">
        <v>19</v>
      </c>
      <c r="I128" s="4">
        <v>68.62</v>
      </c>
      <c r="J128" s="4">
        <v>70.42</v>
      </c>
      <c r="K128" s="4">
        <f t="shared" si="16"/>
        <v>1.7999999999999972</v>
      </c>
      <c r="L128" s="4">
        <f t="shared" si="17"/>
        <v>86.604152712659058</v>
      </c>
      <c r="M128" s="4">
        <f t="shared" si="18"/>
        <v>0.16375000000000273</v>
      </c>
      <c r="N128" s="4">
        <f t="shared" si="19"/>
        <v>91.93349753694568</v>
      </c>
      <c r="O128" s="4" t="s">
        <v>105</v>
      </c>
      <c r="Q128" s="5">
        <v>45491</v>
      </c>
    </row>
    <row r="129" spans="1:17" ht="30" x14ac:dyDescent="0.25">
      <c r="A129" s="4">
        <v>3.1</v>
      </c>
      <c r="B129" s="4" t="s">
        <v>39</v>
      </c>
      <c r="C129" s="4">
        <v>1.98</v>
      </c>
      <c r="D129" s="4">
        <v>3</v>
      </c>
      <c r="E129" s="4">
        <v>71.33</v>
      </c>
      <c r="F129" s="4">
        <v>71.95</v>
      </c>
      <c r="G129" s="4">
        <f t="shared" si="15"/>
        <v>0.62000000000000455</v>
      </c>
      <c r="H129" s="4" t="s">
        <v>21</v>
      </c>
      <c r="I129" s="4">
        <v>72.069999999999993</v>
      </c>
      <c r="J129" s="4">
        <v>73.45</v>
      </c>
      <c r="K129" s="4">
        <f t="shared" si="16"/>
        <v>1.3800000000000097</v>
      </c>
      <c r="L129" s="4">
        <f t="shared" si="17"/>
        <v>65.863730213351701</v>
      </c>
      <c r="M129" s="4">
        <f t="shared" si="18"/>
        <v>0.16374999999998585</v>
      </c>
      <c r="N129" s="4">
        <f t="shared" si="19"/>
        <v>91.729797979798704</v>
      </c>
      <c r="O129" s="4" t="s">
        <v>105</v>
      </c>
      <c r="Q129" s="5">
        <v>45491</v>
      </c>
    </row>
    <row r="130" spans="1:17" ht="30" x14ac:dyDescent="0.25">
      <c r="A130" s="4">
        <v>4.0999999999999996</v>
      </c>
      <c r="B130" s="4" t="s">
        <v>33</v>
      </c>
      <c r="C130" s="4">
        <v>1.98</v>
      </c>
      <c r="D130" s="4">
        <v>4</v>
      </c>
      <c r="E130" s="4">
        <v>69.38</v>
      </c>
      <c r="F130" s="4">
        <v>69.8</v>
      </c>
      <c r="G130" s="4">
        <f t="shared" ref="G130:G161" si="20">F130-E130</f>
        <v>0.42000000000000171</v>
      </c>
      <c r="H130" s="4" t="s">
        <v>23</v>
      </c>
      <c r="I130" s="4">
        <v>69.150000000000006</v>
      </c>
      <c r="J130" s="4">
        <v>70.739999999999995</v>
      </c>
      <c r="K130" s="4">
        <f t="shared" ref="K130:K161" si="21">J130-I130</f>
        <v>1.5899999999999892</v>
      </c>
      <c r="L130" s="4">
        <f t="shared" ref="L130:L161" si="22">((K130-$P$2)/(K130+G130-$P$2))*100</f>
        <v>77.002053388090147</v>
      </c>
      <c r="M130" s="4">
        <f t="shared" ref="M130:M161" si="23">C130-G130-(K130-$P$2)</f>
        <v>0.15375000000000916</v>
      </c>
      <c r="N130" s="4">
        <f t="shared" ref="N130:N142" si="24">((K130+G130-$P$2)/C130)*100</f>
        <v>92.234848484848015</v>
      </c>
      <c r="O130" s="4" t="s">
        <v>105</v>
      </c>
      <c r="Q130" s="5">
        <v>45491</v>
      </c>
    </row>
    <row r="131" spans="1:17" ht="30" x14ac:dyDescent="0.25">
      <c r="A131" s="4">
        <v>5.0999999999999996</v>
      </c>
      <c r="B131" s="4" t="s">
        <v>35</v>
      </c>
      <c r="C131" s="4">
        <v>1.98</v>
      </c>
      <c r="D131" s="4">
        <v>5</v>
      </c>
      <c r="E131" s="4">
        <v>68.010000000000005</v>
      </c>
      <c r="F131" s="4">
        <v>68.430000000000007</v>
      </c>
      <c r="G131" s="4">
        <f t="shared" si="20"/>
        <v>0.42000000000000171</v>
      </c>
      <c r="H131" s="4" t="s">
        <v>25</v>
      </c>
      <c r="I131" s="4">
        <v>70.03</v>
      </c>
      <c r="J131" s="4">
        <v>71.650000000000006</v>
      </c>
      <c r="K131" s="4">
        <f t="shared" si="21"/>
        <v>1.6200000000000045</v>
      </c>
      <c r="L131" s="4">
        <f t="shared" si="22"/>
        <v>77.373737373737356</v>
      </c>
      <c r="M131" s="4">
        <f t="shared" si="23"/>
        <v>0.12374999999999381</v>
      </c>
      <c r="N131" s="4">
        <f t="shared" si="24"/>
        <v>93.750000000000313</v>
      </c>
      <c r="O131" s="4" t="s">
        <v>105</v>
      </c>
      <c r="Q131" s="5">
        <v>45491</v>
      </c>
    </row>
    <row r="132" spans="1:17" ht="30" x14ac:dyDescent="0.25">
      <c r="A132" s="4">
        <v>6.1</v>
      </c>
      <c r="B132" s="4" t="s">
        <v>22</v>
      </c>
      <c r="C132" s="4">
        <v>1.98</v>
      </c>
      <c r="D132" s="4">
        <v>6</v>
      </c>
      <c r="E132" s="4">
        <v>70.5</v>
      </c>
      <c r="F132" s="4">
        <v>70.900000000000006</v>
      </c>
      <c r="G132" s="4">
        <f t="shared" si="20"/>
        <v>0.40000000000000568</v>
      </c>
      <c r="H132" s="4" t="s">
        <v>27</v>
      </c>
      <c r="I132" s="4">
        <v>70.48</v>
      </c>
      <c r="J132" s="4">
        <v>72.06</v>
      </c>
      <c r="K132" s="4">
        <f t="shared" si="21"/>
        <v>1.5799999999999983</v>
      </c>
      <c r="L132" s="4">
        <f t="shared" si="22"/>
        <v>77.731384829505643</v>
      </c>
      <c r="M132" s="4">
        <f t="shared" si="23"/>
        <v>0.18374999999999608</v>
      </c>
      <c r="N132" s="4">
        <f t="shared" si="24"/>
        <v>90.719696969697168</v>
      </c>
      <c r="O132" s="4" t="s">
        <v>105</v>
      </c>
      <c r="Q132" s="5">
        <v>45491</v>
      </c>
    </row>
    <row r="133" spans="1:17" ht="30" x14ac:dyDescent="0.25">
      <c r="A133" s="4">
        <v>7.1</v>
      </c>
      <c r="B133" s="4" t="s">
        <v>38</v>
      </c>
      <c r="C133" s="4">
        <v>2.0299999999999998</v>
      </c>
      <c r="D133" s="4">
        <v>7</v>
      </c>
      <c r="E133" s="4">
        <v>70.2</v>
      </c>
      <c r="F133" s="4">
        <v>70.53</v>
      </c>
      <c r="G133" s="4">
        <f t="shared" si="20"/>
        <v>0.32999999999999829</v>
      </c>
      <c r="H133" s="4" t="s">
        <v>29</v>
      </c>
      <c r="I133" s="4">
        <v>73.92</v>
      </c>
      <c r="J133" s="4">
        <v>75.680000000000007</v>
      </c>
      <c r="K133" s="4">
        <f t="shared" si="21"/>
        <v>1.7600000000000051</v>
      </c>
      <c r="L133" s="4">
        <f t="shared" si="22"/>
        <v>82.688524590164064</v>
      </c>
      <c r="M133" s="4">
        <f t="shared" si="23"/>
        <v>0.12374999999999647</v>
      </c>
      <c r="N133" s="4">
        <f t="shared" si="24"/>
        <v>93.903940886699672</v>
      </c>
      <c r="O133" s="4" t="s">
        <v>105</v>
      </c>
      <c r="Q133" s="5">
        <v>45491</v>
      </c>
    </row>
    <row r="134" spans="1:17" ht="30" x14ac:dyDescent="0.25">
      <c r="A134" s="4">
        <v>8.1</v>
      </c>
      <c r="B134" s="4" t="s">
        <v>101</v>
      </c>
      <c r="C134" s="4">
        <v>2</v>
      </c>
      <c r="D134" s="4">
        <v>8</v>
      </c>
      <c r="E134" s="4">
        <v>70.47</v>
      </c>
      <c r="F134" s="4">
        <v>70.88</v>
      </c>
      <c r="G134" s="4">
        <f t="shared" si="20"/>
        <v>0.40999999999999659</v>
      </c>
      <c r="H134" s="4" t="s">
        <v>31</v>
      </c>
      <c r="I134" s="4">
        <v>70.540000000000006</v>
      </c>
      <c r="J134" s="4">
        <v>72.2</v>
      </c>
      <c r="K134" s="4">
        <f t="shared" si="21"/>
        <v>1.6599999999999966</v>
      </c>
      <c r="L134" s="4">
        <f t="shared" si="22"/>
        <v>78.263750828363257</v>
      </c>
      <c r="M134" s="4">
        <f t="shared" si="23"/>
        <v>0.1137500000000069</v>
      </c>
      <c r="N134" s="4">
        <f t="shared" si="24"/>
        <v>94.312499999999659</v>
      </c>
      <c r="O134" s="4" t="s">
        <v>105</v>
      </c>
      <c r="Q134" s="5">
        <v>45491</v>
      </c>
    </row>
    <row r="135" spans="1:17" ht="30" x14ac:dyDescent="0.25">
      <c r="A135" s="4">
        <v>1.2</v>
      </c>
      <c r="B135" s="4" t="s">
        <v>104</v>
      </c>
      <c r="C135" s="4">
        <v>1.98</v>
      </c>
      <c r="D135" s="4">
        <v>1</v>
      </c>
      <c r="E135" s="4">
        <v>71.14</v>
      </c>
      <c r="F135" s="4">
        <v>71.8</v>
      </c>
      <c r="G135" s="4">
        <f t="shared" si="20"/>
        <v>0.65999999999999659</v>
      </c>
      <c r="H135" s="4" t="s">
        <v>17</v>
      </c>
      <c r="I135" s="4">
        <v>69.87</v>
      </c>
      <c r="J135" s="4">
        <v>71.28</v>
      </c>
      <c r="K135" s="4">
        <f t="shared" si="21"/>
        <v>1.4099999999999966</v>
      </c>
      <c r="L135" s="4">
        <f t="shared" si="22"/>
        <v>65.00994035785294</v>
      </c>
      <c r="M135" s="4">
        <f t="shared" si="23"/>
        <v>9.3750000000006883E-2</v>
      </c>
      <c r="N135" s="4">
        <f t="shared" si="24"/>
        <v>95.265151515151175</v>
      </c>
      <c r="O135" s="4" t="s">
        <v>105</v>
      </c>
      <c r="Q135" s="5">
        <v>45491</v>
      </c>
    </row>
    <row r="136" spans="1:17" ht="30" x14ac:dyDescent="0.25">
      <c r="A136" s="4">
        <v>2.2000000000000002</v>
      </c>
      <c r="B136" s="4" t="s">
        <v>18</v>
      </c>
      <c r="C136" s="4">
        <v>2.0299999999999998</v>
      </c>
      <c r="D136" s="4">
        <v>2</v>
      </c>
      <c r="E136" s="4">
        <v>71.22</v>
      </c>
      <c r="F136" s="4">
        <v>71.650000000000006</v>
      </c>
      <c r="G136" s="4">
        <f t="shared" si="20"/>
        <v>0.43000000000000682</v>
      </c>
      <c r="H136" s="4" t="s">
        <v>19</v>
      </c>
      <c r="I136" s="4">
        <v>68.58</v>
      </c>
      <c r="J136" s="4">
        <v>70.22</v>
      </c>
      <c r="K136" s="4">
        <f t="shared" si="21"/>
        <v>1.6400000000000006</v>
      </c>
      <c r="L136" s="4">
        <f t="shared" si="22"/>
        <v>77.203445990722059</v>
      </c>
      <c r="M136" s="4">
        <f t="shared" si="23"/>
        <v>0.14374999999999249</v>
      </c>
      <c r="N136" s="4">
        <f t="shared" si="24"/>
        <v>92.918719211823031</v>
      </c>
      <c r="O136" s="4" t="s">
        <v>105</v>
      </c>
      <c r="Q136" s="5">
        <v>45491</v>
      </c>
    </row>
    <row r="137" spans="1:17" ht="30" x14ac:dyDescent="0.25">
      <c r="A137" s="4">
        <v>3.2</v>
      </c>
      <c r="B137" s="4" t="s">
        <v>103</v>
      </c>
      <c r="C137" s="4">
        <v>1.98</v>
      </c>
      <c r="D137" s="4">
        <v>3</v>
      </c>
      <c r="E137" s="4">
        <v>70.099999999999994</v>
      </c>
      <c r="F137" s="4">
        <v>70.849999999999994</v>
      </c>
      <c r="G137" s="4">
        <f t="shared" si="20"/>
        <v>0.75</v>
      </c>
      <c r="H137" s="4" t="s">
        <v>21</v>
      </c>
      <c r="I137" s="4">
        <v>73.34</v>
      </c>
      <c r="J137" s="4">
        <v>74.680000000000007</v>
      </c>
      <c r="K137" s="4">
        <f t="shared" si="21"/>
        <v>1.3400000000000034</v>
      </c>
      <c r="L137" s="4">
        <f t="shared" si="22"/>
        <v>60.655737704918103</v>
      </c>
      <c r="M137" s="4">
        <f t="shared" si="23"/>
        <v>7.3749999999996652E-2</v>
      </c>
      <c r="N137" s="4">
        <f t="shared" si="24"/>
        <v>96.275252525252697</v>
      </c>
      <c r="O137" s="4" t="s">
        <v>105</v>
      </c>
      <c r="Q137" s="5">
        <v>45491</v>
      </c>
    </row>
    <row r="138" spans="1:17" ht="30" x14ac:dyDescent="0.25">
      <c r="A138" s="4">
        <v>4.2</v>
      </c>
      <c r="B138" s="4" t="s">
        <v>30</v>
      </c>
      <c r="C138" s="4">
        <v>1.97</v>
      </c>
      <c r="D138" s="4">
        <v>4</v>
      </c>
      <c r="E138" s="4">
        <v>69.03</v>
      </c>
      <c r="F138" s="4">
        <v>69.510000000000005</v>
      </c>
      <c r="G138" s="4">
        <f t="shared" si="20"/>
        <v>0.48000000000000398</v>
      </c>
      <c r="H138" s="4" t="s">
        <v>23</v>
      </c>
      <c r="I138" s="4">
        <v>69.62</v>
      </c>
      <c r="J138" s="4">
        <v>71.069999999999993</v>
      </c>
      <c r="K138" s="4">
        <f t="shared" si="21"/>
        <v>1.4499999999999886</v>
      </c>
      <c r="L138" s="4">
        <f t="shared" si="22"/>
        <v>72.512526843235165</v>
      </c>
      <c r="M138" s="4">
        <f t="shared" si="23"/>
        <v>0.22375000000000744</v>
      </c>
      <c r="N138" s="4">
        <f t="shared" si="24"/>
        <v>88.642131979695051</v>
      </c>
      <c r="O138" s="4" t="s">
        <v>105</v>
      </c>
      <c r="Q138" s="5">
        <v>45491</v>
      </c>
    </row>
    <row r="139" spans="1:17" ht="30" x14ac:dyDescent="0.25">
      <c r="A139" s="4">
        <v>5.2</v>
      </c>
      <c r="B139" s="4" t="s">
        <v>100</v>
      </c>
      <c r="C139" s="4">
        <v>2</v>
      </c>
      <c r="D139" s="4">
        <v>5</v>
      </c>
      <c r="E139" s="4">
        <v>69.73</v>
      </c>
      <c r="F139" s="4">
        <v>69.900000000000006</v>
      </c>
      <c r="G139" s="4">
        <f t="shared" si="20"/>
        <v>0.17000000000000171</v>
      </c>
      <c r="H139" s="4" t="s">
        <v>25</v>
      </c>
      <c r="I139" s="4">
        <v>71.48</v>
      </c>
      <c r="J139" s="4">
        <v>73.349999999999994</v>
      </c>
      <c r="K139" s="4">
        <f t="shared" si="21"/>
        <v>1.8699999999999903</v>
      </c>
      <c r="L139" s="4">
        <f t="shared" si="22"/>
        <v>90.841750841750709</v>
      </c>
      <c r="M139" s="4">
        <f t="shared" si="23"/>
        <v>0.14375000000000804</v>
      </c>
      <c r="N139" s="4">
        <f t="shared" si="24"/>
        <v>92.812499999999602</v>
      </c>
      <c r="O139" s="4" t="s">
        <v>105</v>
      </c>
      <c r="Q139" s="5">
        <v>45491</v>
      </c>
    </row>
    <row r="140" spans="1:17" ht="30" x14ac:dyDescent="0.25">
      <c r="A140" s="4">
        <v>6.2</v>
      </c>
      <c r="B140" s="4" t="s">
        <v>99</v>
      </c>
      <c r="C140" s="4">
        <v>1.97</v>
      </c>
      <c r="D140" s="4">
        <v>6</v>
      </c>
      <c r="E140" s="4">
        <v>69.099999999999994</v>
      </c>
      <c r="F140" s="4">
        <v>69.56</v>
      </c>
      <c r="G140" s="4">
        <f t="shared" si="20"/>
        <v>0.46000000000000796</v>
      </c>
      <c r="H140" s="4" t="s">
        <v>27</v>
      </c>
      <c r="I140" s="4">
        <v>68.63</v>
      </c>
      <c r="J140" s="4">
        <v>70.3</v>
      </c>
      <c r="K140" s="4">
        <f t="shared" si="21"/>
        <v>1.6700000000000017</v>
      </c>
      <c r="L140" s="4">
        <f t="shared" si="22"/>
        <v>76.364804110468555</v>
      </c>
      <c r="M140" s="4">
        <f t="shared" si="23"/>
        <v>2.374999999999039E-2</v>
      </c>
      <c r="N140" s="4">
        <f t="shared" si="24"/>
        <v>98.79441624365532</v>
      </c>
      <c r="O140" s="4" t="s">
        <v>105</v>
      </c>
      <c r="Q140" s="5">
        <v>45491</v>
      </c>
    </row>
    <row r="141" spans="1:17" ht="30" x14ac:dyDescent="0.25">
      <c r="A141" s="4">
        <v>7.2</v>
      </c>
      <c r="B141" s="4" t="s">
        <v>34</v>
      </c>
      <c r="C141" s="4">
        <v>1.96</v>
      </c>
      <c r="D141" s="4">
        <v>7</v>
      </c>
      <c r="E141" s="4">
        <v>68.77</v>
      </c>
      <c r="F141" s="4">
        <v>69.069999999999993</v>
      </c>
      <c r="G141" s="4">
        <f t="shared" si="20"/>
        <v>0.29999999999999716</v>
      </c>
      <c r="H141" s="4" t="s">
        <v>29</v>
      </c>
      <c r="I141" s="4">
        <v>69.14</v>
      </c>
      <c r="J141" s="4">
        <v>70.88</v>
      </c>
      <c r="K141" s="4">
        <f t="shared" si="21"/>
        <v>1.7399999999999949</v>
      </c>
      <c r="L141" s="4">
        <f t="shared" si="22"/>
        <v>83.838383838383919</v>
      </c>
      <c r="M141" s="4">
        <f t="shared" si="23"/>
        <v>0.103750000000008</v>
      </c>
      <c r="N141" s="4">
        <f t="shared" si="24"/>
        <v>94.706632653060822</v>
      </c>
      <c r="O141" s="4" t="s">
        <v>105</v>
      </c>
      <c r="Q141" s="5">
        <v>45491</v>
      </c>
    </row>
    <row r="142" spans="1:17" ht="30" x14ac:dyDescent="0.25">
      <c r="A142" s="4">
        <v>8.1999999999999993</v>
      </c>
      <c r="B142" s="4" t="s">
        <v>16</v>
      </c>
      <c r="C142" s="4">
        <v>2.0299999999999998</v>
      </c>
      <c r="D142" s="4">
        <v>8</v>
      </c>
      <c r="E142" s="4">
        <v>69.59</v>
      </c>
      <c r="F142" s="4">
        <v>69.83</v>
      </c>
      <c r="G142" s="4">
        <f t="shared" si="20"/>
        <v>0.23999999999999488</v>
      </c>
      <c r="H142" s="4" t="s">
        <v>31</v>
      </c>
      <c r="I142" s="4">
        <v>67.959999999999994</v>
      </c>
      <c r="J142" s="4">
        <v>69.84</v>
      </c>
      <c r="K142" s="4">
        <f t="shared" si="21"/>
        <v>1.8800000000000097</v>
      </c>
      <c r="L142" s="4">
        <f t="shared" si="22"/>
        <v>87.604906391220439</v>
      </c>
      <c r="M142" s="4">
        <f t="shared" si="23"/>
        <v>9.3749999999995337E-2</v>
      </c>
      <c r="N142" s="4">
        <f t="shared" si="24"/>
        <v>95.381773399015017</v>
      </c>
      <c r="O142" s="4" t="s">
        <v>105</v>
      </c>
      <c r="Q142" s="5">
        <v>45491</v>
      </c>
    </row>
    <row r="143" spans="1:17" ht="30" x14ac:dyDescent="0.25">
      <c r="A143" s="4">
        <v>1.1000000000000001</v>
      </c>
      <c r="B143" s="4" t="s">
        <v>42</v>
      </c>
      <c r="C143" s="4">
        <v>2</v>
      </c>
      <c r="D143" s="4">
        <v>1</v>
      </c>
      <c r="E143" s="4">
        <v>69.03</v>
      </c>
      <c r="F143" s="4">
        <v>69.16</v>
      </c>
      <c r="G143" s="4">
        <v>0.12999999999999545</v>
      </c>
      <c r="H143" s="4" t="s">
        <v>17</v>
      </c>
      <c r="I143" s="4">
        <v>70.19</v>
      </c>
      <c r="J143" s="4">
        <v>72.099999999999994</v>
      </c>
      <c r="K143" s="4">
        <v>1.9099999999999966</v>
      </c>
      <c r="L143" s="4">
        <v>92.99663299663321</v>
      </c>
      <c r="M143" s="4">
        <f t="shared" si="23"/>
        <v>0.14375000000000804</v>
      </c>
      <c r="N143" s="4">
        <v>92.812499999999602</v>
      </c>
      <c r="O143" s="4" t="s">
        <v>105</v>
      </c>
      <c r="Q143" s="5">
        <v>45498</v>
      </c>
    </row>
    <row r="144" spans="1:17" ht="30" x14ac:dyDescent="0.25">
      <c r="A144" s="4">
        <v>2.1</v>
      </c>
      <c r="B144" s="4" t="s">
        <v>96</v>
      </c>
      <c r="C144" s="4">
        <v>2.0299999999999998</v>
      </c>
      <c r="D144" s="4">
        <v>2</v>
      </c>
      <c r="E144" s="4">
        <v>68.58</v>
      </c>
      <c r="F144" s="4">
        <v>69.209999999999994</v>
      </c>
      <c r="G144" s="4">
        <v>0.62999999999999545</v>
      </c>
      <c r="H144" s="4" t="s">
        <v>19</v>
      </c>
      <c r="I144" s="4">
        <v>70.489999999999995</v>
      </c>
      <c r="J144" s="4">
        <v>71.930000000000007</v>
      </c>
      <c r="K144" s="4">
        <v>1.4400000000000119</v>
      </c>
      <c r="L144" s="4">
        <v>66.600397614314488</v>
      </c>
      <c r="M144" s="4">
        <f t="shared" si="23"/>
        <v>0.14374999999999249</v>
      </c>
      <c r="N144" s="4">
        <v>92.918719211823031</v>
      </c>
      <c r="O144" s="4" t="s">
        <v>105</v>
      </c>
      <c r="Q144" s="5">
        <v>45498</v>
      </c>
    </row>
    <row r="145" spans="1:17" ht="30" x14ac:dyDescent="0.25">
      <c r="A145" s="4">
        <v>3.1</v>
      </c>
      <c r="B145" s="4" t="s">
        <v>94</v>
      </c>
      <c r="C145" s="4">
        <v>2.0099999999999998</v>
      </c>
      <c r="D145" s="4">
        <v>3</v>
      </c>
      <c r="E145" s="4">
        <v>67.959999999999994</v>
      </c>
      <c r="F145" s="4">
        <v>68.290000000000006</v>
      </c>
      <c r="G145" s="4">
        <v>0.33000000000001251</v>
      </c>
      <c r="H145" s="4" t="s">
        <v>21</v>
      </c>
      <c r="I145" s="4">
        <v>73.34</v>
      </c>
      <c r="J145" s="4">
        <v>75.040000000000006</v>
      </c>
      <c r="K145" s="4">
        <v>1.7000000000000028</v>
      </c>
      <c r="L145" s="4">
        <v>82.125930941096286</v>
      </c>
      <c r="M145" s="4">
        <f t="shared" si="23"/>
        <v>0.16374999999998452</v>
      </c>
      <c r="N145" s="4">
        <v>91.853233830846534</v>
      </c>
      <c r="O145" s="4" t="s">
        <v>105</v>
      </c>
      <c r="Q145" s="5">
        <v>45498</v>
      </c>
    </row>
    <row r="146" spans="1:17" ht="30" x14ac:dyDescent="0.25">
      <c r="A146" s="4">
        <v>4.0999999999999996</v>
      </c>
      <c r="B146" s="4" t="s">
        <v>95</v>
      </c>
      <c r="C146" s="4">
        <v>1.99</v>
      </c>
      <c r="D146" s="4">
        <v>4</v>
      </c>
      <c r="E146" s="4">
        <v>71.489999999999995</v>
      </c>
      <c r="F146" s="4">
        <v>72.36</v>
      </c>
      <c r="G146" s="4">
        <v>0.87000000000000455</v>
      </c>
      <c r="H146" s="4" t="s">
        <v>23</v>
      </c>
      <c r="I146" s="4">
        <v>72.069999999999993</v>
      </c>
      <c r="J146" s="4">
        <v>73.25</v>
      </c>
      <c r="K146" s="4">
        <v>1.1800000000000068</v>
      </c>
      <c r="L146" s="4">
        <v>53.382451440053622</v>
      </c>
      <c r="M146" s="4">
        <f t="shared" si="23"/>
        <v>0.12374999999998859</v>
      </c>
      <c r="N146" s="4">
        <v>93.781407035176443</v>
      </c>
      <c r="O146" s="4" t="s">
        <v>105</v>
      </c>
      <c r="Q146" s="5">
        <v>45498</v>
      </c>
    </row>
    <row r="147" spans="1:17" ht="30" x14ac:dyDescent="0.25">
      <c r="A147" s="4">
        <v>5.0999999999999996</v>
      </c>
      <c r="B147" s="4" t="s">
        <v>41</v>
      </c>
      <c r="C147" s="4">
        <v>1.96</v>
      </c>
      <c r="D147" s="4">
        <v>5</v>
      </c>
      <c r="E147" s="4">
        <v>71.33</v>
      </c>
      <c r="F147" s="4">
        <v>71.650000000000006</v>
      </c>
      <c r="G147" s="4">
        <v>0.32000000000000739</v>
      </c>
      <c r="H147" s="4" t="s">
        <v>25</v>
      </c>
      <c r="I147" s="4">
        <v>69.709999999999994</v>
      </c>
      <c r="J147" s="4">
        <v>71.349999999999994</v>
      </c>
      <c r="K147" s="4">
        <v>1.6400000000000006</v>
      </c>
      <c r="L147" s="4">
        <v>81.984517945108735</v>
      </c>
      <c r="M147" s="4">
        <f t="shared" si="23"/>
        <v>0.18374999999999209</v>
      </c>
      <c r="N147" s="4">
        <v>90.625000000000398</v>
      </c>
      <c r="O147" s="4" t="s">
        <v>105</v>
      </c>
      <c r="Q147" s="5">
        <v>45498</v>
      </c>
    </row>
    <row r="148" spans="1:17" ht="30" x14ac:dyDescent="0.25">
      <c r="A148" s="4">
        <v>6.1</v>
      </c>
      <c r="B148" s="4" t="s">
        <v>26</v>
      </c>
      <c r="C148" s="4">
        <v>2.0099999999999998</v>
      </c>
      <c r="D148" s="4">
        <v>6</v>
      </c>
      <c r="E148" s="4">
        <v>69.88</v>
      </c>
      <c r="F148" s="4">
        <v>70.540000000000006</v>
      </c>
      <c r="G148" s="4">
        <v>0.6600000000000108</v>
      </c>
      <c r="H148" s="4" t="s">
        <v>27</v>
      </c>
      <c r="I148" s="4">
        <v>69.97</v>
      </c>
      <c r="J148" s="4">
        <v>71.37</v>
      </c>
      <c r="K148" s="4">
        <v>1.4000000000000057</v>
      </c>
      <c r="L148" s="4">
        <v>64.823451032644627</v>
      </c>
      <c r="M148" s="4">
        <f t="shared" si="23"/>
        <v>0.13374999999998338</v>
      </c>
      <c r="N148" s="4">
        <v>93.345771144279439</v>
      </c>
      <c r="O148" s="4" t="s">
        <v>105</v>
      </c>
      <c r="Q148" s="5">
        <v>45498</v>
      </c>
    </row>
    <row r="149" spans="1:17" ht="30" x14ac:dyDescent="0.25">
      <c r="A149" s="4">
        <v>7.1</v>
      </c>
      <c r="B149" s="4" t="s">
        <v>84</v>
      </c>
      <c r="C149" s="4">
        <v>2.04</v>
      </c>
      <c r="D149" s="4">
        <v>7</v>
      </c>
      <c r="E149" s="4">
        <v>70.31</v>
      </c>
      <c r="F149" s="4">
        <v>70.760000000000005</v>
      </c>
      <c r="G149" s="4">
        <v>0.45000000000000284</v>
      </c>
      <c r="H149" s="4" t="s">
        <v>29</v>
      </c>
      <c r="I149" s="4">
        <v>68.760000000000005</v>
      </c>
      <c r="J149" s="4">
        <v>70.430000000000007</v>
      </c>
      <c r="K149" s="4">
        <v>1.6700000000000017</v>
      </c>
      <c r="L149" s="4">
        <v>76.759199483537671</v>
      </c>
      <c r="M149" s="4">
        <f t="shared" si="23"/>
        <v>0.10374999999999557</v>
      </c>
      <c r="N149" s="4">
        <v>94.91421568627473</v>
      </c>
      <c r="O149" s="4" t="s">
        <v>105</v>
      </c>
      <c r="Q149" s="5">
        <v>45498</v>
      </c>
    </row>
    <row r="150" spans="1:17" ht="30" x14ac:dyDescent="0.25">
      <c r="A150" s="4">
        <v>8.1</v>
      </c>
      <c r="B150" s="4" t="s">
        <v>93</v>
      </c>
      <c r="C150" s="4">
        <v>2.0099999999999998</v>
      </c>
      <c r="D150" s="4">
        <v>8</v>
      </c>
      <c r="E150" s="4">
        <v>68.62</v>
      </c>
      <c r="F150" s="4">
        <v>68.81</v>
      </c>
      <c r="G150" s="4">
        <v>0.18999999999999773</v>
      </c>
      <c r="H150" s="4" t="s">
        <v>31</v>
      </c>
      <c r="I150" s="4">
        <v>70.48</v>
      </c>
      <c r="J150" s="4">
        <v>72.27</v>
      </c>
      <c r="K150" s="4">
        <v>1.789999999999992</v>
      </c>
      <c r="L150" s="4">
        <v>89.422407794015385</v>
      </c>
      <c r="M150" s="4">
        <f t="shared" si="23"/>
        <v>0.2137500000000101</v>
      </c>
      <c r="N150" s="4">
        <v>89.365671641790541</v>
      </c>
      <c r="O150" s="4" t="s">
        <v>105</v>
      </c>
      <c r="Q150" s="5">
        <v>45498</v>
      </c>
    </row>
    <row r="151" spans="1:17" ht="30" x14ac:dyDescent="0.25">
      <c r="A151" s="4">
        <v>1.2</v>
      </c>
      <c r="B151" s="4" t="s">
        <v>90</v>
      </c>
      <c r="C151" s="4">
        <v>1.98</v>
      </c>
      <c r="D151" s="4">
        <v>1</v>
      </c>
      <c r="E151" s="4">
        <v>69.150000000000006</v>
      </c>
      <c r="F151" s="4">
        <v>69.77</v>
      </c>
      <c r="G151" s="4">
        <v>0.61999999999999034</v>
      </c>
      <c r="H151" s="4" t="s">
        <v>17</v>
      </c>
      <c r="I151" s="4">
        <v>70.03</v>
      </c>
      <c r="J151" s="4">
        <v>71.459999999999994</v>
      </c>
      <c r="K151" s="4">
        <v>1.4299999999999926</v>
      </c>
      <c r="L151" s="4">
        <v>66.778298727394727</v>
      </c>
      <c r="M151" s="4">
        <f t="shared" si="23"/>
        <v>0.11375000000001712</v>
      </c>
      <c r="N151" s="4">
        <v>94.255050505049638</v>
      </c>
      <c r="O151" s="4" t="s">
        <v>105</v>
      </c>
      <c r="Q151" s="5">
        <v>45498</v>
      </c>
    </row>
    <row r="152" spans="1:17" ht="30" x14ac:dyDescent="0.25">
      <c r="A152" s="4">
        <v>2.2000000000000002</v>
      </c>
      <c r="B152" s="4" t="s">
        <v>40</v>
      </c>
      <c r="C152" s="4">
        <v>2.02</v>
      </c>
      <c r="D152" s="4">
        <v>2</v>
      </c>
      <c r="E152" s="4">
        <v>69.38</v>
      </c>
      <c r="F152" s="4">
        <v>69.959999999999994</v>
      </c>
      <c r="G152" s="4">
        <v>0.57999999999999829</v>
      </c>
      <c r="H152" s="4" t="s">
        <v>19</v>
      </c>
      <c r="I152" s="4">
        <v>70.540000000000006</v>
      </c>
      <c r="J152" s="4">
        <v>72.03</v>
      </c>
      <c r="K152" s="4">
        <v>1.4899999999999949</v>
      </c>
      <c r="L152" s="4">
        <v>69.251159708416139</v>
      </c>
      <c r="M152" s="4">
        <f t="shared" si="23"/>
        <v>0.13375000000000692</v>
      </c>
      <c r="N152" s="4">
        <v>93.37871287128678</v>
      </c>
      <c r="O152" s="4" t="s">
        <v>105</v>
      </c>
      <c r="Q152" s="5">
        <v>45498</v>
      </c>
    </row>
    <row r="153" spans="1:17" ht="30" x14ac:dyDescent="0.25">
      <c r="A153" s="4">
        <v>3.2</v>
      </c>
      <c r="B153" s="4" t="s">
        <v>92</v>
      </c>
      <c r="C153" s="4">
        <v>2.04</v>
      </c>
      <c r="D153" s="4">
        <v>3</v>
      </c>
      <c r="E153" s="4">
        <v>69.63</v>
      </c>
      <c r="F153" s="4">
        <v>69.84</v>
      </c>
      <c r="G153" s="4">
        <v>0.21000000000000796</v>
      </c>
      <c r="H153" s="4" t="s">
        <v>21</v>
      </c>
      <c r="I153" s="4">
        <v>69.099999999999994</v>
      </c>
      <c r="J153" s="4">
        <v>70.97</v>
      </c>
      <c r="K153" s="4">
        <v>1.8700000000000045</v>
      </c>
      <c r="L153" s="4">
        <v>88.925510876730044</v>
      </c>
      <c r="M153" s="4">
        <f t="shared" si="23"/>
        <v>0.14374999999998761</v>
      </c>
      <c r="N153" s="4">
        <v>92.953431372549616</v>
      </c>
      <c r="O153" s="4" t="s">
        <v>105</v>
      </c>
      <c r="Q153" s="5">
        <v>45498</v>
      </c>
    </row>
    <row r="154" spans="1:17" ht="30" x14ac:dyDescent="0.25">
      <c r="A154" s="4">
        <v>4.2</v>
      </c>
      <c r="B154" s="4" t="s">
        <v>89</v>
      </c>
      <c r="C154" s="4">
        <v>2.0099999999999998</v>
      </c>
      <c r="D154" s="4">
        <v>4</v>
      </c>
      <c r="E154" s="4">
        <v>69.150000000000006</v>
      </c>
      <c r="F154" s="4">
        <v>69.319999999999993</v>
      </c>
      <c r="G154" s="4">
        <v>0.16999999999998749</v>
      </c>
      <c r="H154" s="4" t="s">
        <v>23</v>
      </c>
      <c r="I154" s="4">
        <v>71.13</v>
      </c>
      <c r="J154" s="4">
        <v>73.02</v>
      </c>
      <c r="K154" s="4">
        <v>1.8900000000000006</v>
      </c>
      <c r="L154" s="4">
        <v>90.939373750833383</v>
      </c>
      <c r="M154" s="4">
        <f t="shared" si="23"/>
        <v>0.1337500000000118</v>
      </c>
      <c r="N154" s="4">
        <v>93.345771144278018</v>
      </c>
      <c r="O154" s="4" t="s">
        <v>105</v>
      </c>
      <c r="Q154" s="5">
        <v>45498</v>
      </c>
    </row>
    <row r="155" spans="1:17" ht="30" x14ac:dyDescent="0.25">
      <c r="A155" s="4">
        <v>5.2</v>
      </c>
      <c r="B155" s="4" t="s">
        <v>43</v>
      </c>
      <c r="C155" s="4">
        <v>2.02</v>
      </c>
      <c r="D155" s="4">
        <v>5</v>
      </c>
      <c r="E155" s="4">
        <v>68.010000000000005</v>
      </c>
      <c r="F155" s="4">
        <v>68.680000000000007</v>
      </c>
      <c r="G155" s="4">
        <v>0.67000000000000171</v>
      </c>
      <c r="H155" s="4" t="s">
        <v>25</v>
      </c>
      <c r="I155" s="4">
        <v>68.64</v>
      </c>
      <c r="J155" s="4">
        <v>70.069999999999993</v>
      </c>
      <c r="K155" s="4">
        <v>1.4299999999999926</v>
      </c>
      <c r="L155" s="4">
        <v>65.035877364644293</v>
      </c>
      <c r="M155" s="4">
        <f t="shared" si="23"/>
        <v>0.10375000000000578</v>
      </c>
      <c r="N155" s="4">
        <v>94.863861386138325</v>
      </c>
      <c r="O155" s="4" t="s">
        <v>105</v>
      </c>
      <c r="Q155" s="5">
        <v>45498</v>
      </c>
    </row>
    <row r="156" spans="1:17" ht="30" x14ac:dyDescent="0.25">
      <c r="A156" s="4">
        <v>6.2</v>
      </c>
      <c r="B156" s="4" t="s">
        <v>91</v>
      </c>
      <c r="C156" s="4">
        <v>2.04</v>
      </c>
      <c r="D156" s="4">
        <v>6</v>
      </c>
      <c r="E156" s="4">
        <v>70.099999999999994</v>
      </c>
      <c r="F156" s="4">
        <v>70.25</v>
      </c>
      <c r="G156" s="4">
        <v>0.15000000000000568</v>
      </c>
      <c r="H156" s="4" t="s">
        <v>27</v>
      </c>
      <c r="I156" s="4">
        <v>71.209999999999994</v>
      </c>
      <c r="J156" s="4">
        <v>73.14</v>
      </c>
      <c r="K156" s="4">
        <v>1.9300000000000068</v>
      </c>
      <c r="L156" s="4">
        <v>92.089650626235738</v>
      </c>
      <c r="M156" s="4">
        <f t="shared" si="23"/>
        <v>0.14374999999998761</v>
      </c>
      <c r="N156" s="4">
        <v>92.953431372549616</v>
      </c>
      <c r="O156" s="4" t="s">
        <v>105</v>
      </c>
      <c r="Q156" s="5">
        <v>45498</v>
      </c>
    </row>
    <row r="157" spans="1:17" ht="30" x14ac:dyDescent="0.25">
      <c r="A157" s="4">
        <v>7.2</v>
      </c>
      <c r="B157" s="4" t="s">
        <v>83</v>
      </c>
      <c r="C157" s="4">
        <v>2.02</v>
      </c>
      <c r="D157" s="4">
        <v>7</v>
      </c>
      <c r="E157" s="4">
        <v>70.47</v>
      </c>
      <c r="F157" s="4">
        <v>70.62</v>
      </c>
      <c r="G157" s="4">
        <v>0.15000000000000568</v>
      </c>
      <c r="H157" s="4" t="s">
        <v>29</v>
      </c>
      <c r="I157" s="4">
        <v>69.59</v>
      </c>
      <c r="J157" s="4">
        <v>71.489999999999995</v>
      </c>
      <c r="K157" s="4">
        <v>1.8999999999999915</v>
      </c>
      <c r="L157" s="4">
        <v>91.962491627595128</v>
      </c>
      <c r="M157" s="4">
        <f t="shared" si="23"/>
        <v>0.15375000000000294</v>
      </c>
      <c r="N157" s="4">
        <v>92.388613861385991</v>
      </c>
      <c r="O157" s="4" t="s">
        <v>105</v>
      </c>
      <c r="Q157" s="5">
        <v>45498</v>
      </c>
    </row>
    <row r="158" spans="1:17" ht="30" x14ac:dyDescent="0.25">
      <c r="A158" s="4">
        <v>8.1999999999999993</v>
      </c>
      <c r="B158" s="4" t="s">
        <v>36</v>
      </c>
      <c r="C158" s="4">
        <v>2.0099999999999998</v>
      </c>
      <c r="D158" s="4">
        <v>8</v>
      </c>
      <c r="E158" s="4">
        <v>69.53</v>
      </c>
      <c r="F158" s="4">
        <v>69.63</v>
      </c>
      <c r="G158" s="4">
        <v>9.9999999999994316E-2</v>
      </c>
      <c r="H158" s="4" t="s">
        <v>31</v>
      </c>
      <c r="I158" s="4">
        <v>73.92</v>
      </c>
      <c r="J158" s="4">
        <v>75.87</v>
      </c>
      <c r="K158" s="4">
        <v>1.9500000000000028</v>
      </c>
      <c r="L158" s="4">
        <v>94.641661085063916</v>
      </c>
      <c r="M158" s="4">
        <f t="shared" si="23"/>
        <v>0.14375000000000271</v>
      </c>
      <c r="N158" s="4">
        <v>92.848258706467519</v>
      </c>
      <c r="O158" s="4" t="s">
        <v>105</v>
      </c>
      <c r="Q158" s="5">
        <v>45498</v>
      </c>
    </row>
    <row r="159" spans="1:17" ht="30" x14ac:dyDescent="0.25">
      <c r="A159" s="4">
        <v>1.3</v>
      </c>
      <c r="B159" s="4" t="s">
        <v>80</v>
      </c>
      <c r="C159" s="4">
        <v>2.0099999999999998</v>
      </c>
      <c r="D159" s="4">
        <v>1</v>
      </c>
      <c r="E159" s="4">
        <v>70</v>
      </c>
      <c r="F159" s="4">
        <v>70.53</v>
      </c>
      <c r="G159" s="4">
        <v>0.53000000000000114</v>
      </c>
      <c r="H159" s="4" t="s">
        <v>17</v>
      </c>
      <c r="I159" s="4">
        <v>69.38</v>
      </c>
      <c r="J159" s="4">
        <v>70.95</v>
      </c>
      <c r="K159" s="4">
        <v>1.5700000000000074</v>
      </c>
      <c r="L159" s="4">
        <v>72.341813437703905</v>
      </c>
      <c r="M159" s="4">
        <f t="shared" si="23"/>
        <v>9.374999999999134E-2</v>
      </c>
      <c r="N159" s="4">
        <v>95.335820895522815</v>
      </c>
      <c r="O159" s="4" t="s">
        <v>105</v>
      </c>
      <c r="Q159" s="5">
        <v>45498</v>
      </c>
    </row>
    <row r="160" spans="1:17" ht="30" x14ac:dyDescent="0.25">
      <c r="A160" s="4">
        <v>2.2999999999999998</v>
      </c>
      <c r="B160" s="4" t="s">
        <v>79</v>
      </c>
      <c r="C160" s="4">
        <v>1.99</v>
      </c>
      <c r="D160" s="4">
        <v>2</v>
      </c>
      <c r="E160" s="4">
        <v>69.099999999999994</v>
      </c>
      <c r="F160" s="4">
        <v>69.650000000000006</v>
      </c>
      <c r="G160" s="4">
        <v>0.55000000000001137</v>
      </c>
      <c r="H160" s="4" t="s">
        <v>19</v>
      </c>
      <c r="I160" s="4">
        <v>70.680000000000007</v>
      </c>
      <c r="J160" s="4">
        <v>72.19</v>
      </c>
      <c r="K160" s="4">
        <v>1.5099999999999909</v>
      </c>
      <c r="L160" s="4">
        <v>70.686209193870184</v>
      </c>
      <c r="M160" s="4">
        <f t="shared" si="23"/>
        <v>0.1137499999999978</v>
      </c>
      <c r="N160" s="4">
        <v>94.283919597990064</v>
      </c>
      <c r="O160" s="4" t="s">
        <v>105</v>
      </c>
      <c r="Q160" s="5">
        <v>45498</v>
      </c>
    </row>
    <row r="161" spans="1:17" ht="30" x14ac:dyDescent="0.25">
      <c r="A161" s="4">
        <v>3.3</v>
      </c>
      <c r="B161" s="4" t="s">
        <v>98</v>
      </c>
      <c r="C161" s="4">
        <v>2.02</v>
      </c>
      <c r="D161" s="4">
        <v>3</v>
      </c>
      <c r="E161" s="4">
        <v>71.34</v>
      </c>
      <c r="F161" s="4">
        <v>71.63</v>
      </c>
      <c r="G161" s="4">
        <v>0.28999999999999204</v>
      </c>
      <c r="H161" s="4" t="s">
        <v>21</v>
      </c>
      <c r="I161" s="4">
        <v>70.64</v>
      </c>
      <c r="J161" s="4">
        <v>72.430000000000007</v>
      </c>
      <c r="K161" s="4">
        <v>1.7900000000000063</v>
      </c>
      <c r="L161" s="4">
        <v>84.706657877389986</v>
      </c>
      <c r="M161" s="4">
        <f t="shared" si="23"/>
        <v>0.1237500000000018</v>
      </c>
      <c r="N161" s="4">
        <v>93.873762376237536</v>
      </c>
      <c r="O161" s="4" t="s">
        <v>105</v>
      </c>
      <c r="Q161" s="5">
        <v>45498</v>
      </c>
    </row>
    <row r="162" spans="1:17" ht="30" x14ac:dyDescent="0.25">
      <c r="A162" s="4">
        <v>4.3</v>
      </c>
      <c r="B162" s="4" t="s">
        <v>97</v>
      </c>
      <c r="C162" s="4">
        <v>1.97</v>
      </c>
      <c r="D162" s="4">
        <v>4</v>
      </c>
      <c r="E162" s="4">
        <v>69.64</v>
      </c>
      <c r="F162" s="4">
        <v>70.010000000000005</v>
      </c>
      <c r="G162" s="4">
        <v>0.37000000000000455</v>
      </c>
      <c r="H162" s="4" t="s">
        <v>23</v>
      </c>
      <c r="I162" s="4">
        <v>70.91</v>
      </c>
      <c r="J162" s="4">
        <v>72.540000000000006</v>
      </c>
      <c r="K162" s="4">
        <v>1.6300000000000097</v>
      </c>
      <c r="L162" s="4">
        <v>79.628355127322692</v>
      </c>
      <c r="M162" s="4">
        <f t="shared" ref="M162:M198" si="25">C162-G162-(K162-$P$2)</f>
        <v>0.15374999999998584</v>
      </c>
      <c r="N162" s="4">
        <v>92.195431472081935</v>
      </c>
      <c r="O162" s="4" t="s">
        <v>105</v>
      </c>
      <c r="Q162" s="5">
        <v>45498</v>
      </c>
    </row>
    <row r="163" spans="1:17" ht="30" x14ac:dyDescent="0.25">
      <c r="A163" s="4">
        <v>5.3</v>
      </c>
      <c r="B163" s="4" t="s">
        <v>24</v>
      </c>
      <c r="C163" s="4">
        <v>2.02</v>
      </c>
      <c r="D163" s="4">
        <v>5</v>
      </c>
      <c r="E163" s="4">
        <v>70.11</v>
      </c>
      <c r="F163" s="4">
        <v>70.319999999999993</v>
      </c>
      <c r="G163" s="4">
        <v>0.20999999999999375</v>
      </c>
      <c r="H163" s="4" t="s">
        <v>25</v>
      </c>
      <c r="I163" s="4">
        <v>70.89</v>
      </c>
      <c r="J163" s="4">
        <v>72.58</v>
      </c>
      <c r="K163" s="4">
        <v>1.6899999999999977</v>
      </c>
      <c r="L163" s="4">
        <v>87.764020393299646</v>
      </c>
      <c r="M163" s="4">
        <f t="shared" si="25"/>
        <v>0.30375000000000862</v>
      </c>
      <c r="N163" s="4">
        <v>84.96287128712828</v>
      </c>
      <c r="O163" s="4" t="s">
        <v>105</v>
      </c>
      <c r="Q163" s="5">
        <v>45498</v>
      </c>
    </row>
    <row r="164" spans="1:17" ht="30" x14ac:dyDescent="0.25">
      <c r="A164" s="4">
        <v>6.3</v>
      </c>
      <c r="B164" s="4" t="s">
        <v>32</v>
      </c>
      <c r="C164" s="4">
        <v>2.0299999999999998</v>
      </c>
      <c r="D164" s="4">
        <v>6</v>
      </c>
      <c r="E164" s="4">
        <v>70.77</v>
      </c>
      <c r="F164" s="4">
        <v>71.02</v>
      </c>
      <c r="G164" s="4">
        <v>0.25</v>
      </c>
      <c r="H164" s="4" t="s">
        <v>27</v>
      </c>
      <c r="I164" s="4">
        <v>67.930000000000007</v>
      </c>
      <c r="J164" s="4">
        <v>69.8</v>
      </c>
      <c r="K164" s="4">
        <v>1.8699999999999903</v>
      </c>
      <c r="L164" s="4">
        <v>87.088444157520911</v>
      </c>
      <c r="M164" s="4">
        <f t="shared" si="25"/>
        <v>9.3750000000009548E-2</v>
      </c>
      <c r="N164" s="4">
        <v>95.381773399014307</v>
      </c>
      <c r="O164" s="4" t="s">
        <v>105</v>
      </c>
      <c r="Q164" s="5">
        <v>45498</v>
      </c>
    </row>
    <row r="165" spans="1:17" ht="30" x14ac:dyDescent="0.25">
      <c r="A165" s="4">
        <v>7.3</v>
      </c>
      <c r="B165" s="4" t="s">
        <v>81</v>
      </c>
      <c r="C165" s="4">
        <v>1.96</v>
      </c>
      <c r="D165" s="4">
        <v>7</v>
      </c>
      <c r="E165" s="4">
        <v>69.2</v>
      </c>
      <c r="F165" s="4">
        <v>69.38</v>
      </c>
      <c r="G165" s="4">
        <v>0.17999999999999261</v>
      </c>
      <c r="H165" s="4" t="s">
        <v>29</v>
      </c>
      <c r="I165" s="4">
        <v>70.489999999999995</v>
      </c>
      <c r="J165" s="4">
        <v>72.31</v>
      </c>
      <c r="K165" s="4">
        <v>1.8200000000000074</v>
      </c>
      <c r="L165" s="4">
        <v>90.089470061941228</v>
      </c>
      <c r="M165" s="4">
        <f t="shared" si="25"/>
        <v>0.14375000000000004</v>
      </c>
      <c r="N165" s="4">
        <v>92.665816326530617</v>
      </c>
      <c r="O165" s="4" t="s">
        <v>105</v>
      </c>
      <c r="Q165" s="5">
        <v>45498</v>
      </c>
    </row>
    <row r="166" spans="1:17" ht="30" x14ac:dyDescent="0.25">
      <c r="A166" s="4">
        <v>8.3000000000000007</v>
      </c>
      <c r="B166" s="4" t="s">
        <v>85</v>
      </c>
      <c r="C166" s="4">
        <v>2.02</v>
      </c>
      <c r="D166" s="4">
        <v>8</v>
      </c>
      <c r="E166" s="4">
        <v>70.930000000000007</v>
      </c>
      <c r="F166" s="4">
        <v>71.319999999999993</v>
      </c>
      <c r="G166" s="4">
        <v>0.38999999999998636</v>
      </c>
      <c r="H166" s="4" t="s">
        <v>31</v>
      </c>
      <c r="I166" s="4">
        <v>70.8</v>
      </c>
      <c r="J166" s="4">
        <v>72.349999999999994</v>
      </c>
      <c r="K166" s="4">
        <v>1.5499999999999972</v>
      </c>
      <c r="L166" s="4">
        <v>77.79359430605038</v>
      </c>
      <c r="M166" s="4">
        <f t="shared" si="25"/>
        <v>0.26375000000001658</v>
      </c>
      <c r="N166" s="4">
        <v>86.943069306929871</v>
      </c>
      <c r="O166" s="4" t="s">
        <v>105</v>
      </c>
      <c r="Q166" s="5">
        <v>45498</v>
      </c>
    </row>
    <row r="167" spans="1:17" ht="30" x14ac:dyDescent="0.25">
      <c r="A167" s="4">
        <v>1.4</v>
      </c>
      <c r="B167" s="4" t="s">
        <v>72</v>
      </c>
      <c r="C167" s="4">
        <v>1.98</v>
      </c>
      <c r="D167" s="4">
        <v>1</v>
      </c>
      <c r="E167" s="4">
        <v>71.87</v>
      </c>
      <c r="F167" s="4">
        <v>72.37</v>
      </c>
      <c r="G167" s="4">
        <v>0.5</v>
      </c>
      <c r="H167" s="4" t="s">
        <v>17</v>
      </c>
      <c r="I167" s="4">
        <v>71.77</v>
      </c>
      <c r="J167" s="4">
        <v>73.260000000000005</v>
      </c>
      <c r="K167" s="4">
        <v>1.4900000000000091</v>
      </c>
      <c r="L167" s="4">
        <v>72.318339100346165</v>
      </c>
      <c r="M167" s="4">
        <f t="shared" si="25"/>
        <v>0.17374999999999097</v>
      </c>
      <c r="N167" s="4">
        <v>91.224747474747943</v>
      </c>
      <c r="O167" s="4" t="s">
        <v>105</v>
      </c>
      <c r="Q167" s="5">
        <v>45498</v>
      </c>
    </row>
    <row r="168" spans="1:17" ht="30" x14ac:dyDescent="0.25">
      <c r="A168" s="4">
        <v>2.4</v>
      </c>
      <c r="B168" s="4" t="s">
        <v>76</v>
      </c>
      <c r="C168" s="4">
        <v>1.99</v>
      </c>
      <c r="D168" s="4">
        <v>2</v>
      </c>
      <c r="E168" s="4">
        <v>70.12</v>
      </c>
      <c r="F168" s="4">
        <v>70.680000000000007</v>
      </c>
      <c r="G168" s="4">
        <v>0.56000000000000227</v>
      </c>
      <c r="H168" s="4" t="s">
        <v>19</v>
      </c>
      <c r="I168" s="4">
        <v>70.790000000000006</v>
      </c>
      <c r="J168" s="4">
        <v>72.3</v>
      </c>
      <c r="K168" s="4">
        <v>1.5099999999999909</v>
      </c>
      <c r="L168" s="4">
        <v>70.311464546056769</v>
      </c>
      <c r="M168" s="4">
        <f t="shared" si="25"/>
        <v>0.10375000000000689</v>
      </c>
      <c r="N168" s="4">
        <v>94.78643216080367</v>
      </c>
      <c r="O168" s="4" t="s">
        <v>105</v>
      </c>
      <c r="Q168" s="5">
        <v>45498</v>
      </c>
    </row>
    <row r="169" spans="1:17" ht="30" x14ac:dyDescent="0.25">
      <c r="A169" s="4">
        <v>3.4</v>
      </c>
      <c r="B169" s="4" t="s">
        <v>71</v>
      </c>
      <c r="C169" s="4">
        <v>2.04</v>
      </c>
      <c r="D169" s="4">
        <v>3</v>
      </c>
      <c r="E169" s="4">
        <v>68.61</v>
      </c>
      <c r="F169" s="4">
        <v>68.81</v>
      </c>
      <c r="G169" s="4">
        <v>0.20000000000000284</v>
      </c>
      <c r="H169" s="4" t="s">
        <v>21</v>
      </c>
      <c r="I169" s="4">
        <v>70.959999999999994</v>
      </c>
      <c r="J169" s="4">
        <v>72.86</v>
      </c>
      <c r="K169" s="4">
        <v>1.9000000000000057</v>
      </c>
      <c r="L169" s="4">
        <v>89.56294846705795</v>
      </c>
      <c r="M169" s="4">
        <f t="shared" si="25"/>
        <v>0.12374999999999159</v>
      </c>
      <c r="N169" s="4">
        <v>93.93382352941218</v>
      </c>
      <c r="O169" s="4" t="s">
        <v>105</v>
      </c>
      <c r="Q169" s="5">
        <v>45498</v>
      </c>
    </row>
    <row r="170" spans="1:17" ht="30" x14ac:dyDescent="0.25">
      <c r="A170" s="4">
        <v>4.4000000000000004</v>
      </c>
      <c r="B170" s="4" t="s">
        <v>75</v>
      </c>
      <c r="C170" s="4">
        <v>2</v>
      </c>
      <c r="D170" s="4">
        <v>4</v>
      </c>
      <c r="E170" s="4">
        <v>70.069999999999993</v>
      </c>
      <c r="F170" s="4">
        <v>70.239999999999995</v>
      </c>
      <c r="G170" s="4">
        <v>0.17000000000000171</v>
      </c>
      <c r="H170" s="4" t="s">
        <v>23</v>
      </c>
      <c r="I170" s="4">
        <v>69.97</v>
      </c>
      <c r="J170" s="4">
        <v>71.84</v>
      </c>
      <c r="K170" s="4">
        <v>1.8700000000000045</v>
      </c>
      <c r="L170" s="4">
        <v>90.84175084175078</v>
      </c>
      <c r="M170" s="4">
        <f t="shared" si="25"/>
        <v>0.14374999999999383</v>
      </c>
      <c r="N170" s="4">
        <v>92.812500000000313</v>
      </c>
      <c r="O170" s="4" t="s">
        <v>105</v>
      </c>
      <c r="Q170" s="5">
        <v>45498</v>
      </c>
    </row>
    <row r="171" spans="1:17" ht="30" x14ac:dyDescent="0.25">
      <c r="A171" s="4">
        <v>5.4</v>
      </c>
      <c r="B171" s="4" t="s">
        <v>87</v>
      </c>
      <c r="C171" s="4">
        <v>2.02</v>
      </c>
      <c r="D171" s="4">
        <v>5</v>
      </c>
      <c r="E171" s="4">
        <v>69.75</v>
      </c>
      <c r="F171" s="4">
        <v>70.13</v>
      </c>
      <c r="G171" s="4">
        <v>0.37999999999999545</v>
      </c>
      <c r="H171" s="4" t="s">
        <v>25</v>
      </c>
      <c r="I171" s="4">
        <v>70.040000000000006</v>
      </c>
      <c r="J171" s="4">
        <v>71.69</v>
      </c>
      <c r="K171" s="4">
        <v>1.6499999999999915</v>
      </c>
      <c r="L171" s="4">
        <v>79.417738659444922</v>
      </c>
      <c r="M171" s="4">
        <f t="shared" si="25"/>
        <v>0.17375000000001317</v>
      </c>
      <c r="N171" s="4">
        <v>91.398514851484492</v>
      </c>
      <c r="O171" s="4" t="s">
        <v>105</v>
      </c>
      <c r="Q171" s="5">
        <v>45498</v>
      </c>
    </row>
    <row r="172" spans="1:17" ht="30" x14ac:dyDescent="0.25">
      <c r="A172" s="4">
        <v>6.4</v>
      </c>
      <c r="B172" s="4" t="s">
        <v>82</v>
      </c>
      <c r="C172" s="4">
        <v>2.0099999999999998</v>
      </c>
      <c r="D172" s="4">
        <v>6</v>
      </c>
      <c r="E172" s="4">
        <v>71.25</v>
      </c>
      <c r="F172" s="4">
        <v>71.459999999999994</v>
      </c>
      <c r="G172" s="4">
        <v>0.20999999999999375</v>
      </c>
      <c r="H172" s="4" t="s">
        <v>27</v>
      </c>
      <c r="I172" s="4">
        <v>68.97</v>
      </c>
      <c r="J172" s="4">
        <v>70.77</v>
      </c>
      <c r="K172" s="4">
        <v>1.7999999999999972</v>
      </c>
      <c r="L172" s="4">
        <v>88.501026694045464</v>
      </c>
      <c r="M172" s="4">
        <f t="shared" si="25"/>
        <v>0.18375000000000896</v>
      </c>
      <c r="N172" s="4">
        <v>90.858208955223432</v>
      </c>
      <c r="O172" s="4" t="s">
        <v>105</v>
      </c>
      <c r="Q172" s="5">
        <v>45498</v>
      </c>
    </row>
    <row r="173" spans="1:17" ht="30" x14ac:dyDescent="0.25">
      <c r="A173" s="4">
        <v>7.4</v>
      </c>
      <c r="B173" s="4" t="s">
        <v>78</v>
      </c>
      <c r="C173" s="4">
        <v>1.97</v>
      </c>
      <c r="D173" s="4">
        <v>7</v>
      </c>
      <c r="E173" s="4">
        <v>69.91</v>
      </c>
      <c r="F173" s="4">
        <v>70.88</v>
      </c>
      <c r="G173" s="4">
        <v>0.96999999999999886</v>
      </c>
      <c r="H173" s="4" t="s">
        <v>29</v>
      </c>
      <c r="I173" s="4">
        <v>70.08</v>
      </c>
      <c r="J173" s="4">
        <v>71.17</v>
      </c>
      <c r="K173" s="4">
        <v>1.0900000000000034</v>
      </c>
      <c r="L173" s="4">
        <v>48.301132578281276</v>
      </c>
      <c r="M173" s="4">
        <f t="shared" si="25"/>
        <v>9.3749999999997669E-2</v>
      </c>
      <c r="N173" s="4">
        <v>95.241116751269146</v>
      </c>
      <c r="O173" s="4" t="s">
        <v>105</v>
      </c>
      <c r="Q173" s="5">
        <v>45498</v>
      </c>
    </row>
    <row r="174" spans="1:17" ht="30" x14ac:dyDescent="0.25">
      <c r="A174" s="4">
        <v>8.4</v>
      </c>
      <c r="B174" s="4" t="s">
        <v>77</v>
      </c>
      <c r="C174" s="4">
        <v>1.97</v>
      </c>
      <c r="D174" s="4">
        <v>8</v>
      </c>
      <c r="E174" s="4">
        <v>69.56</v>
      </c>
      <c r="F174" s="4">
        <v>69.8</v>
      </c>
      <c r="G174" s="4">
        <v>0.23999999999999488</v>
      </c>
      <c r="H174" s="4" t="s">
        <v>31</v>
      </c>
      <c r="I174" s="4">
        <v>69.27</v>
      </c>
      <c r="J174" s="4">
        <v>70.989999999999995</v>
      </c>
      <c r="K174" s="4">
        <v>1.7199999999999989</v>
      </c>
      <c r="L174" s="4">
        <v>86.488388458832048</v>
      </c>
      <c r="M174" s="4">
        <f t="shared" si="25"/>
        <v>0.19375000000000631</v>
      </c>
      <c r="N174" s="4">
        <v>90.164974619289012</v>
      </c>
      <c r="O174" s="4" t="s">
        <v>105</v>
      </c>
      <c r="Q174" s="5">
        <v>45498</v>
      </c>
    </row>
    <row r="175" spans="1:17" ht="30" x14ac:dyDescent="0.25">
      <c r="A175" s="4">
        <v>1.5</v>
      </c>
      <c r="B175" s="4" t="s">
        <v>70</v>
      </c>
      <c r="C175" s="4">
        <v>1.98</v>
      </c>
      <c r="D175" s="4">
        <v>1</v>
      </c>
      <c r="E175" s="4">
        <v>68.25</v>
      </c>
      <c r="F175" s="4">
        <v>68.77</v>
      </c>
      <c r="G175" s="4">
        <v>0.51999999999999602</v>
      </c>
      <c r="H175" s="4" t="s">
        <v>17</v>
      </c>
      <c r="I175" s="4">
        <v>69.16</v>
      </c>
      <c r="J175" s="4">
        <v>70.7</v>
      </c>
      <c r="K175" s="4">
        <v>1.5400000000000063</v>
      </c>
      <c r="L175" s="4">
        <v>72.28514323784168</v>
      </c>
      <c r="M175" s="4">
        <f t="shared" si="25"/>
        <v>0.10374999999999779</v>
      </c>
      <c r="N175" s="4">
        <v>94.76010101010111</v>
      </c>
      <c r="O175" s="4" t="s">
        <v>105</v>
      </c>
      <c r="Q175" s="5">
        <v>45498</v>
      </c>
    </row>
    <row r="176" spans="1:17" ht="30" x14ac:dyDescent="0.25">
      <c r="A176" s="4">
        <v>2.5</v>
      </c>
      <c r="B176" s="4" t="s">
        <v>67</v>
      </c>
      <c r="C176" s="4">
        <v>2</v>
      </c>
      <c r="D176" s="4">
        <v>2</v>
      </c>
      <c r="E176" s="4">
        <v>69.5</v>
      </c>
      <c r="F176" s="4">
        <v>69.84</v>
      </c>
      <c r="G176" s="4">
        <v>0.34000000000000341</v>
      </c>
      <c r="H176" s="4" t="s">
        <v>19</v>
      </c>
      <c r="I176" s="4">
        <v>68.040000000000006</v>
      </c>
      <c r="J176" s="4">
        <v>69.760000000000005</v>
      </c>
      <c r="K176" s="4">
        <v>1.7199999999999989</v>
      </c>
      <c r="L176" s="4">
        <v>81.878747501665401</v>
      </c>
      <c r="M176" s="4">
        <f t="shared" si="25"/>
        <v>0.12374999999999781</v>
      </c>
      <c r="N176" s="4">
        <v>93.812500000000114</v>
      </c>
      <c r="O176" s="4" t="s">
        <v>105</v>
      </c>
      <c r="Q176" s="5">
        <v>45498</v>
      </c>
    </row>
    <row r="177" spans="1:17" ht="30" x14ac:dyDescent="0.25">
      <c r="A177" s="4">
        <v>3.5</v>
      </c>
      <c r="B177" s="4" t="s">
        <v>74</v>
      </c>
      <c r="C177" s="4">
        <v>1.96</v>
      </c>
      <c r="D177" s="4">
        <v>3</v>
      </c>
      <c r="E177" s="4">
        <v>71.489999999999995</v>
      </c>
      <c r="F177" s="4">
        <v>71.760000000000005</v>
      </c>
      <c r="G177" s="4">
        <v>0.27000000000001023</v>
      </c>
      <c r="H177" s="4" t="s">
        <v>21</v>
      </c>
      <c r="I177" s="4">
        <v>68.08</v>
      </c>
      <c r="J177" s="4">
        <v>69.819999999999993</v>
      </c>
      <c r="K177" s="4">
        <v>1.7399999999999949</v>
      </c>
      <c r="L177" s="4">
        <v>85.21560574948613</v>
      </c>
      <c r="M177" s="4">
        <f t="shared" si="25"/>
        <v>0.13374999999999493</v>
      </c>
      <c r="N177" s="4">
        <v>93.176020408163524</v>
      </c>
      <c r="O177" s="4" t="s">
        <v>105</v>
      </c>
      <c r="Q177" s="5">
        <v>45498</v>
      </c>
    </row>
    <row r="178" spans="1:17" ht="30" x14ac:dyDescent="0.25">
      <c r="A178" s="4">
        <v>4.5</v>
      </c>
      <c r="B178" s="4" t="s">
        <v>68</v>
      </c>
      <c r="C178" s="4">
        <v>2.04</v>
      </c>
      <c r="D178" s="4">
        <v>4</v>
      </c>
      <c r="E178" s="4">
        <v>69.27</v>
      </c>
      <c r="F178" s="4">
        <v>69.66</v>
      </c>
      <c r="G178" s="4">
        <v>0.39000000000000057</v>
      </c>
      <c r="H178" s="4" t="s">
        <v>23</v>
      </c>
      <c r="I178" s="4">
        <v>68.92</v>
      </c>
      <c r="J178" s="4">
        <v>70.599999999999994</v>
      </c>
      <c r="K178" s="4">
        <v>1.6799999999999926</v>
      </c>
      <c r="L178" s="4">
        <v>79.324055666003872</v>
      </c>
      <c r="M178" s="4">
        <f t="shared" si="25"/>
        <v>0.15375000000000694</v>
      </c>
      <c r="N178" s="4">
        <v>92.463235294117311</v>
      </c>
      <c r="O178" s="4" t="s">
        <v>105</v>
      </c>
      <c r="Q178" s="5">
        <v>45498</v>
      </c>
    </row>
    <row r="179" spans="1:17" ht="30" x14ac:dyDescent="0.25">
      <c r="A179" s="4">
        <v>5.5</v>
      </c>
      <c r="B179" s="4" t="s">
        <v>73</v>
      </c>
      <c r="C179" s="4">
        <v>1.99</v>
      </c>
      <c r="D179" s="4">
        <v>5</v>
      </c>
      <c r="E179" s="4">
        <v>70.87</v>
      </c>
      <c r="F179" s="4">
        <v>71.349999999999994</v>
      </c>
      <c r="G179" s="4">
        <v>0.47999999999998977</v>
      </c>
      <c r="H179" s="4" t="s">
        <v>25</v>
      </c>
      <c r="I179" s="4">
        <v>69.260000000000005</v>
      </c>
      <c r="J179" s="4">
        <v>70.81</v>
      </c>
      <c r="K179" s="4">
        <v>1.5499999999999972</v>
      </c>
      <c r="L179" s="4">
        <v>74.001354096141199</v>
      </c>
      <c r="M179" s="4">
        <f t="shared" si="25"/>
        <v>0.14375000000001315</v>
      </c>
      <c r="N179" s="4">
        <v>92.776381909547084</v>
      </c>
      <c r="O179" s="4" t="s">
        <v>105</v>
      </c>
      <c r="Q179" s="5">
        <v>45498</v>
      </c>
    </row>
    <row r="180" spans="1:17" ht="30" x14ac:dyDescent="0.25">
      <c r="A180" s="4">
        <v>6.5</v>
      </c>
      <c r="B180" s="4" t="s">
        <v>69</v>
      </c>
      <c r="C180" s="4">
        <v>1.99</v>
      </c>
      <c r="D180" s="4">
        <v>6</v>
      </c>
      <c r="E180" s="4">
        <v>71.16</v>
      </c>
      <c r="F180" s="4">
        <v>71.650000000000006</v>
      </c>
      <c r="G180" s="4">
        <v>0.49000000000000909</v>
      </c>
      <c r="H180" s="4" t="s">
        <v>27</v>
      </c>
      <c r="I180" s="4">
        <v>69.25</v>
      </c>
      <c r="J180" s="4">
        <v>70.819999999999993</v>
      </c>
      <c r="K180" s="4">
        <v>1.5699999999999932</v>
      </c>
      <c r="L180" s="4">
        <v>73.88407728181167</v>
      </c>
      <c r="M180" s="4">
        <f t="shared" si="25"/>
        <v>0.1137499999999978</v>
      </c>
      <c r="N180" s="4">
        <v>94.283919597990064</v>
      </c>
      <c r="O180" s="4" t="s">
        <v>105</v>
      </c>
      <c r="Q180" s="5">
        <v>45498</v>
      </c>
    </row>
    <row r="181" spans="1:17" ht="30" x14ac:dyDescent="0.25">
      <c r="A181" s="4">
        <v>7.5</v>
      </c>
      <c r="B181" s="4" t="s">
        <v>66</v>
      </c>
      <c r="C181" s="4">
        <v>2.02</v>
      </c>
      <c r="D181" s="4">
        <v>7</v>
      </c>
      <c r="E181" s="4">
        <v>70.87</v>
      </c>
      <c r="F181" s="4">
        <v>71</v>
      </c>
      <c r="G181" s="4">
        <v>0.12999999999999545</v>
      </c>
      <c r="H181" s="4" t="s">
        <v>29</v>
      </c>
      <c r="I181" s="4">
        <v>69.5</v>
      </c>
      <c r="J181" s="4">
        <v>71.45</v>
      </c>
      <c r="K181" s="4">
        <v>1.9500000000000028</v>
      </c>
      <c r="L181" s="4">
        <v>93.144363876071424</v>
      </c>
      <c r="M181" s="4">
        <f t="shared" si="25"/>
        <v>0.1237500000000018</v>
      </c>
      <c r="N181" s="4">
        <v>93.873762376237536</v>
      </c>
      <c r="O181" s="4" t="s">
        <v>105</v>
      </c>
      <c r="Q181" s="5">
        <v>45498</v>
      </c>
    </row>
    <row r="182" spans="1:17" ht="30" x14ac:dyDescent="0.25">
      <c r="A182" s="4">
        <v>8.5</v>
      </c>
      <c r="B182" s="4" t="s">
        <v>65</v>
      </c>
      <c r="C182" s="4">
        <v>1.97</v>
      </c>
      <c r="D182" s="4">
        <v>8</v>
      </c>
      <c r="E182" s="4">
        <v>69.75</v>
      </c>
      <c r="F182" s="4">
        <v>70.47</v>
      </c>
      <c r="G182" s="4">
        <v>0.71999999999999886</v>
      </c>
      <c r="H182" s="4" t="s">
        <v>31</v>
      </c>
      <c r="I182" s="4">
        <v>70</v>
      </c>
      <c r="J182" s="4">
        <v>71.3</v>
      </c>
      <c r="K182" s="4">
        <v>1.2999999999999972</v>
      </c>
      <c r="L182" s="4">
        <v>60.789652825051036</v>
      </c>
      <c r="M182" s="4">
        <f t="shared" si="25"/>
        <v>0.13375000000000403</v>
      </c>
      <c r="N182" s="4">
        <v>93.210659898476962</v>
      </c>
      <c r="O182" s="4" t="s">
        <v>105</v>
      </c>
      <c r="Q182" s="5">
        <v>45498</v>
      </c>
    </row>
    <row r="183" spans="1:17" ht="30" x14ac:dyDescent="0.25">
      <c r="A183" s="6">
        <v>1.6</v>
      </c>
      <c r="B183" s="6" t="s">
        <v>53</v>
      </c>
      <c r="C183" s="6">
        <v>2.0099999999999998</v>
      </c>
      <c r="D183" s="6">
        <v>1</v>
      </c>
      <c r="E183" s="6">
        <v>70.069999999999993</v>
      </c>
      <c r="F183" s="6">
        <v>70.239999999999995</v>
      </c>
      <c r="G183" s="6">
        <v>0.17000000000000171</v>
      </c>
      <c r="H183" s="6" t="s">
        <v>17</v>
      </c>
      <c r="I183" s="6">
        <v>69.44</v>
      </c>
      <c r="J183" s="6">
        <v>71.349999999999994</v>
      </c>
      <c r="K183" s="6">
        <v>1.9099999999999966</v>
      </c>
      <c r="L183" s="6">
        <v>91.034937376400691</v>
      </c>
      <c r="M183" s="4">
        <f t="shared" si="25"/>
        <v>0.11375000000000157</v>
      </c>
      <c r="N183" s="6">
        <v>94.340796019900424</v>
      </c>
      <c r="O183" s="10" t="s">
        <v>105</v>
      </c>
      <c r="Q183" s="5">
        <v>45498</v>
      </c>
    </row>
    <row r="184" spans="1:17" ht="30" x14ac:dyDescent="0.25">
      <c r="A184" s="6">
        <v>2.6</v>
      </c>
      <c r="B184" s="6" t="s">
        <v>59</v>
      </c>
      <c r="C184" s="6">
        <v>1.99</v>
      </c>
      <c r="D184" s="6">
        <v>2</v>
      </c>
      <c r="E184" s="6">
        <v>69.66</v>
      </c>
      <c r="F184" s="6">
        <v>69.760000000000005</v>
      </c>
      <c r="G184" s="6">
        <v>0.10000000000000853</v>
      </c>
      <c r="H184" s="6" t="s">
        <v>19</v>
      </c>
      <c r="I184" s="6">
        <v>68.62</v>
      </c>
      <c r="J184" s="6">
        <v>70.52</v>
      </c>
      <c r="K184" s="6">
        <v>1.8999999999999915</v>
      </c>
      <c r="L184" s="6">
        <v>94.494150034411092</v>
      </c>
      <c r="M184" s="4">
        <f t="shared" si="25"/>
        <v>0.17375000000000007</v>
      </c>
      <c r="N184" s="6">
        <v>91.268844221105525</v>
      </c>
      <c r="O184" s="10" t="s">
        <v>105</v>
      </c>
      <c r="Q184" s="5">
        <v>45498</v>
      </c>
    </row>
    <row r="185" spans="1:17" ht="30" x14ac:dyDescent="0.25">
      <c r="A185" s="6">
        <v>3.6</v>
      </c>
      <c r="B185" s="6" t="s">
        <v>60</v>
      </c>
      <c r="C185" s="6">
        <v>1.99</v>
      </c>
      <c r="D185" s="6">
        <v>3</v>
      </c>
      <c r="E185" s="6">
        <v>71.099999999999994</v>
      </c>
      <c r="F185" s="6">
        <v>71.349999999999994</v>
      </c>
      <c r="G185" s="6">
        <v>0.25</v>
      </c>
      <c r="H185" s="6" t="s">
        <v>21</v>
      </c>
      <c r="I185" s="6">
        <v>71.58</v>
      </c>
      <c r="J185" s="6">
        <v>73.37</v>
      </c>
      <c r="K185" s="6">
        <v>1.7900000000000063</v>
      </c>
      <c r="L185" s="6">
        <v>86.531986531986576</v>
      </c>
      <c r="M185" s="4">
        <f t="shared" si="25"/>
        <v>0.13374999999999382</v>
      </c>
      <c r="N185" s="6">
        <v>93.278894472362111</v>
      </c>
      <c r="O185" s="10" t="s">
        <v>105</v>
      </c>
      <c r="Q185" s="5">
        <v>45498</v>
      </c>
    </row>
    <row r="186" spans="1:17" ht="30" x14ac:dyDescent="0.25">
      <c r="A186" s="6">
        <v>4.5999999999999996</v>
      </c>
      <c r="B186" s="6" t="s">
        <v>44</v>
      </c>
      <c r="C186" s="6">
        <v>2.02</v>
      </c>
      <c r="D186" s="6">
        <v>4</v>
      </c>
      <c r="E186" s="6">
        <v>70.760000000000005</v>
      </c>
      <c r="F186" s="6">
        <v>70.849999999999994</v>
      </c>
      <c r="G186" s="6">
        <v>8.99999999999892E-2</v>
      </c>
      <c r="H186" s="6" t="s">
        <v>23</v>
      </c>
      <c r="I186" s="6">
        <v>68.12</v>
      </c>
      <c r="J186" s="6">
        <v>70.09</v>
      </c>
      <c r="K186" s="6">
        <v>1.9699999999999989</v>
      </c>
      <c r="L186" s="6">
        <v>95.203197868088481</v>
      </c>
      <c r="M186" s="4">
        <f t="shared" si="25"/>
        <v>0.14375000000001203</v>
      </c>
      <c r="N186" s="6">
        <v>92.883663366336037</v>
      </c>
      <c r="O186" s="10" t="s">
        <v>105</v>
      </c>
      <c r="Q186" s="5">
        <v>45498</v>
      </c>
    </row>
    <row r="187" spans="1:17" ht="30" x14ac:dyDescent="0.25">
      <c r="A187" s="6">
        <v>5.6</v>
      </c>
      <c r="B187" s="6" t="s">
        <v>56</v>
      </c>
      <c r="C187" s="6">
        <v>1.97</v>
      </c>
      <c r="D187" s="6">
        <v>5</v>
      </c>
      <c r="E187" s="6">
        <v>69.680000000000007</v>
      </c>
      <c r="F187" s="6">
        <v>69.900000000000006</v>
      </c>
      <c r="G187" s="6">
        <v>0.21999999999999886</v>
      </c>
      <c r="H187" s="6" t="s">
        <v>25</v>
      </c>
      <c r="I187" s="6">
        <v>70.510000000000005</v>
      </c>
      <c r="J187" s="6">
        <v>72.33</v>
      </c>
      <c r="K187" s="6">
        <v>1.8199999999999932</v>
      </c>
      <c r="L187" s="6">
        <v>88.148148148148152</v>
      </c>
      <c r="M187" s="4">
        <f t="shared" si="25"/>
        <v>0.11375000000000801</v>
      </c>
      <c r="N187" s="6">
        <v>94.225888324872685</v>
      </c>
      <c r="O187" s="10" t="s">
        <v>105</v>
      </c>
      <c r="Q187" s="5">
        <v>45498</v>
      </c>
    </row>
    <row r="188" spans="1:17" ht="30" x14ac:dyDescent="0.25">
      <c r="A188" s="6">
        <v>6.6</v>
      </c>
      <c r="B188" s="6" t="s">
        <v>50</v>
      </c>
      <c r="C188" s="6">
        <v>1.99</v>
      </c>
      <c r="D188" s="6">
        <v>6</v>
      </c>
      <c r="E188" s="6">
        <v>69.8</v>
      </c>
      <c r="F188" s="6">
        <v>70.540000000000006</v>
      </c>
      <c r="G188" s="6">
        <v>0.74000000000000909</v>
      </c>
      <c r="H188" s="6" t="s">
        <v>27</v>
      </c>
      <c r="I188" s="6">
        <v>70.19</v>
      </c>
      <c r="J188" s="6">
        <v>71.510000000000005</v>
      </c>
      <c r="K188" s="6">
        <v>1.3200000000000074</v>
      </c>
      <c r="L188" s="6">
        <v>60.5596269153896</v>
      </c>
      <c r="M188" s="4">
        <f t="shared" si="25"/>
        <v>0.11374999999998359</v>
      </c>
      <c r="N188" s="6">
        <v>94.283919597990774</v>
      </c>
      <c r="O188" s="10" t="s">
        <v>105</v>
      </c>
      <c r="Q188" s="5">
        <v>45498</v>
      </c>
    </row>
    <row r="189" spans="1:17" ht="30" x14ac:dyDescent="0.25">
      <c r="A189" s="6">
        <v>7.6</v>
      </c>
      <c r="B189" s="6" t="s">
        <v>51</v>
      </c>
      <c r="C189" s="6">
        <v>1.99</v>
      </c>
      <c r="D189" s="6">
        <v>7</v>
      </c>
      <c r="E189" s="6">
        <v>68.78</v>
      </c>
      <c r="F189" s="6">
        <v>68.92</v>
      </c>
      <c r="G189" s="6">
        <v>0.14000000000000057</v>
      </c>
      <c r="H189" s="6" t="s">
        <v>29</v>
      </c>
      <c r="I189" s="6">
        <v>69.7</v>
      </c>
      <c r="J189" s="6">
        <v>71.599999999999994</v>
      </c>
      <c r="K189" s="6">
        <v>1.8999999999999915</v>
      </c>
      <c r="L189" s="6">
        <v>92.4579124579124</v>
      </c>
      <c r="M189" s="4">
        <f t="shared" si="25"/>
        <v>0.13375000000000803</v>
      </c>
      <c r="N189" s="6">
        <v>93.278894472361401</v>
      </c>
      <c r="O189" s="10" t="s">
        <v>105</v>
      </c>
      <c r="Q189" s="5">
        <v>45498</v>
      </c>
    </row>
    <row r="190" spans="1:17" ht="30" x14ac:dyDescent="0.25">
      <c r="A190" s="6">
        <v>8.6</v>
      </c>
      <c r="B190" s="6" t="s">
        <v>55</v>
      </c>
      <c r="C190" s="6">
        <v>1.99</v>
      </c>
      <c r="D190" s="6">
        <v>8</v>
      </c>
      <c r="E190" s="6">
        <v>68.52</v>
      </c>
      <c r="F190" s="6">
        <v>68.64</v>
      </c>
      <c r="G190" s="6">
        <v>0.12000000000000455</v>
      </c>
      <c r="H190" s="6" t="s">
        <v>31</v>
      </c>
      <c r="I190" s="6">
        <v>70.22</v>
      </c>
      <c r="J190" s="6">
        <v>72.099999999999994</v>
      </c>
      <c r="K190" s="6">
        <v>1.8799999999999955</v>
      </c>
      <c r="L190" s="6">
        <v>93.392980041293626</v>
      </c>
      <c r="M190" s="4">
        <f t="shared" si="25"/>
        <v>0.17375000000000007</v>
      </c>
      <c r="N190" s="6">
        <v>91.268844221105525</v>
      </c>
      <c r="O190" s="10" t="s">
        <v>105</v>
      </c>
      <c r="Q190" s="5">
        <v>45498</v>
      </c>
    </row>
    <row r="191" spans="1:17" ht="30" x14ac:dyDescent="0.25">
      <c r="A191" s="6">
        <v>1.7</v>
      </c>
      <c r="B191" s="6" t="s">
        <v>58</v>
      </c>
      <c r="C191" s="6">
        <v>1.98</v>
      </c>
      <c r="D191" s="6">
        <v>1</v>
      </c>
      <c r="E191" s="6">
        <v>68.59</v>
      </c>
      <c r="F191" s="6">
        <v>68.92</v>
      </c>
      <c r="G191" s="6">
        <v>0.32999999999999829</v>
      </c>
      <c r="H191" s="6" t="s">
        <v>17</v>
      </c>
      <c r="I191" s="6">
        <v>69.540000000000006</v>
      </c>
      <c r="J191" s="6">
        <v>71.239999999999995</v>
      </c>
      <c r="K191" s="6">
        <v>1.6999999999999886</v>
      </c>
      <c r="L191" s="6">
        <v>82.125930941096783</v>
      </c>
      <c r="M191" s="4">
        <f t="shared" si="25"/>
        <v>0.13375000000001314</v>
      </c>
      <c r="N191" s="6">
        <v>93.244949494948841</v>
      </c>
      <c r="O191" s="10" t="s">
        <v>105</v>
      </c>
      <c r="Q191" s="5">
        <v>45498</v>
      </c>
    </row>
    <row r="192" spans="1:17" ht="30" x14ac:dyDescent="0.25">
      <c r="A192" s="6">
        <v>2.7</v>
      </c>
      <c r="B192" s="6" t="s">
        <v>37</v>
      </c>
      <c r="C192" s="6">
        <v>2.02</v>
      </c>
      <c r="D192" s="6">
        <v>2</v>
      </c>
      <c r="E192" s="6">
        <v>71.06</v>
      </c>
      <c r="F192" s="6">
        <v>71.400000000000006</v>
      </c>
      <c r="G192" s="6">
        <v>0.34000000000000341</v>
      </c>
      <c r="H192" s="6" t="s">
        <v>19</v>
      </c>
      <c r="I192" s="6">
        <v>68.7</v>
      </c>
      <c r="J192" s="6">
        <v>70.47</v>
      </c>
      <c r="K192" s="6">
        <v>1.769999999999996</v>
      </c>
      <c r="L192" s="6">
        <v>82.349123945489751</v>
      </c>
      <c r="M192" s="4">
        <f t="shared" si="25"/>
        <v>9.3750000000000666E-2</v>
      </c>
      <c r="N192" s="6">
        <v>95.358910891089081</v>
      </c>
      <c r="O192" s="10" t="s">
        <v>105</v>
      </c>
      <c r="Q192" s="5">
        <v>45498</v>
      </c>
    </row>
    <row r="193" spans="1:17" ht="30" x14ac:dyDescent="0.25">
      <c r="A193" s="6">
        <v>3.7</v>
      </c>
      <c r="B193" s="6" t="s">
        <v>52</v>
      </c>
      <c r="C193" s="6">
        <v>2.0299999999999998</v>
      </c>
      <c r="D193" s="6">
        <v>3</v>
      </c>
      <c r="E193" s="6">
        <v>68.739999999999995</v>
      </c>
      <c r="F193" s="6">
        <v>68.900000000000006</v>
      </c>
      <c r="G193" s="6">
        <v>0.1600000000000108</v>
      </c>
      <c r="H193" s="6" t="s">
        <v>21</v>
      </c>
      <c r="I193" s="6">
        <v>69.09</v>
      </c>
      <c r="J193" s="6">
        <v>70.959999999999994</v>
      </c>
      <c r="K193" s="6">
        <v>1.8699999999999903</v>
      </c>
      <c r="L193" s="6">
        <v>91.333784698713032</v>
      </c>
      <c r="M193" s="4">
        <f t="shared" si="25"/>
        <v>0.18374999999999875</v>
      </c>
      <c r="N193" s="6">
        <v>90.948275862069025</v>
      </c>
      <c r="O193" s="10" t="s">
        <v>105</v>
      </c>
      <c r="Q193" s="5">
        <v>45498</v>
      </c>
    </row>
    <row r="194" spans="1:17" ht="30" x14ac:dyDescent="0.25">
      <c r="A194" s="6">
        <v>4.7</v>
      </c>
      <c r="B194" s="6" t="s">
        <v>28</v>
      </c>
      <c r="C194" s="6">
        <v>2</v>
      </c>
      <c r="D194" s="6">
        <v>4</v>
      </c>
      <c r="E194" s="6">
        <v>68.900000000000006</v>
      </c>
      <c r="F194" s="6">
        <v>69.069999999999993</v>
      </c>
      <c r="G194" s="6">
        <v>0.16999999999998749</v>
      </c>
      <c r="H194" s="6" t="s">
        <v>23</v>
      </c>
      <c r="I194" s="6">
        <v>67.91</v>
      </c>
      <c r="J194" s="6">
        <v>69.8</v>
      </c>
      <c r="K194" s="6">
        <v>1.8900000000000006</v>
      </c>
      <c r="L194" s="6">
        <v>90.939373750833383</v>
      </c>
      <c r="M194" s="4">
        <f t="shared" si="25"/>
        <v>0.12375000000001202</v>
      </c>
      <c r="N194" s="6">
        <v>93.812499999999403</v>
      </c>
      <c r="O194" s="10" t="s">
        <v>105</v>
      </c>
      <c r="Q194" s="5">
        <v>45498</v>
      </c>
    </row>
    <row r="195" spans="1:17" ht="30" x14ac:dyDescent="0.25">
      <c r="A195" s="6">
        <v>5.7</v>
      </c>
      <c r="B195" s="6" t="s">
        <v>61</v>
      </c>
      <c r="C195" s="6">
        <v>1.98</v>
      </c>
      <c r="D195" s="6">
        <v>5</v>
      </c>
      <c r="E195" s="6">
        <v>68.63</v>
      </c>
      <c r="F195" s="6">
        <v>68.78</v>
      </c>
      <c r="G195" s="6">
        <v>0.15000000000000568</v>
      </c>
      <c r="H195" s="6" t="s">
        <v>25</v>
      </c>
      <c r="I195" s="6">
        <v>69.72</v>
      </c>
      <c r="J195" s="6">
        <v>71.61</v>
      </c>
      <c r="K195" s="6">
        <v>1.8900000000000006</v>
      </c>
      <c r="L195" s="6">
        <v>91.919191919191647</v>
      </c>
      <c r="M195" s="4">
        <f t="shared" si="25"/>
        <v>0.12374999999999381</v>
      </c>
      <c r="N195" s="6">
        <v>93.750000000000313</v>
      </c>
      <c r="O195" s="10" t="s">
        <v>105</v>
      </c>
      <c r="Q195" s="5">
        <v>45498</v>
      </c>
    </row>
    <row r="196" spans="1:17" ht="30" x14ac:dyDescent="0.25">
      <c r="A196" s="6">
        <v>6.7</v>
      </c>
      <c r="B196" s="6" t="s">
        <v>62</v>
      </c>
      <c r="C196" s="6">
        <v>2.0099999999999998</v>
      </c>
      <c r="D196" s="6">
        <v>6</v>
      </c>
      <c r="E196" s="6">
        <v>71.11</v>
      </c>
      <c r="F196" s="6">
        <v>71.22</v>
      </c>
      <c r="G196" s="6">
        <v>0.10999999999999943</v>
      </c>
      <c r="H196" s="6" t="s">
        <v>27</v>
      </c>
      <c r="I196" s="6">
        <v>70.38</v>
      </c>
      <c r="J196" s="6">
        <v>72.319999999999993</v>
      </c>
      <c r="K196" s="6">
        <v>1.9399999999999977</v>
      </c>
      <c r="L196" s="6">
        <v>94.105827193570008</v>
      </c>
      <c r="M196" s="4">
        <f t="shared" si="25"/>
        <v>0.14375000000000271</v>
      </c>
      <c r="N196" s="6">
        <v>92.848258706467519</v>
      </c>
      <c r="O196" s="10" t="s">
        <v>105</v>
      </c>
      <c r="Q196" s="5">
        <v>45498</v>
      </c>
    </row>
    <row r="197" spans="1:17" ht="30" x14ac:dyDescent="0.25">
      <c r="A197" s="6">
        <v>7.7</v>
      </c>
      <c r="B197" s="6" t="s">
        <v>57</v>
      </c>
      <c r="C197" s="6">
        <v>1.97</v>
      </c>
      <c r="D197" s="6">
        <v>7</v>
      </c>
      <c r="E197" s="6">
        <v>68.5</v>
      </c>
      <c r="F197" s="6">
        <v>68.87</v>
      </c>
      <c r="G197" s="6">
        <v>0.37000000000000455</v>
      </c>
      <c r="H197" s="6" t="s">
        <v>29</v>
      </c>
      <c r="I197" s="6">
        <v>68.959999999999994</v>
      </c>
      <c r="J197" s="6">
        <v>70.66</v>
      </c>
      <c r="K197" s="6">
        <v>1.7000000000000028</v>
      </c>
      <c r="L197" s="6">
        <v>80.384360503644643</v>
      </c>
      <c r="M197" s="4">
        <f t="shared" si="25"/>
        <v>8.3749999999992664E-2</v>
      </c>
      <c r="N197" s="6">
        <v>95.74873096446737</v>
      </c>
      <c r="O197" s="10" t="s">
        <v>105</v>
      </c>
      <c r="Q197" s="5">
        <v>45498</v>
      </c>
    </row>
    <row r="198" spans="1:17" ht="30" x14ac:dyDescent="0.25">
      <c r="A198" s="6">
        <v>8.6999999999999993</v>
      </c>
      <c r="B198" s="6" t="s">
        <v>48</v>
      </c>
      <c r="C198" s="6">
        <v>1.98</v>
      </c>
      <c r="D198" s="6">
        <v>8</v>
      </c>
      <c r="E198" s="6">
        <v>70.239999999999995</v>
      </c>
      <c r="F198" s="6">
        <v>70.37</v>
      </c>
      <c r="G198" s="6">
        <v>0.13000000000000966</v>
      </c>
      <c r="H198" s="6" t="s">
        <v>31</v>
      </c>
      <c r="I198" s="6">
        <v>70.36</v>
      </c>
      <c r="J198" s="6">
        <v>72.290000000000006</v>
      </c>
      <c r="K198" s="6">
        <v>1.9300000000000068</v>
      </c>
      <c r="L198" s="6">
        <v>93.071285809459908</v>
      </c>
      <c r="M198" s="4">
        <f t="shared" si="25"/>
        <v>0.10374999999998358</v>
      </c>
      <c r="N198" s="6">
        <v>94.760101010101835</v>
      </c>
      <c r="O198" s="10" t="s">
        <v>105</v>
      </c>
      <c r="Q198" s="5">
        <v>45498</v>
      </c>
    </row>
    <row r="199" spans="1:17" ht="30" x14ac:dyDescent="0.25">
      <c r="A199" s="3"/>
      <c r="B199" s="3" t="s">
        <v>59</v>
      </c>
      <c r="C199" s="3">
        <v>2.04</v>
      </c>
      <c r="D199" s="3">
        <v>1</v>
      </c>
      <c r="E199" s="3">
        <v>69.09</v>
      </c>
      <c r="F199" s="3">
        <v>69.22</v>
      </c>
      <c r="G199" s="3">
        <v>0.12999999999999545</v>
      </c>
      <c r="H199" s="3" t="s">
        <v>17</v>
      </c>
      <c r="I199" s="3">
        <v>69.41</v>
      </c>
      <c r="J199" s="3">
        <v>71.17</v>
      </c>
      <c r="K199" s="3">
        <v>1.7600000000000051</v>
      </c>
      <c r="L199" s="3">
        <v>92.38095238095265</v>
      </c>
      <c r="M199" s="3">
        <v>0.33374999999999944</v>
      </c>
      <c r="N199" s="3">
        <v>83.63970588235297</v>
      </c>
      <c r="O199" s="2" t="s">
        <v>107</v>
      </c>
      <c r="P199" s="3"/>
      <c r="Q199" s="5">
        <v>45454</v>
      </c>
    </row>
    <row r="200" spans="1:17" ht="30" x14ac:dyDescent="0.25">
      <c r="B200" s="3" t="s">
        <v>97</v>
      </c>
      <c r="C200" s="3">
        <v>2.02</v>
      </c>
      <c r="D200" s="3">
        <v>2</v>
      </c>
      <c r="E200" s="3">
        <v>69.11</v>
      </c>
      <c r="F200" s="3">
        <v>69.55</v>
      </c>
      <c r="G200" s="3">
        <v>0.43999999999999773</v>
      </c>
      <c r="H200" s="3" t="s">
        <v>19</v>
      </c>
      <c r="I200" s="3">
        <v>70.010000000000005</v>
      </c>
      <c r="J200" s="3">
        <v>71.5</v>
      </c>
      <c r="K200" s="3">
        <v>1.4899999999999949</v>
      </c>
      <c r="L200" s="3">
        <v>74.803149606299229</v>
      </c>
      <c r="M200" s="3">
        <v>0.27375000000000738</v>
      </c>
      <c r="N200" s="3">
        <v>86.448019801979825</v>
      </c>
      <c r="O200" s="2" t="s">
        <v>107</v>
      </c>
      <c r="P200" s="3"/>
      <c r="Q200" s="5">
        <v>45454</v>
      </c>
    </row>
    <row r="201" spans="1:17" ht="30" x14ac:dyDescent="0.25">
      <c r="B201" t="s">
        <v>55</v>
      </c>
      <c r="C201">
        <v>2.02</v>
      </c>
      <c r="D201">
        <v>3</v>
      </c>
      <c r="E201">
        <v>69.66</v>
      </c>
      <c r="F201">
        <v>69.849999999999994</v>
      </c>
      <c r="G201">
        <v>0.18999999999999773</v>
      </c>
      <c r="H201" t="s">
        <v>21</v>
      </c>
      <c r="I201">
        <v>69.12</v>
      </c>
      <c r="J201">
        <v>70.86</v>
      </c>
      <c r="K201">
        <v>1.7399999999999949</v>
      </c>
      <c r="L201">
        <v>89.119541875447467</v>
      </c>
      <c r="M201">
        <v>0.27375000000000738</v>
      </c>
      <c r="N201">
        <v>86.448019801979825</v>
      </c>
      <c r="O201" s="2" t="s">
        <v>107</v>
      </c>
      <c r="P201" s="3"/>
      <c r="Q201" s="5">
        <v>45454</v>
      </c>
    </row>
    <row r="202" spans="1:17" ht="30" x14ac:dyDescent="0.25">
      <c r="B202" t="s">
        <v>52</v>
      </c>
      <c r="C202">
        <v>2.0099999999999998</v>
      </c>
      <c r="D202">
        <v>4</v>
      </c>
      <c r="E202">
        <v>70.06</v>
      </c>
      <c r="F202">
        <v>70.48</v>
      </c>
      <c r="G202">
        <v>0.42000000000000171</v>
      </c>
      <c r="H202" t="s">
        <v>23</v>
      </c>
      <c r="I202">
        <v>69.790000000000006</v>
      </c>
      <c r="J202">
        <v>71.25</v>
      </c>
      <c r="K202">
        <v>1.4599999999999937</v>
      </c>
      <c r="L202">
        <v>75.239498894620311</v>
      </c>
      <c r="M202">
        <v>0.3137500000000043</v>
      </c>
      <c r="N202">
        <v>84.39054726368137</v>
      </c>
      <c r="O202" s="2" t="s">
        <v>107</v>
      </c>
      <c r="P202" s="3"/>
      <c r="Q202" s="5">
        <v>45454</v>
      </c>
    </row>
    <row r="203" spans="1:17" ht="30" x14ac:dyDescent="0.25">
      <c r="B203" t="s">
        <v>51</v>
      </c>
      <c r="C203">
        <v>2.02</v>
      </c>
      <c r="D203">
        <v>5</v>
      </c>
      <c r="E203">
        <v>70.180000000000007</v>
      </c>
      <c r="F203">
        <v>70.34</v>
      </c>
      <c r="G203">
        <v>0.15999999999999659</v>
      </c>
      <c r="H203" t="s">
        <v>25</v>
      </c>
      <c r="I203">
        <v>70.349999999999994</v>
      </c>
      <c r="J203">
        <v>72.150000000000006</v>
      </c>
      <c r="K203">
        <v>1.8000000000000114</v>
      </c>
      <c r="L203">
        <v>90.992258972554779</v>
      </c>
      <c r="M203">
        <v>0.24374999999999206</v>
      </c>
      <c r="N203">
        <v>87.933168316832081</v>
      </c>
      <c r="O203" s="2" t="s">
        <v>107</v>
      </c>
      <c r="P203" s="3"/>
      <c r="Q203" s="5">
        <v>45454</v>
      </c>
    </row>
    <row r="204" spans="1:17" ht="30" x14ac:dyDescent="0.25">
      <c r="B204" t="s">
        <v>58</v>
      </c>
      <c r="C204">
        <v>2.0499999999999998</v>
      </c>
      <c r="D204">
        <v>6</v>
      </c>
      <c r="E204">
        <v>70.31</v>
      </c>
      <c r="F204">
        <v>70.86</v>
      </c>
      <c r="G204">
        <v>0.54999999999999716</v>
      </c>
      <c r="H204" t="s">
        <v>27</v>
      </c>
      <c r="I204">
        <v>70.77</v>
      </c>
      <c r="J204">
        <v>72.239999999999995</v>
      </c>
      <c r="K204">
        <v>1.4699999999999989</v>
      </c>
      <c r="L204">
        <v>70.047651463580749</v>
      </c>
      <c r="M204">
        <v>0.2137500000000038</v>
      </c>
      <c r="N204">
        <v>89.573170731707137</v>
      </c>
      <c r="O204" s="2" t="s">
        <v>107</v>
      </c>
      <c r="P204" s="3"/>
      <c r="Q204" s="5">
        <v>45454</v>
      </c>
    </row>
    <row r="205" spans="1:17" ht="30" x14ac:dyDescent="0.25">
      <c r="B205" t="s">
        <v>64</v>
      </c>
      <c r="C205">
        <v>2.0099999999999998</v>
      </c>
      <c r="D205">
        <v>7</v>
      </c>
      <c r="E205">
        <v>69.88</v>
      </c>
      <c r="F205">
        <v>70.37</v>
      </c>
      <c r="G205">
        <v>0.49000000000000909</v>
      </c>
      <c r="H205" t="s">
        <v>29</v>
      </c>
      <c r="I205">
        <v>69.61</v>
      </c>
      <c r="J205">
        <v>71.13</v>
      </c>
      <c r="K205">
        <v>1.519999999999996</v>
      </c>
      <c r="L205">
        <v>73.169062286104975</v>
      </c>
      <c r="M205">
        <v>0.18374999999999467</v>
      </c>
      <c r="N205">
        <v>90.858208955224143</v>
      </c>
      <c r="O205" s="2" t="s">
        <v>107</v>
      </c>
      <c r="P205" s="3"/>
      <c r="Q205" s="5">
        <v>45454</v>
      </c>
    </row>
    <row r="206" spans="1:17" ht="30" x14ac:dyDescent="0.25">
      <c r="B206" t="s">
        <v>60</v>
      </c>
      <c r="C206">
        <v>2.02</v>
      </c>
      <c r="D206">
        <v>8</v>
      </c>
      <c r="E206">
        <v>69.27</v>
      </c>
      <c r="F206">
        <v>69.72</v>
      </c>
      <c r="G206">
        <v>0.45000000000000284</v>
      </c>
      <c r="H206" t="s">
        <v>31</v>
      </c>
      <c r="I206">
        <v>70.31</v>
      </c>
      <c r="J206">
        <v>71.84</v>
      </c>
      <c r="K206">
        <v>1.5300000000000011</v>
      </c>
      <c r="L206">
        <v>74.947807933194056</v>
      </c>
      <c r="M206">
        <v>0.22374999999999604</v>
      </c>
      <c r="N206">
        <v>88.923267326732869</v>
      </c>
      <c r="O206" s="2" t="s">
        <v>107</v>
      </c>
      <c r="P206" s="3"/>
      <c r="Q206" s="5">
        <v>45454</v>
      </c>
    </row>
    <row r="207" spans="1:17" ht="30" x14ac:dyDescent="0.25">
      <c r="B207" t="s">
        <v>77</v>
      </c>
      <c r="C207">
        <v>2.0299999999999998</v>
      </c>
      <c r="D207">
        <v>1</v>
      </c>
      <c r="E207">
        <v>69.73</v>
      </c>
      <c r="F207">
        <v>70.040000000000006</v>
      </c>
      <c r="G207">
        <v>0.31000000000000227</v>
      </c>
      <c r="H207" t="s">
        <v>17</v>
      </c>
      <c r="I207">
        <v>71.099999999999994</v>
      </c>
      <c r="J207">
        <v>72.55</v>
      </c>
      <c r="K207">
        <v>1.4500000000000028</v>
      </c>
      <c r="L207">
        <v>80.333068992862721</v>
      </c>
      <c r="M207">
        <v>0.45374999999999466</v>
      </c>
      <c r="N207">
        <v>77.647783251231786</v>
      </c>
      <c r="O207" s="2" t="s">
        <v>107</v>
      </c>
      <c r="P207" s="3"/>
      <c r="Q207" s="5">
        <v>45454</v>
      </c>
    </row>
    <row r="208" spans="1:17" ht="30" x14ac:dyDescent="0.25">
      <c r="B208" t="s">
        <v>82</v>
      </c>
      <c r="C208">
        <v>2.0299999999999998</v>
      </c>
      <c r="D208">
        <v>2</v>
      </c>
      <c r="E208">
        <v>68.39</v>
      </c>
      <c r="F208">
        <v>68.69</v>
      </c>
      <c r="G208">
        <v>0.29999999999999716</v>
      </c>
      <c r="H208" t="s">
        <v>19</v>
      </c>
      <c r="I208">
        <v>69.150000000000006</v>
      </c>
      <c r="J208">
        <v>70.760000000000005</v>
      </c>
      <c r="K208">
        <v>1.6099999999999994</v>
      </c>
      <c r="L208">
        <v>82.621288921071809</v>
      </c>
      <c r="M208">
        <v>0.30375000000000318</v>
      </c>
      <c r="N208">
        <v>85.036945812807716</v>
      </c>
      <c r="O208" s="2" t="s">
        <v>107</v>
      </c>
      <c r="P208" s="3"/>
      <c r="Q208" s="5">
        <v>45454</v>
      </c>
    </row>
    <row r="209" spans="2:17" ht="30" x14ac:dyDescent="0.25">
      <c r="B209" t="s">
        <v>67</v>
      </c>
      <c r="C209">
        <v>2.0099999999999998</v>
      </c>
      <c r="D209">
        <v>3</v>
      </c>
      <c r="E209">
        <v>68.650000000000006</v>
      </c>
      <c r="F209">
        <v>69.06</v>
      </c>
      <c r="G209">
        <v>0.40999999999999659</v>
      </c>
      <c r="H209" t="s">
        <v>21</v>
      </c>
      <c r="I209">
        <v>68.97</v>
      </c>
      <c r="J209">
        <v>70.41</v>
      </c>
      <c r="K209">
        <v>1.4399999999999977</v>
      </c>
      <c r="L209">
        <v>75.393848462115656</v>
      </c>
      <c r="M209">
        <v>0.34375000000000544</v>
      </c>
      <c r="N209">
        <v>82.898009950248479</v>
      </c>
      <c r="O209" s="2" t="s">
        <v>107</v>
      </c>
      <c r="P209" s="3"/>
      <c r="Q209" s="5">
        <v>45454</v>
      </c>
    </row>
    <row r="210" spans="2:17" ht="30" x14ac:dyDescent="0.25">
      <c r="B210" t="s">
        <v>44</v>
      </c>
      <c r="C210">
        <v>2.02</v>
      </c>
      <c r="D210">
        <v>4</v>
      </c>
      <c r="E210">
        <v>68.099999999999994</v>
      </c>
      <c r="F210">
        <v>68.28</v>
      </c>
      <c r="G210">
        <v>0.18000000000000682</v>
      </c>
      <c r="H210" t="s">
        <v>23</v>
      </c>
      <c r="I210">
        <v>70.069999999999993</v>
      </c>
      <c r="J210">
        <v>71.849999999999994</v>
      </c>
      <c r="K210">
        <v>1.7800000000000011</v>
      </c>
      <c r="L210">
        <v>89.86629134412351</v>
      </c>
      <c r="M210">
        <v>0.24374999999999206</v>
      </c>
      <c r="N210">
        <v>87.933168316832081</v>
      </c>
      <c r="O210" s="2" t="s">
        <v>107</v>
      </c>
      <c r="P210" s="3"/>
      <c r="Q210" s="5">
        <v>45454</v>
      </c>
    </row>
    <row r="211" spans="2:17" ht="30" x14ac:dyDescent="0.25">
      <c r="B211" t="s">
        <v>57</v>
      </c>
      <c r="C211">
        <v>2.0099999999999998</v>
      </c>
      <c r="D211">
        <v>5</v>
      </c>
      <c r="E211">
        <v>71.12</v>
      </c>
      <c r="F211">
        <v>71.87</v>
      </c>
      <c r="G211">
        <v>0.75</v>
      </c>
      <c r="H211" t="s">
        <v>25</v>
      </c>
      <c r="I211">
        <v>69.84</v>
      </c>
      <c r="J211">
        <v>71.09</v>
      </c>
      <c r="K211">
        <v>1.25</v>
      </c>
      <c r="L211">
        <v>58.706125258086715</v>
      </c>
      <c r="M211">
        <v>0.19374999999999978</v>
      </c>
      <c r="N211">
        <v>90.360696517412947</v>
      </c>
      <c r="O211" s="2" t="s">
        <v>107</v>
      </c>
      <c r="P211" s="3"/>
      <c r="Q211" s="5">
        <v>45454</v>
      </c>
    </row>
    <row r="212" spans="2:17" ht="30" x14ac:dyDescent="0.25">
      <c r="B212" t="s">
        <v>68</v>
      </c>
      <c r="C212">
        <v>2.0099999999999998</v>
      </c>
      <c r="D212">
        <v>6</v>
      </c>
      <c r="E212">
        <v>68.63</v>
      </c>
      <c r="F212">
        <v>68.989999999999995</v>
      </c>
      <c r="G212">
        <v>0.35999999999999943</v>
      </c>
      <c r="H212" t="s">
        <v>27</v>
      </c>
      <c r="I212">
        <v>69.59</v>
      </c>
      <c r="J212">
        <v>70.989999999999995</v>
      </c>
      <c r="K212">
        <v>1.3999999999999915</v>
      </c>
      <c r="L212">
        <v>77.160983346550267</v>
      </c>
      <c r="M212">
        <v>0.43375000000000885</v>
      </c>
      <c r="N212">
        <v>78.420398009949793</v>
      </c>
      <c r="O212" s="2" t="s">
        <v>107</v>
      </c>
      <c r="P212" s="3"/>
      <c r="Q212" s="5">
        <v>45454</v>
      </c>
    </row>
    <row r="213" spans="2:17" ht="30" x14ac:dyDescent="0.25">
      <c r="B213" t="s">
        <v>49</v>
      </c>
      <c r="C213">
        <v>2</v>
      </c>
      <c r="D213">
        <v>7</v>
      </c>
      <c r="E213">
        <v>68.7</v>
      </c>
      <c r="F213">
        <v>68.95</v>
      </c>
      <c r="G213">
        <v>0.25</v>
      </c>
      <c r="H213" t="s">
        <v>29</v>
      </c>
      <c r="I213">
        <v>70.05</v>
      </c>
      <c r="J213">
        <v>71.59</v>
      </c>
      <c r="K213">
        <v>1.5400000000000063</v>
      </c>
      <c r="L213">
        <v>84.435797665369705</v>
      </c>
      <c r="M213">
        <v>0.39374999999999372</v>
      </c>
      <c r="N213">
        <v>80.312500000000313</v>
      </c>
      <c r="O213" s="2" t="s">
        <v>107</v>
      </c>
      <c r="P213" s="3"/>
      <c r="Q213" s="5">
        <v>45454</v>
      </c>
    </row>
    <row r="214" spans="2:17" ht="30" x14ac:dyDescent="0.25">
      <c r="B214" t="s">
        <v>62</v>
      </c>
      <c r="C214">
        <v>2</v>
      </c>
      <c r="D214">
        <v>8</v>
      </c>
      <c r="E214">
        <v>71.209999999999994</v>
      </c>
      <c r="F214">
        <v>71.459999999999994</v>
      </c>
      <c r="G214">
        <v>0.25</v>
      </c>
      <c r="H214" t="s">
        <v>31</v>
      </c>
      <c r="I214">
        <v>69.28</v>
      </c>
      <c r="J214">
        <v>70.86</v>
      </c>
      <c r="K214">
        <v>1.5799999999999983</v>
      </c>
      <c r="L214">
        <v>84.813971146545157</v>
      </c>
      <c r="M214">
        <v>0.35375000000000167</v>
      </c>
      <c r="N214">
        <v>82.312499999999915</v>
      </c>
      <c r="O214" s="2" t="s">
        <v>107</v>
      </c>
      <c r="P214" s="3"/>
      <c r="Q214" s="5">
        <v>45454</v>
      </c>
    </row>
    <row r="215" spans="2:17" ht="30" x14ac:dyDescent="0.25">
      <c r="B215" t="s">
        <v>47</v>
      </c>
      <c r="C215">
        <v>2</v>
      </c>
      <c r="D215">
        <v>1</v>
      </c>
      <c r="E215">
        <v>69.2</v>
      </c>
      <c r="F215">
        <v>69.349999999999994</v>
      </c>
      <c r="G215">
        <v>0.14999999999999147</v>
      </c>
      <c r="H215" t="s">
        <v>17</v>
      </c>
      <c r="I215">
        <v>68.97</v>
      </c>
      <c r="J215">
        <v>70.680000000000007</v>
      </c>
      <c r="K215">
        <v>1.710000000000008</v>
      </c>
      <c r="L215">
        <v>91.051454138702965</v>
      </c>
      <c r="M215">
        <v>0.32375000000000054</v>
      </c>
      <c r="N215">
        <v>83.812499999999972</v>
      </c>
      <c r="O215" s="2" t="s">
        <v>107</v>
      </c>
      <c r="P215" s="3"/>
      <c r="Q215" s="5">
        <v>45454</v>
      </c>
    </row>
    <row r="216" spans="2:17" ht="30" x14ac:dyDescent="0.25">
      <c r="B216" t="s">
        <v>61</v>
      </c>
      <c r="C216">
        <v>2</v>
      </c>
      <c r="D216">
        <v>2</v>
      </c>
      <c r="E216">
        <v>70.010000000000005</v>
      </c>
      <c r="F216">
        <v>70.3</v>
      </c>
      <c r="G216">
        <v>0.28999999999999204</v>
      </c>
      <c r="H216" t="s">
        <v>19</v>
      </c>
      <c r="I216">
        <v>69.14</v>
      </c>
      <c r="J216">
        <v>70.7</v>
      </c>
      <c r="K216">
        <v>1.5600000000000023</v>
      </c>
      <c r="L216">
        <v>82.595648912228469</v>
      </c>
      <c r="M216">
        <v>0.33375000000000565</v>
      </c>
      <c r="N216">
        <v>83.312499999999716</v>
      </c>
      <c r="O216" s="2" t="s">
        <v>107</v>
      </c>
      <c r="P216" s="3"/>
      <c r="Q216" s="5">
        <v>45454</v>
      </c>
    </row>
    <row r="217" spans="2:17" ht="30" x14ac:dyDescent="0.25">
      <c r="B217" t="s">
        <v>70</v>
      </c>
      <c r="C217">
        <v>2</v>
      </c>
      <c r="D217">
        <v>3</v>
      </c>
      <c r="E217">
        <v>69.16</v>
      </c>
      <c r="F217">
        <v>69.790000000000006</v>
      </c>
      <c r="G217">
        <v>0.63000000000000966</v>
      </c>
      <c r="H217" t="s">
        <v>21</v>
      </c>
      <c r="I217">
        <v>68.069999999999993</v>
      </c>
      <c r="J217">
        <v>69.22</v>
      </c>
      <c r="K217">
        <v>1.1500000000000057</v>
      </c>
      <c r="L217">
        <v>60.532498042286385</v>
      </c>
      <c r="M217">
        <v>0.40374999999998462</v>
      </c>
      <c r="N217">
        <v>79.812500000000767</v>
      </c>
      <c r="O217" s="2" t="s">
        <v>107</v>
      </c>
      <c r="P217" s="3"/>
      <c r="Q217" s="5">
        <v>45454</v>
      </c>
    </row>
    <row r="218" spans="2:17" ht="30" x14ac:dyDescent="0.25">
      <c r="B218" t="s">
        <v>71</v>
      </c>
      <c r="C218">
        <v>2</v>
      </c>
      <c r="D218">
        <v>4</v>
      </c>
      <c r="E218">
        <v>69.13</v>
      </c>
      <c r="F218">
        <v>69.3</v>
      </c>
      <c r="G218">
        <v>0.17000000000000171</v>
      </c>
      <c r="H218" t="s">
        <v>23</v>
      </c>
      <c r="I218">
        <v>69.91</v>
      </c>
      <c r="J218">
        <v>71.459999999999994</v>
      </c>
      <c r="K218">
        <v>1.5499999999999972</v>
      </c>
      <c r="L218">
        <v>88.934092758339986</v>
      </c>
      <c r="M218">
        <v>0.46375000000000111</v>
      </c>
      <c r="N218">
        <v>76.812499999999943</v>
      </c>
      <c r="O218" s="2" t="s">
        <v>107</v>
      </c>
      <c r="P218" s="3"/>
      <c r="Q218" s="5">
        <v>45454</v>
      </c>
    </row>
    <row r="219" spans="2:17" ht="30" x14ac:dyDescent="0.25">
      <c r="B219" t="s">
        <v>48</v>
      </c>
      <c r="C219">
        <v>2.02</v>
      </c>
      <c r="D219">
        <v>5</v>
      </c>
      <c r="E219">
        <v>69.16</v>
      </c>
      <c r="F219">
        <v>69.349999999999994</v>
      </c>
      <c r="G219">
        <v>0.18999999999999773</v>
      </c>
      <c r="H219" t="s">
        <v>25</v>
      </c>
      <c r="I219">
        <v>70.09</v>
      </c>
      <c r="J219">
        <v>71.78</v>
      </c>
      <c r="K219">
        <v>1.6899999999999977</v>
      </c>
      <c r="L219">
        <v>88.798820928518893</v>
      </c>
      <c r="M219">
        <v>0.32375000000000453</v>
      </c>
      <c r="N219">
        <v>83.972772277227492</v>
      </c>
      <c r="O219" s="2" t="s">
        <v>107</v>
      </c>
      <c r="P219" s="3"/>
      <c r="Q219" s="5">
        <v>45454</v>
      </c>
    </row>
    <row r="220" spans="2:17" ht="30" x14ac:dyDescent="0.25">
      <c r="B220" t="s">
        <v>63</v>
      </c>
      <c r="C220">
        <v>2</v>
      </c>
      <c r="D220">
        <v>6</v>
      </c>
      <c r="E220">
        <v>71.34</v>
      </c>
      <c r="F220">
        <v>71.45</v>
      </c>
      <c r="G220">
        <v>0.10999999999999943</v>
      </c>
      <c r="H220" t="s">
        <v>27</v>
      </c>
      <c r="I220">
        <v>70.08</v>
      </c>
      <c r="J220">
        <v>71.849999999999994</v>
      </c>
      <c r="K220">
        <v>1.769999999999996</v>
      </c>
      <c r="L220">
        <v>93.515106853353004</v>
      </c>
      <c r="M220">
        <v>0.30375000000000452</v>
      </c>
      <c r="N220">
        <v>84.812499999999773</v>
      </c>
      <c r="O220" s="2" t="s">
        <v>107</v>
      </c>
      <c r="P220" s="3"/>
      <c r="Q220" s="5">
        <v>45454</v>
      </c>
    </row>
    <row r="221" spans="2:17" ht="30" x14ac:dyDescent="0.25">
      <c r="B221" t="s">
        <v>72</v>
      </c>
      <c r="C221">
        <v>2.02</v>
      </c>
      <c r="D221">
        <v>7</v>
      </c>
      <c r="E221">
        <v>69.63</v>
      </c>
      <c r="F221">
        <v>70.12</v>
      </c>
      <c r="G221">
        <v>0.49000000000000909</v>
      </c>
      <c r="H221" t="s">
        <v>29</v>
      </c>
      <c r="I221">
        <v>69.739999999999995</v>
      </c>
      <c r="J221">
        <v>71.099999999999994</v>
      </c>
      <c r="K221">
        <v>1.3599999999999994</v>
      </c>
      <c r="L221">
        <v>70.59264816204012</v>
      </c>
      <c r="M221">
        <v>0.35374999999999146</v>
      </c>
      <c r="N221">
        <v>82.487623762376643</v>
      </c>
      <c r="O221" s="2" t="s">
        <v>107</v>
      </c>
      <c r="P221" s="3"/>
      <c r="Q221" s="5">
        <v>45454</v>
      </c>
    </row>
    <row r="222" spans="2:17" ht="30" x14ac:dyDescent="0.25">
      <c r="B222" t="s">
        <v>79</v>
      </c>
      <c r="C222">
        <v>2.0099999999999998</v>
      </c>
      <c r="D222">
        <v>8</v>
      </c>
      <c r="E222">
        <v>69.64</v>
      </c>
      <c r="F222">
        <v>70.25</v>
      </c>
      <c r="G222">
        <v>0.60999999999999943</v>
      </c>
      <c r="H222" t="s">
        <v>31</v>
      </c>
      <c r="I222">
        <v>69.650000000000006</v>
      </c>
      <c r="J222">
        <v>70.92</v>
      </c>
      <c r="K222">
        <v>1.269999999999996</v>
      </c>
      <c r="L222">
        <v>64.038319823139204</v>
      </c>
      <c r="M222">
        <v>0.3137500000000043</v>
      </c>
      <c r="N222">
        <v>84.39054726368137</v>
      </c>
      <c r="O222" s="2" t="s">
        <v>107</v>
      </c>
      <c r="P222" s="3"/>
      <c r="Q222" s="5">
        <v>45454</v>
      </c>
    </row>
    <row r="223" spans="2:17" ht="30" x14ac:dyDescent="0.25">
      <c r="B223" t="s">
        <v>69</v>
      </c>
      <c r="C223">
        <v>2.0099999999999998</v>
      </c>
      <c r="D223">
        <v>1</v>
      </c>
      <c r="E223">
        <v>68.94</v>
      </c>
      <c r="F223">
        <v>69.45</v>
      </c>
      <c r="G223">
        <v>0.51000000000000512</v>
      </c>
      <c r="H223" t="s">
        <v>17</v>
      </c>
      <c r="I223">
        <v>69.099999999999994</v>
      </c>
      <c r="J223">
        <v>70.48</v>
      </c>
      <c r="K223">
        <v>1.3800000000000097</v>
      </c>
      <c r="L223">
        <v>70.109890109890074</v>
      </c>
      <c r="M223">
        <v>0.30374999999998498</v>
      </c>
      <c r="N223">
        <v>84.888059701493276</v>
      </c>
      <c r="O223" s="2" t="s">
        <v>107</v>
      </c>
      <c r="P223" s="3"/>
      <c r="Q223" s="5">
        <v>45454</v>
      </c>
    </row>
    <row r="224" spans="2:17" ht="30" x14ac:dyDescent="0.25">
      <c r="B224" t="s">
        <v>46</v>
      </c>
      <c r="C224">
        <v>2</v>
      </c>
      <c r="D224">
        <v>2</v>
      </c>
      <c r="E224">
        <v>68.39</v>
      </c>
      <c r="F224">
        <v>68.64</v>
      </c>
      <c r="G224">
        <v>0.25</v>
      </c>
      <c r="H224" t="s">
        <v>19</v>
      </c>
      <c r="I224">
        <v>70.7</v>
      </c>
      <c r="J224">
        <v>72.38</v>
      </c>
      <c r="K224">
        <v>1.6799999999999926</v>
      </c>
      <c r="L224">
        <v>85.683607730851762</v>
      </c>
      <c r="M224">
        <v>0.25375000000000736</v>
      </c>
      <c r="N224">
        <v>87.312499999999631</v>
      </c>
      <c r="O224" s="2" t="s">
        <v>107</v>
      </c>
      <c r="P224" s="3"/>
      <c r="Q224" s="5">
        <v>45454</v>
      </c>
    </row>
    <row r="225" spans="2:17" ht="30" x14ac:dyDescent="0.25">
      <c r="B225" t="s">
        <v>66</v>
      </c>
      <c r="C225">
        <v>2.02</v>
      </c>
      <c r="D225">
        <v>3</v>
      </c>
      <c r="E225">
        <v>70.010000000000005</v>
      </c>
      <c r="F225">
        <v>70.11</v>
      </c>
      <c r="G225">
        <v>9.9999999999994316E-2</v>
      </c>
      <c r="H225" t="s">
        <v>21</v>
      </c>
      <c r="I225">
        <v>68.05</v>
      </c>
      <c r="J225">
        <v>69.8</v>
      </c>
      <c r="K225">
        <v>1.75</v>
      </c>
      <c r="L225">
        <v>93.998499624906557</v>
      </c>
      <c r="M225">
        <v>0.35375000000000567</v>
      </c>
      <c r="N225">
        <v>82.487623762375947</v>
      </c>
      <c r="O225" s="2" t="s">
        <v>107</v>
      </c>
      <c r="P225" s="3"/>
      <c r="Q225" s="5">
        <v>45454</v>
      </c>
    </row>
    <row r="226" spans="2:17" ht="30" x14ac:dyDescent="0.25">
      <c r="B226" t="s">
        <v>73</v>
      </c>
      <c r="C226">
        <v>2.02</v>
      </c>
      <c r="D226">
        <v>4</v>
      </c>
      <c r="E226">
        <v>70.55</v>
      </c>
      <c r="F226">
        <v>71</v>
      </c>
      <c r="G226">
        <v>0.45000000000000284</v>
      </c>
      <c r="H226" t="s">
        <v>23</v>
      </c>
      <c r="I226">
        <v>69.19</v>
      </c>
      <c r="J226">
        <v>70.569999999999993</v>
      </c>
      <c r="K226">
        <v>1.3799999999999955</v>
      </c>
      <c r="L226">
        <v>72.665148063781118</v>
      </c>
      <c r="M226">
        <v>0.37375000000000169</v>
      </c>
      <c r="N226">
        <v>81.497524752475158</v>
      </c>
      <c r="O226" s="2" t="s">
        <v>107</v>
      </c>
      <c r="P226" s="3"/>
      <c r="Q226" s="5">
        <v>45454</v>
      </c>
    </row>
    <row r="227" spans="2:17" ht="30" x14ac:dyDescent="0.25">
      <c r="B227" t="s">
        <v>74</v>
      </c>
      <c r="C227">
        <v>2.0499999999999998</v>
      </c>
      <c r="D227">
        <v>5</v>
      </c>
      <c r="E227">
        <v>70.64</v>
      </c>
      <c r="F227">
        <v>70.91</v>
      </c>
      <c r="G227">
        <v>0.26999999999999602</v>
      </c>
      <c r="H227" t="s">
        <v>25</v>
      </c>
      <c r="I227">
        <v>70.03</v>
      </c>
      <c r="J227">
        <v>71.680000000000007</v>
      </c>
      <c r="K227">
        <v>1.6500000000000057</v>
      </c>
      <c r="L227">
        <v>84.449244060475408</v>
      </c>
      <c r="M227">
        <v>0.31374999999999809</v>
      </c>
      <c r="N227">
        <v>84.695121951219605</v>
      </c>
      <c r="O227" s="2" t="s">
        <v>107</v>
      </c>
      <c r="P227" s="3"/>
      <c r="Q227" s="5">
        <v>45454</v>
      </c>
    </row>
    <row r="228" spans="2:17" ht="30" x14ac:dyDescent="0.25">
      <c r="B228" t="s">
        <v>56</v>
      </c>
      <c r="C228">
        <v>2.0499999999999998</v>
      </c>
      <c r="D228">
        <v>6</v>
      </c>
      <c r="E228">
        <v>68.09</v>
      </c>
      <c r="F228">
        <v>68.77</v>
      </c>
      <c r="G228">
        <v>0.67999999999999261</v>
      </c>
      <c r="H228" t="s">
        <v>27</v>
      </c>
      <c r="I228">
        <v>68.989999999999995</v>
      </c>
      <c r="J228">
        <v>70.209999999999994</v>
      </c>
      <c r="K228">
        <v>1.2199999999999989</v>
      </c>
      <c r="L228">
        <v>60.378732702112394</v>
      </c>
      <c r="M228">
        <v>0.33375000000000832</v>
      </c>
      <c r="N228">
        <v>83.719512195121538</v>
      </c>
      <c r="O228" s="2" t="s">
        <v>107</v>
      </c>
      <c r="P228" s="3"/>
      <c r="Q228" s="5">
        <v>45454</v>
      </c>
    </row>
    <row r="229" spans="2:17" ht="30" x14ac:dyDescent="0.25">
      <c r="B229" t="s">
        <v>65</v>
      </c>
      <c r="C229">
        <v>2.02</v>
      </c>
      <c r="D229">
        <v>7</v>
      </c>
      <c r="E229">
        <v>69.38</v>
      </c>
      <c r="F229">
        <v>70.06</v>
      </c>
      <c r="G229">
        <v>0.68000000000000682</v>
      </c>
      <c r="H229" t="s">
        <v>29</v>
      </c>
      <c r="I229">
        <v>70.5</v>
      </c>
      <c r="J229">
        <v>71.709999999999994</v>
      </c>
      <c r="K229">
        <v>1.2099999999999937</v>
      </c>
      <c r="L229">
        <v>60.146520146519755</v>
      </c>
      <c r="M229">
        <v>0.31374999999999942</v>
      </c>
      <c r="N229">
        <v>84.467821782178248</v>
      </c>
      <c r="O229" s="2" t="s">
        <v>107</v>
      </c>
      <c r="P229" s="3"/>
      <c r="Q229" s="5">
        <v>45454</v>
      </c>
    </row>
    <row r="230" spans="2:17" ht="30" x14ac:dyDescent="0.25">
      <c r="B230" t="s">
        <v>75</v>
      </c>
      <c r="C230">
        <v>2.02</v>
      </c>
      <c r="D230">
        <v>8</v>
      </c>
      <c r="E230">
        <v>70.13</v>
      </c>
      <c r="F230">
        <v>70.290000000000006</v>
      </c>
      <c r="G230">
        <v>0.1600000000000108</v>
      </c>
      <c r="H230" t="s">
        <v>31</v>
      </c>
      <c r="I230">
        <v>68.8</v>
      </c>
      <c r="J230">
        <v>70.5</v>
      </c>
      <c r="K230">
        <v>1.7000000000000028</v>
      </c>
      <c r="L230">
        <v>90.454884414615393</v>
      </c>
      <c r="M230">
        <v>0.34374999999998634</v>
      </c>
      <c r="N230">
        <v>82.982673267327399</v>
      </c>
      <c r="O230" s="2" t="s">
        <v>107</v>
      </c>
      <c r="P230" s="3"/>
      <c r="Q230" s="5">
        <v>45454</v>
      </c>
    </row>
    <row r="231" spans="2:17" ht="30" x14ac:dyDescent="0.25">
      <c r="B231" t="s">
        <v>81</v>
      </c>
      <c r="C231">
        <v>2.04</v>
      </c>
      <c r="D231">
        <v>1</v>
      </c>
      <c r="E231">
        <v>70.36</v>
      </c>
      <c r="F231">
        <v>70.62</v>
      </c>
      <c r="G231">
        <v>0.26000000000000512</v>
      </c>
      <c r="H231" t="s">
        <v>17</v>
      </c>
      <c r="I231">
        <v>69.48</v>
      </c>
      <c r="J231">
        <v>71.08</v>
      </c>
      <c r="K231">
        <v>1.5999999999999943</v>
      </c>
      <c r="L231">
        <v>84.489187173750622</v>
      </c>
      <c r="M231">
        <v>0.36375000000000057</v>
      </c>
      <c r="N231">
        <v>82.169117647058783</v>
      </c>
      <c r="O231" s="2" t="s">
        <v>107</v>
      </c>
      <c r="P231" s="3"/>
      <c r="Q231" s="5">
        <v>45454</v>
      </c>
    </row>
    <row r="232" spans="2:17" ht="30" x14ac:dyDescent="0.25">
      <c r="B232" t="s">
        <v>83</v>
      </c>
      <c r="C232">
        <v>2.0499999999999998</v>
      </c>
      <c r="D232">
        <v>2</v>
      </c>
      <c r="E232">
        <v>69.37</v>
      </c>
      <c r="F232">
        <v>69.56</v>
      </c>
      <c r="G232">
        <v>0.18999999999999773</v>
      </c>
      <c r="H232" t="s">
        <v>19</v>
      </c>
      <c r="I232">
        <v>70.22</v>
      </c>
      <c r="J232">
        <v>71.91</v>
      </c>
      <c r="K232">
        <v>1.6899999999999977</v>
      </c>
      <c r="L232">
        <v>88.798820928518893</v>
      </c>
      <c r="M232">
        <v>0.35375000000000434</v>
      </c>
      <c r="N232">
        <v>82.743902439024168</v>
      </c>
      <c r="O232" s="2" t="s">
        <v>107</v>
      </c>
      <c r="P232" s="3"/>
      <c r="Q232" s="5">
        <v>45454</v>
      </c>
    </row>
    <row r="233" spans="2:17" ht="30" x14ac:dyDescent="0.25">
      <c r="B233" t="s">
        <v>89</v>
      </c>
      <c r="C233">
        <v>2.0299999999999998</v>
      </c>
      <c r="D233">
        <v>3</v>
      </c>
      <c r="E233">
        <v>71.11</v>
      </c>
      <c r="F233">
        <v>71.349999999999994</v>
      </c>
      <c r="G233">
        <v>0.23999999999999488</v>
      </c>
      <c r="H233" t="s">
        <v>21</v>
      </c>
      <c r="I233">
        <v>67.91</v>
      </c>
      <c r="J233">
        <v>69.61</v>
      </c>
      <c r="K233">
        <v>1.7000000000000028</v>
      </c>
      <c r="L233">
        <v>86.334519572954008</v>
      </c>
      <c r="M233">
        <v>0.27375000000000205</v>
      </c>
      <c r="N233">
        <v>86.514778325123046</v>
      </c>
      <c r="O233" s="2" t="s">
        <v>107</v>
      </c>
      <c r="P233" s="3"/>
      <c r="Q233" s="5">
        <v>45454</v>
      </c>
    </row>
    <row r="234" spans="2:17" ht="30" x14ac:dyDescent="0.25">
      <c r="B234" t="s">
        <v>87</v>
      </c>
      <c r="C234">
        <v>2.02</v>
      </c>
      <c r="D234">
        <v>4</v>
      </c>
      <c r="E234">
        <v>69.13</v>
      </c>
      <c r="F234">
        <v>69.53</v>
      </c>
      <c r="G234">
        <v>0.40000000000000568</v>
      </c>
      <c r="H234" t="s">
        <v>23</v>
      </c>
      <c r="I234">
        <v>70.44</v>
      </c>
      <c r="J234">
        <v>71.87</v>
      </c>
      <c r="K234">
        <v>1.4300000000000068</v>
      </c>
      <c r="L234">
        <v>75.70235383447212</v>
      </c>
      <c r="M234">
        <v>0.37374999999998748</v>
      </c>
      <c r="N234">
        <v>81.497524752475854</v>
      </c>
      <c r="O234" s="2" t="s">
        <v>107</v>
      </c>
      <c r="P234" s="3"/>
      <c r="Q234" s="5">
        <v>45454</v>
      </c>
    </row>
    <row r="235" spans="2:17" ht="30" x14ac:dyDescent="0.25">
      <c r="B235" t="s">
        <v>54</v>
      </c>
      <c r="C235">
        <v>2.04</v>
      </c>
      <c r="D235">
        <v>5</v>
      </c>
      <c r="E235">
        <v>69.23</v>
      </c>
      <c r="F235">
        <v>69.989999999999995</v>
      </c>
      <c r="G235">
        <v>0.75999999999999091</v>
      </c>
      <c r="H235" t="s">
        <v>25</v>
      </c>
      <c r="I235">
        <v>69.08</v>
      </c>
      <c r="J235">
        <v>70.290000000000006</v>
      </c>
      <c r="K235">
        <v>1.210000000000008</v>
      </c>
      <c r="L235">
        <v>57.452764170749262</v>
      </c>
      <c r="M235">
        <v>0.25375000000000114</v>
      </c>
      <c r="N235">
        <v>87.561274509803866</v>
      </c>
      <c r="O235" s="2" t="s">
        <v>107</v>
      </c>
      <c r="P235" s="3"/>
      <c r="Q235" s="5">
        <v>45454</v>
      </c>
    </row>
    <row r="236" spans="2:17" ht="30" x14ac:dyDescent="0.25">
      <c r="B236" t="s">
        <v>78</v>
      </c>
      <c r="C236">
        <v>2.0299999999999998</v>
      </c>
      <c r="D236">
        <v>6</v>
      </c>
      <c r="E236">
        <v>69.12</v>
      </c>
      <c r="F236">
        <v>70.16</v>
      </c>
      <c r="G236">
        <v>1.039999999999992</v>
      </c>
      <c r="H236" t="s">
        <v>27</v>
      </c>
      <c r="I236">
        <v>69.09</v>
      </c>
      <c r="J236">
        <v>70.06</v>
      </c>
      <c r="K236">
        <v>0.96999999999999886</v>
      </c>
      <c r="L236">
        <v>43.052703627652448</v>
      </c>
      <c r="M236">
        <v>0.2037500000000089</v>
      </c>
      <c r="N236">
        <v>89.963054187191673</v>
      </c>
      <c r="O236" s="2" t="s">
        <v>107</v>
      </c>
      <c r="P236" s="3"/>
      <c r="Q236" s="5">
        <v>45454</v>
      </c>
    </row>
    <row r="237" spans="2:17" ht="30" x14ac:dyDescent="0.25">
      <c r="B237" t="s">
        <v>80</v>
      </c>
      <c r="C237">
        <v>2.0299999999999998</v>
      </c>
      <c r="D237">
        <v>7</v>
      </c>
      <c r="E237">
        <v>70.47</v>
      </c>
      <c r="F237">
        <v>71.17</v>
      </c>
      <c r="G237">
        <v>0.70000000000000284</v>
      </c>
      <c r="H237" t="s">
        <v>29</v>
      </c>
      <c r="I237">
        <v>70.709999999999994</v>
      </c>
      <c r="J237">
        <v>72.02</v>
      </c>
      <c r="K237">
        <v>1.3100000000000023</v>
      </c>
      <c r="L237">
        <v>61.670088980150531</v>
      </c>
      <c r="M237">
        <v>0.20374999999999469</v>
      </c>
      <c r="N237">
        <v>89.96305418719237</v>
      </c>
      <c r="O237" s="2" t="s">
        <v>107</v>
      </c>
      <c r="P237" s="3"/>
      <c r="Q237" s="5">
        <v>45454</v>
      </c>
    </row>
    <row r="238" spans="2:17" ht="30" x14ac:dyDescent="0.25">
      <c r="B238" t="s">
        <v>86</v>
      </c>
      <c r="C238">
        <v>2.04</v>
      </c>
      <c r="D238">
        <v>8</v>
      </c>
      <c r="E238">
        <v>69.33</v>
      </c>
      <c r="F238">
        <v>70.13</v>
      </c>
      <c r="G238">
        <v>0.79999999999999716</v>
      </c>
      <c r="H238" t="s">
        <v>31</v>
      </c>
      <c r="I238">
        <v>69.31</v>
      </c>
      <c r="J238">
        <v>70.55</v>
      </c>
      <c r="K238">
        <v>1.2399999999999949</v>
      </c>
      <c r="L238">
        <v>56.902356902356864</v>
      </c>
      <c r="M238">
        <v>0.18375000000000799</v>
      </c>
      <c r="N238">
        <v>90.992647058823124</v>
      </c>
      <c r="O238" s="2" t="s">
        <v>107</v>
      </c>
      <c r="P238" s="3"/>
      <c r="Q238" s="5">
        <v>45454</v>
      </c>
    </row>
    <row r="239" spans="2:17" ht="30" x14ac:dyDescent="0.25">
      <c r="B239" t="s">
        <v>50</v>
      </c>
      <c r="C239">
        <v>2.0099999999999998</v>
      </c>
      <c r="D239">
        <v>1</v>
      </c>
      <c r="E239">
        <v>70.59</v>
      </c>
      <c r="F239">
        <v>71.739999999999995</v>
      </c>
      <c r="G239">
        <v>1.1499999999999915</v>
      </c>
      <c r="H239" t="s">
        <v>17</v>
      </c>
      <c r="I239">
        <v>69.72</v>
      </c>
      <c r="J239">
        <v>70.55</v>
      </c>
      <c r="K239">
        <v>0.82999999999999829</v>
      </c>
      <c r="L239">
        <v>35.977731384829617</v>
      </c>
      <c r="M239">
        <v>0.21375000000001002</v>
      </c>
      <c r="N239">
        <v>89.365671641790541</v>
      </c>
      <c r="O239" s="2" t="s">
        <v>107</v>
      </c>
      <c r="P239" s="3"/>
      <c r="Q239" s="5">
        <v>45454</v>
      </c>
    </row>
    <row r="240" spans="2:17" ht="30" x14ac:dyDescent="0.25">
      <c r="B240" t="s">
        <v>76</v>
      </c>
      <c r="C240">
        <v>2.0099999999999998</v>
      </c>
      <c r="D240">
        <v>2</v>
      </c>
      <c r="E240">
        <v>69.37</v>
      </c>
      <c r="F240">
        <v>69.89</v>
      </c>
      <c r="G240">
        <v>0.51999999999999602</v>
      </c>
      <c r="H240" t="s">
        <v>19</v>
      </c>
      <c r="I240">
        <v>68.930000000000007</v>
      </c>
      <c r="J240">
        <v>70.37</v>
      </c>
      <c r="K240">
        <v>1.4399999999999977</v>
      </c>
      <c r="L240">
        <v>70.724841660802369</v>
      </c>
      <c r="M240">
        <v>0.23375000000000604</v>
      </c>
      <c r="N240">
        <v>88.370646766168846</v>
      </c>
      <c r="O240" s="2" t="s">
        <v>107</v>
      </c>
      <c r="P240" s="3"/>
      <c r="Q240" s="5">
        <v>45454</v>
      </c>
    </row>
    <row r="241" spans="2:17" ht="30" x14ac:dyDescent="0.25">
      <c r="B241" t="s">
        <v>96</v>
      </c>
      <c r="C241">
        <v>2.0499999999999998</v>
      </c>
      <c r="D241">
        <v>3</v>
      </c>
      <c r="E241">
        <v>68.55</v>
      </c>
      <c r="F241">
        <v>69.22</v>
      </c>
      <c r="G241">
        <v>0.67000000000000171</v>
      </c>
      <c r="H241" t="s">
        <v>21</v>
      </c>
      <c r="I241">
        <v>69.45</v>
      </c>
      <c r="J241">
        <v>70.709999999999994</v>
      </c>
      <c r="K241">
        <v>1.2599999999999909</v>
      </c>
      <c r="L241">
        <v>61.632068718682632</v>
      </c>
      <c r="M241">
        <v>0.30375000000000718</v>
      </c>
      <c r="N241">
        <v>85.182926829267942</v>
      </c>
      <c r="O241" s="2" t="s">
        <v>107</v>
      </c>
      <c r="P241" s="3"/>
      <c r="Q241" s="5">
        <v>45454</v>
      </c>
    </row>
    <row r="242" spans="2:17" ht="30" x14ac:dyDescent="0.25">
      <c r="B242" t="s">
        <v>84</v>
      </c>
      <c r="C242">
        <v>2</v>
      </c>
      <c r="D242">
        <v>4</v>
      </c>
      <c r="E242">
        <v>70.47</v>
      </c>
      <c r="F242">
        <v>70.959999999999994</v>
      </c>
      <c r="G242">
        <v>0.48999999999999488</v>
      </c>
      <c r="H242" t="s">
        <v>23</v>
      </c>
      <c r="I242">
        <v>70.7</v>
      </c>
      <c r="J242">
        <v>72.16</v>
      </c>
      <c r="K242">
        <v>1.4599999999999937</v>
      </c>
      <c r="L242">
        <v>72.257607926397853</v>
      </c>
      <c r="M242">
        <v>0.23375000000001137</v>
      </c>
      <c r="N242">
        <v>88.312499999999432</v>
      </c>
      <c r="O242" s="2" t="s">
        <v>107</v>
      </c>
      <c r="P242" s="3"/>
      <c r="Q242" s="5">
        <v>45454</v>
      </c>
    </row>
  </sheetData>
  <sortState xmlns:xlrd2="http://schemas.microsoft.com/office/spreadsheetml/2017/richdata2" ref="A2:Q198">
    <sortCondition ref="O1:O198"/>
  </sortState>
  <conditionalFormatting sqref="B199">
    <cfRule type="duplicateValues" dxfId="1" priority="2"/>
  </conditionalFormatting>
  <conditionalFormatting sqref="B20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FB85-B5AB-4ED6-8E16-91A621866E1C}">
  <dimension ref="A1:I241"/>
  <sheetViews>
    <sheetView tabSelected="1" topLeftCell="A223" workbookViewId="0">
      <selection activeCell="B242" sqref="B242"/>
    </sheetView>
  </sheetViews>
  <sheetFormatPr baseColWidth="10" defaultRowHeight="15" x14ac:dyDescent="0.25"/>
  <cols>
    <col min="2" max="2" width="12.42578125" bestFit="1" customWidth="1"/>
    <col min="3" max="3" width="17.42578125" bestFit="1" customWidth="1"/>
    <col min="4" max="4" width="20.7109375" bestFit="1" customWidth="1"/>
    <col min="5" max="5" width="12" bestFit="1" customWidth="1"/>
    <col min="6" max="6" width="16.5703125" bestFit="1" customWidth="1"/>
    <col min="7" max="7" width="21" bestFit="1" customWidth="1"/>
    <col min="8" max="8" width="10.7109375" bestFit="1" customWidth="1"/>
    <col min="9" max="9" width="11.42578125" style="5"/>
  </cols>
  <sheetData>
    <row r="1" spans="1:9" x14ac:dyDescent="0.25">
      <c r="A1" t="s">
        <v>1</v>
      </c>
      <c r="B1" t="s">
        <v>2</v>
      </c>
      <c r="C1" t="s">
        <v>6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s="5" t="s">
        <v>106</v>
      </c>
    </row>
    <row r="2" spans="1:9" x14ac:dyDescent="0.25">
      <c r="A2" t="s">
        <v>59</v>
      </c>
      <c r="B2">
        <v>2.04</v>
      </c>
      <c r="C2">
        <v>0.12999999999999545</v>
      </c>
      <c r="D2">
        <v>1.7600000000000051</v>
      </c>
      <c r="E2">
        <v>92.38095238095265</v>
      </c>
      <c r="F2">
        <v>0.33374999999999944</v>
      </c>
      <c r="G2">
        <v>83.63970588235297</v>
      </c>
      <c r="H2" t="s">
        <v>107</v>
      </c>
      <c r="I2" s="5">
        <v>45454</v>
      </c>
    </row>
    <row r="3" spans="1:9" x14ac:dyDescent="0.25">
      <c r="A3" t="s">
        <v>59</v>
      </c>
      <c r="B3">
        <v>1.97</v>
      </c>
      <c r="C3">
        <v>0.14000000000000057</v>
      </c>
      <c r="D3">
        <v>1.8299999999999983</v>
      </c>
      <c r="E3">
        <v>92.162351294611582</v>
      </c>
      <c r="F3">
        <v>0.18375000000000119</v>
      </c>
      <c r="G3">
        <v>90.67258883248725</v>
      </c>
      <c r="H3" t="s">
        <v>45</v>
      </c>
      <c r="I3" s="5">
        <v>45476</v>
      </c>
    </row>
    <row r="4" spans="1:9" x14ac:dyDescent="0.25">
      <c r="A4" t="s">
        <v>59</v>
      </c>
      <c r="B4">
        <v>1.99</v>
      </c>
      <c r="C4">
        <v>0.10000000000000853</v>
      </c>
      <c r="D4">
        <v>1.8999999999999915</v>
      </c>
      <c r="E4">
        <v>94.494150034411092</v>
      </c>
      <c r="F4">
        <v>0.17375000000000007</v>
      </c>
      <c r="G4">
        <v>91.268844221105525</v>
      </c>
      <c r="H4" t="s">
        <v>105</v>
      </c>
      <c r="I4" s="5">
        <v>45498</v>
      </c>
    </row>
    <row r="5" spans="1:9" x14ac:dyDescent="0.25">
      <c r="A5" t="s">
        <v>93</v>
      </c>
      <c r="B5">
        <v>2</v>
      </c>
      <c r="C5">
        <v>0.17999999999999261</v>
      </c>
      <c r="D5">
        <v>1.6299999999999955</v>
      </c>
      <c r="E5">
        <v>88.931591083782081</v>
      </c>
      <c r="F5">
        <v>0.37375000000001202</v>
      </c>
      <c r="G5">
        <v>81.312499999999403</v>
      </c>
      <c r="H5" t="s">
        <v>107</v>
      </c>
      <c r="I5" s="5">
        <v>45469</v>
      </c>
    </row>
    <row r="6" spans="1:9" x14ac:dyDescent="0.25">
      <c r="A6" t="s">
        <v>93</v>
      </c>
      <c r="B6">
        <v>1.98</v>
      </c>
      <c r="C6">
        <v>0.18999999999999773</v>
      </c>
      <c r="D6">
        <v>1.7800000000000011</v>
      </c>
      <c r="E6">
        <v>89.363191042687319</v>
      </c>
      <c r="F6">
        <v>0.1937500000000012</v>
      </c>
      <c r="G6">
        <v>90.214646464646407</v>
      </c>
      <c r="H6" t="s">
        <v>45</v>
      </c>
      <c r="I6" s="5">
        <v>45481</v>
      </c>
    </row>
    <row r="7" spans="1:9" x14ac:dyDescent="0.25">
      <c r="A7" t="s">
        <v>93</v>
      </c>
      <c r="B7">
        <v>2.0099999999999998</v>
      </c>
      <c r="C7">
        <v>0.18999999999999773</v>
      </c>
      <c r="D7">
        <v>1.789999999999992</v>
      </c>
      <c r="E7">
        <v>89.422407794015385</v>
      </c>
      <c r="F7">
        <v>0.2137500000000101</v>
      </c>
      <c r="G7">
        <v>89.365671641790541</v>
      </c>
      <c r="H7" t="s">
        <v>105</v>
      </c>
      <c r="I7" s="5">
        <v>45498</v>
      </c>
    </row>
    <row r="8" spans="1:9" x14ac:dyDescent="0.25">
      <c r="A8" t="s">
        <v>85</v>
      </c>
      <c r="B8">
        <v>2</v>
      </c>
      <c r="C8">
        <v>0.37000000000000455</v>
      </c>
      <c r="D8">
        <v>1.3999999999999915</v>
      </c>
      <c r="E8">
        <v>76.674546887312502</v>
      </c>
      <c r="F8">
        <v>0.41375000000000406</v>
      </c>
      <c r="G8">
        <v>79.312499999999801</v>
      </c>
      <c r="H8" t="s">
        <v>107</v>
      </c>
      <c r="I8" s="5">
        <v>45469</v>
      </c>
    </row>
    <row r="9" spans="1:9" x14ac:dyDescent="0.25">
      <c r="A9" t="s">
        <v>85</v>
      </c>
      <c r="B9">
        <v>2.0299999999999998</v>
      </c>
      <c r="C9">
        <v>0.27999999999998693</v>
      </c>
      <c r="D9">
        <v>1.6200000000000045</v>
      </c>
      <c r="E9">
        <v>83.685360524399812</v>
      </c>
      <c r="F9">
        <v>0.31375000000000841</v>
      </c>
      <c r="G9">
        <v>84.54433497536904</v>
      </c>
      <c r="H9" t="s">
        <v>45</v>
      </c>
      <c r="I9" s="5">
        <v>45481</v>
      </c>
    </row>
    <row r="10" spans="1:9" x14ac:dyDescent="0.25">
      <c r="A10" t="s">
        <v>85</v>
      </c>
      <c r="B10">
        <v>2.02</v>
      </c>
      <c r="C10">
        <v>0.38999999999998636</v>
      </c>
      <c r="D10">
        <v>1.5499999999999972</v>
      </c>
      <c r="E10">
        <v>77.79359430605038</v>
      </c>
      <c r="F10">
        <v>0.26375000000001658</v>
      </c>
      <c r="G10">
        <v>86.943069306929871</v>
      </c>
      <c r="H10" t="s">
        <v>105</v>
      </c>
      <c r="I10" s="5">
        <v>45498</v>
      </c>
    </row>
    <row r="11" spans="1:9" x14ac:dyDescent="0.25">
      <c r="A11" t="s">
        <v>97</v>
      </c>
      <c r="B11">
        <v>2.02</v>
      </c>
      <c r="C11">
        <v>0.43999999999999773</v>
      </c>
      <c r="D11">
        <v>1.4899999999999949</v>
      </c>
      <c r="E11">
        <v>74.803149606299229</v>
      </c>
      <c r="F11">
        <v>0.27375000000000738</v>
      </c>
      <c r="G11">
        <v>86.448019801979825</v>
      </c>
      <c r="H11" t="s">
        <v>107</v>
      </c>
      <c r="I11" s="5">
        <v>45454</v>
      </c>
    </row>
    <row r="12" spans="1:9" x14ac:dyDescent="0.25">
      <c r="A12" t="s">
        <v>97</v>
      </c>
      <c r="B12">
        <v>1.99</v>
      </c>
      <c r="C12">
        <v>0.39999999999999147</v>
      </c>
      <c r="D12">
        <v>1.6599999999999966</v>
      </c>
      <c r="E12">
        <v>78.680879413724497</v>
      </c>
      <c r="F12">
        <v>0.11375000000001201</v>
      </c>
      <c r="G12">
        <v>94.283919597989339</v>
      </c>
      <c r="H12" t="s">
        <v>45</v>
      </c>
      <c r="I12" s="5">
        <v>45481</v>
      </c>
    </row>
    <row r="13" spans="1:9" x14ac:dyDescent="0.25">
      <c r="A13" t="s">
        <v>97</v>
      </c>
      <c r="B13">
        <v>1.97</v>
      </c>
      <c r="C13">
        <v>0.37000000000000455</v>
      </c>
      <c r="D13">
        <v>1.6300000000000097</v>
      </c>
      <c r="E13">
        <v>79.628355127322692</v>
      </c>
      <c r="F13">
        <v>0.15374999999998584</v>
      </c>
      <c r="G13">
        <v>92.195431472081935</v>
      </c>
      <c r="H13" t="s">
        <v>105</v>
      </c>
      <c r="I13" s="5">
        <v>45498</v>
      </c>
    </row>
    <row r="14" spans="1:9" x14ac:dyDescent="0.25">
      <c r="A14" t="s">
        <v>30</v>
      </c>
      <c r="B14">
        <v>1.97</v>
      </c>
      <c r="C14">
        <v>0.44000000000001194</v>
      </c>
      <c r="D14">
        <v>1.539999999999992</v>
      </c>
      <c r="E14">
        <v>75.504523312455902</v>
      </c>
      <c r="F14">
        <v>0.17374999999999607</v>
      </c>
      <c r="G14">
        <v>91.180203045685488</v>
      </c>
      <c r="H14" t="s">
        <v>107</v>
      </c>
      <c r="I14" s="5">
        <v>45474</v>
      </c>
    </row>
    <row r="15" spans="1:9" x14ac:dyDescent="0.25">
      <c r="A15" t="s">
        <v>30</v>
      </c>
      <c r="B15">
        <v>2.0099999999999998</v>
      </c>
      <c r="C15">
        <v>0.5</v>
      </c>
      <c r="D15">
        <v>1.5</v>
      </c>
      <c r="E15">
        <v>72.470750172057805</v>
      </c>
      <c r="F15">
        <v>0.19374999999999987</v>
      </c>
      <c r="G15">
        <v>90.360696517412947</v>
      </c>
      <c r="H15" t="s">
        <v>45</v>
      </c>
      <c r="I15" s="5">
        <v>45489</v>
      </c>
    </row>
    <row r="16" spans="1:9" x14ac:dyDescent="0.25">
      <c r="A16" t="s">
        <v>30</v>
      </c>
      <c r="B16">
        <v>1.97</v>
      </c>
      <c r="C16">
        <v>0.48000000000000398</v>
      </c>
      <c r="D16">
        <v>1.4499999999999886</v>
      </c>
      <c r="E16">
        <v>72.512526843235165</v>
      </c>
      <c r="F16">
        <v>0.22375000000000744</v>
      </c>
      <c r="G16">
        <v>88.642131979695051</v>
      </c>
      <c r="H16" t="s">
        <v>105</v>
      </c>
      <c r="I16" s="5">
        <v>45491</v>
      </c>
    </row>
    <row r="17" spans="1:9" x14ac:dyDescent="0.25">
      <c r="A17" t="s">
        <v>55</v>
      </c>
      <c r="B17">
        <v>2.02</v>
      </c>
      <c r="C17">
        <v>0.18999999999999773</v>
      </c>
      <c r="D17">
        <v>1.7399999999999949</v>
      </c>
      <c r="E17">
        <v>89.119541875447467</v>
      </c>
      <c r="F17">
        <v>0.27375000000000738</v>
      </c>
      <c r="G17">
        <v>86.448019801979825</v>
      </c>
      <c r="H17" t="s">
        <v>107</v>
      </c>
      <c r="I17" s="5">
        <v>45454</v>
      </c>
    </row>
    <row r="18" spans="1:9" x14ac:dyDescent="0.25">
      <c r="A18" t="s">
        <v>55</v>
      </c>
      <c r="B18">
        <v>2</v>
      </c>
      <c r="C18">
        <v>0.23999999999999488</v>
      </c>
      <c r="D18">
        <v>1.7599999999999909</v>
      </c>
      <c r="E18">
        <v>86.785960082587934</v>
      </c>
      <c r="F18">
        <v>0.18375000000001429</v>
      </c>
      <c r="G18">
        <v>90.812499999999289</v>
      </c>
      <c r="H18" t="s">
        <v>45</v>
      </c>
      <c r="I18" s="5">
        <v>45476</v>
      </c>
    </row>
    <row r="19" spans="1:9" x14ac:dyDescent="0.25">
      <c r="A19" t="s">
        <v>55</v>
      </c>
      <c r="B19">
        <v>1.99</v>
      </c>
      <c r="C19">
        <v>0.12000000000000455</v>
      </c>
      <c r="D19">
        <v>1.8799999999999955</v>
      </c>
      <c r="E19">
        <v>93.392980041293626</v>
      </c>
      <c r="F19">
        <v>0.17375000000000007</v>
      </c>
      <c r="G19">
        <v>91.268844221105525</v>
      </c>
      <c r="H19" t="s">
        <v>105</v>
      </c>
      <c r="I19" s="5">
        <v>45498</v>
      </c>
    </row>
    <row r="20" spans="1:9" x14ac:dyDescent="0.25">
      <c r="A20" t="s">
        <v>22</v>
      </c>
      <c r="B20">
        <v>2.0099999999999998</v>
      </c>
      <c r="C20">
        <v>0.43999999999999773</v>
      </c>
      <c r="D20">
        <v>1.5900000000000034</v>
      </c>
      <c r="E20">
        <v>76.167907921462557</v>
      </c>
      <c r="F20">
        <v>0.16374999999999873</v>
      </c>
      <c r="G20">
        <v>91.853233830845838</v>
      </c>
      <c r="H20" t="s">
        <v>107</v>
      </c>
      <c r="I20" s="5">
        <v>45474</v>
      </c>
    </row>
    <row r="21" spans="1:9" x14ac:dyDescent="0.25">
      <c r="A21" t="s">
        <v>22</v>
      </c>
      <c r="B21">
        <v>1.97</v>
      </c>
      <c r="C21">
        <v>0.23000000000000398</v>
      </c>
      <c r="D21">
        <v>1.7800000000000011</v>
      </c>
      <c r="E21">
        <v>87.405886379192154</v>
      </c>
      <c r="F21">
        <v>0.14374999999999494</v>
      </c>
      <c r="G21">
        <v>92.703045685279434</v>
      </c>
      <c r="H21" t="s">
        <v>45</v>
      </c>
      <c r="I21" s="5">
        <v>45489</v>
      </c>
    </row>
    <row r="22" spans="1:9" x14ac:dyDescent="0.25">
      <c r="A22" t="s">
        <v>22</v>
      </c>
      <c r="B22">
        <v>1.98</v>
      </c>
      <c r="C22">
        <v>0.40000000000000568</v>
      </c>
      <c r="D22">
        <v>1.5799999999999983</v>
      </c>
      <c r="E22">
        <v>77.731384829505643</v>
      </c>
      <c r="F22">
        <v>0.18374999999999608</v>
      </c>
      <c r="G22">
        <v>90.719696969697168</v>
      </c>
      <c r="H22" t="s">
        <v>105</v>
      </c>
      <c r="I22" s="5">
        <v>45491</v>
      </c>
    </row>
    <row r="23" spans="1:9" x14ac:dyDescent="0.25">
      <c r="A23" t="s">
        <v>52</v>
      </c>
      <c r="B23">
        <v>2.0099999999999998</v>
      </c>
      <c r="C23">
        <v>0.42000000000000171</v>
      </c>
      <c r="D23">
        <v>1.4599999999999937</v>
      </c>
      <c r="E23">
        <v>75.239498894620311</v>
      </c>
      <c r="F23">
        <v>0.3137500000000043</v>
      </c>
      <c r="G23">
        <v>84.39054726368137</v>
      </c>
      <c r="H23" t="s">
        <v>107</v>
      </c>
      <c r="I23" s="5">
        <v>45454</v>
      </c>
    </row>
    <row r="24" spans="1:9" x14ac:dyDescent="0.25">
      <c r="A24" t="s">
        <v>52</v>
      </c>
      <c r="B24">
        <v>1.98</v>
      </c>
      <c r="C24">
        <v>0.34999999999999432</v>
      </c>
      <c r="D24">
        <v>1.6299999999999955</v>
      </c>
      <c r="E24">
        <v>80.514961725817884</v>
      </c>
      <c r="F24">
        <v>0.18375000000001029</v>
      </c>
      <c r="G24">
        <v>90.719696969696457</v>
      </c>
      <c r="H24" t="s">
        <v>45</v>
      </c>
      <c r="I24" s="5">
        <v>45476</v>
      </c>
    </row>
    <row r="25" spans="1:9" x14ac:dyDescent="0.25">
      <c r="A25" t="s">
        <v>52</v>
      </c>
      <c r="B25">
        <v>2.0299999999999998</v>
      </c>
      <c r="C25">
        <v>0.1600000000000108</v>
      </c>
      <c r="D25">
        <v>1.8699999999999903</v>
      </c>
      <c r="E25">
        <v>91.333784698713032</v>
      </c>
      <c r="F25">
        <v>0.18374999999999875</v>
      </c>
      <c r="G25">
        <v>90.948275862069025</v>
      </c>
      <c r="H25" t="s">
        <v>105</v>
      </c>
      <c r="I25" s="5">
        <v>45498</v>
      </c>
    </row>
    <row r="26" spans="1:9" x14ac:dyDescent="0.25">
      <c r="A26" t="s">
        <v>51</v>
      </c>
      <c r="B26">
        <v>2.02</v>
      </c>
      <c r="C26">
        <v>0.15999999999999659</v>
      </c>
      <c r="D26">
        <v>1.8000000000000114</v>
      </c>
      <c r="E26">
        <v>90.992258972554779</v>
      </c>
      <c r="F26">
        <v>0.24374999999999206</v>
      </c>
      <c r="G26">
        <v>87.933168316832081</v>
      </c>
      <c r="H26" t="s">
        <v>107</v>
      </c>
      <c r="I26" s="5">
        <v>45454</v>
      </c>
    </row>
    <row r="27" spans="1:9" x14ac:dyDescent="0.25">
      <c r="A27" t="s">
        <v>51</v>
      </c>
      <c r="B27">
        <v>2.02</v>
      </c>
      <c r="C27">
        <v>0.17999999999999261</v>
      </c>
      <c r="D27">
        <v>1.9099999999999966</v>
      </c>
      <c r="E27">
        <v>90.557377049180658</v>
      </c>
      <c r="F27">
        <v>0.1137500000000109</v>
      </c>
      <c r="G27">
        <v>94.368811881187582</v>
      </c>
      <c r="H27" t="s">
        <v>45</v>
      </c>
      <c r="I27" s="5">
        <v>45476</v>
      </c>
    </row>
    <row r="28" spans="1:9" x14ac:dyDescent="0.25">
      <c r="A28" t="s">
        <v>51</v>
      </c>
      <c r="B28">
        <v>1.99</v>
      </c>
      <c r="C28">
        <v>0.14000000000000057</v>
      </c>
      <c r="D28">
        <v>1.8999999999999915</v>
      </c>
      <c r="E28">
        <v>92.4579124579124</v>
      </c>
      <c r="F28">
        <v>0.13375000000000803</v>
      </c>
      <c r="G28">
        <v>93.278894472361401</v>
      </c>
      <c r="H28" t="s">
        <v>105</v>
      </c>
      <c r="I28" s="5">
        <v>45498</v>
      </c>
    </row>
    <row r="29" spans="1:9" x14ac:dyDescent="0.25">
      <c r="A29" t="s">
        <v>41</v>
      </c>
      <c r="B29">
        <v>1.97</v>
      </c>
      <c r="C29">
        <v>0.34999999999999432</v>
      </c>
      <c r="D29">
        <v>1.6299999999999955</v>
      </c>
      <c r="E29">
        <v>80.514961725817884</v>
      </c>
      <c r="F29">
        <v>0.17375000000001029</v>
      </c>
      <c r="G29">
        <v>91.180203045684763</v>
      </c>
      <c r="H29" t="s">
        <v>107</v>
      </c>
      <c r="I29" s="5">
        <v>45474</v>
      </c>
    </row>
    <row r="30" spans="1:9" x14ac:dyDescent="0.25">
      <c r="A30" t="s">
        <v>41</v>
      </c>
      <c r="B30">
        <v>1.98</v>
      </c>
      <c r="C30">
        <v>0.32000000000000739</v>
      </c>
      <c r="D30">
        <v>1.6899999999999977</v>
      </c>
      <c r="E30">
        <v>82.477754962354197</v>
      </c>
      <c r="F30">
        <v>0.15374999999999495</v>
      </c>
      <c r="G30">
        <v>92.23484848484874</v>
      </c>
      <c r="H30" t="s">
        <v>45</v>
      </c>
      <c r="I30" s="5">
        <v>45489</v>
      </c>
    </row>
    <row r="31" spans="1:9" x14ac:dyDescent="0.25">
      <c r="A31" t="s">
        <v>41</v>
      </c>
      <c r="B31">
        <v>1.96</v>
      </c>
      <c r="C31">
        <v>0.32000000000000739</v>
      </c>
      <c r="D31">
        <v>1.6400000000000006</v>
      </c>
      <c r="E31">
        <v>81.984517945108735</v>
      </c>
      <c r="F31">
        <v>0.18374999999999209</v>
      </c>
      <c r="G31">
        <v>90.625000000000398</v>
      </c>
      <c r="H31" t="s">
        <v>105</v>
      </c>
      <c r="I31" s="5">
        <v>45498</v>
      </c>
    </row>
    <row r="32" spans="1:9" x14ac:dyDescent="0.25">
      <c r="A32" t="s">
        <v>58</v>
      </c>
      <c r="B32">
        <v>2.0499999999999998</v>
      </c>
      <c r="C32">
        <v>0.54999999999999716</v>
      </c>
      <c r="D32">
        <v>1.4699999999999989</v>
      </c>
      <c r="E32">
        <v>70.047651463580749</v>
      </c>
      <c r="F32">
        <v>0.2137500000000038</v>
      </c>
      <c r="G32">
        <v>89.573170731707137</v>
      </c>
      <c r="H32" t="s">
        <v>107</v>
      </c>
      <c r="I32" s="5">
        <v>45454</v>
      </c>
    </row>
    <row r="33" spans="1:9" x14ac:dyDescent="0.25">
      <c r="A33" t="s">
        <v>58</v>
      </c>
      <c r="B33">
        <v>1.97</v>
      </c>
      <c r="C33">
        <v>0.51000000000000512</v>
      </c>
      <c r="D33">
        <v>1.4899999999999949</v>
      </c>
      <c r="E33">
        <v>71.920165175498681</v>
      </c>
      <c r="F33">
        <v>0.15375000000000005</v>
      </c>
      <c r="G33">
        <v>92.195431472081211</v>
      </c>
      <c r="H33" t="s">
        <v>45</v>
      </c>
      <c r="I33" s="5">
        <v>45476</v>
      </c>
    </row>
    <row r="34" spans="1:9" x14ac:dyDescent="0.25">
      <c r="A34" t="s">
        <v>58</v>
      </c>
      <c r="B34">
        <v>1.98</v>
      </c>
      <c r="C34">
        <v>0.32999999999999829</v>
      </c>
      <c r="D34">
        <v>1.6999999999999886</v>
      </c>
      <c r="E34">
        <v>82.125930941096783</v>
      </c>
      <c r="F34">
        <v>0.13375000000001314</v>
      </c>
      <c r="G34">
        <v>93.244949494948841</v>
      </c>
      <c r="H34" t="s">
        <v>105</v>
      </c>
      <c r="I34" s="5">
        <v>45498</v>
      </c>
    </row>
    <row r="35" spans="1:9" x14ac:dyDescent="0.25">
      <c r="A35" t="s">
        <v>24</v>
      </c>
      <c r="B35">
        <v>1.98</v>
      </c>
      <c r="C35">
        <v>0.23999999999999488</v>
      </c>
      <c r="D35">
        <v>1.6199999999999903</v>
      </c>
      <c r="E35">
        <v>85.682326621924119</v>
      </c>
      <c r="F35">
        <v>0.30375000000001484</v>
      </c>
      <c r="G35">
        <v>84.659090909090168</v>
      </c>
      <c r="H35" t="s">
        <v>107</v>
      </c>
      <c r="I35" s="5">
        <v>45474</v>
      </c>
    </row>
    <row r="36" spans="1:9" x14ac:dyDescent="0.25">
      <c r="A36" t="s">
        <v>24</v>
      </c>
      <c r="B36">
        <v>2</v>
      </c>
      <c r="C36">
        <v>0.28000000000000114</v>
      </c>
      <c r="D36">
        <v>1.5600000000000023</v>
      </c>
      <c r="E36">
        <v>83.094339622641485</v>
      </c>
      <c r="F36">
        <v>0.34374999999999667</v>
      </c>
      <c r="G36">
        <v>82.812500000000171</v>
      </c>
      <c r="H36" t="s">
        <v>45</v>
      </c>
      <c r="I36" s="5">
        <v>45489</v>
      </c>
    </row>
    <row r="37" spans="1:9" x14ac:dyDescent="0.25">
      <c r="A37" t="s">
        <v>24</v>
      </c>
      <c r="B37">
        <v>2.02</v>
      </c>
      <c r="C37">
        <v>0.20999999999999375</v>
      </c>
      <c r="D37">
        <v>1.6899999999999977</v>
      </c>
      <c r="E37">
        <v>87.764020393299646</v>
      </c>
      <c r="F37">
        <v>0.30375000000000862</v>
      </c>
      <c r="G37">
        <v>84.96287128712828</v>
      </c>
      <c r="H37" t="s">
        <v>105</v>
      </c>
      <c r="I37" s="5">
        <v>45498</v>
      </c>
    </row>
    <row r="38" spans="1:9" x14ac:dyDescent="0.25">
      <c r="A38" t="s">
        <v>64</v>
      </c>
      <c r="B38">
        <v>2.0099999999999998</v>
      </c>
      <c r="C38">
        <v>0.49000000000000909</v>
      </c>
      <c r="D38">
        <v>1.519999999999996</v>
      </c>
      <c r="E38">
        <v>73.169062286104975</v>
      </c>
      <c r="F38">
        <v>0.18374999999999467</v>
      </c>
      <c r="G38">
        <v>90.858208955224143</v>
      </c>
      <c r="H38" t="s">
        <v>107</v>
      </c>
      <c r="I38" s="5">
        <v>45454</v>
      </c>
    </row>
    <row r="39" spans="1:9" x14ac:dyDescent="0.25">
      <c r="A39" t="s">
        <v>64</v>
      </c>
      <c r="B39">
        <v>2</v>
      </c>
      <c r="C39">
        <v>0.51999999999999602</v>
      </c>
      <c r="D39">
        <v>1.5300000000000011</v>
      </c>
      <c r="E39">
        <v>72.136637642331053</v>
      </c>
      <c r="F39">
        <v>0.13375000000000292</v>
      </c>
      <c r="G39">
        <v>93.312499999999858</v>
      </c>
      <c r="H39" t="s">
        <v>45</v>
      </c>
      <c r="I39" s="5">
        <v>45476</v>
      </c>
    </row>
    <row r="40" spans="1:9" x14ac:dyDescent="0.25">
      <c r="A40" t="s">
        <v>64</v>
      </c>
      <c r="B40">
        <v>2.0099999999999998</v>
      </c>
      <c r="C40">
        <v>0.48000000000000398</v>
      </c>
      <c r="D40">
        <v>1.5999999999999943</v>
      </c>
      <c r="E40">
        <v>74.686882003954949</v>
      </c>
      <c r="F40">
        <v>0.11375000000000157</v>
      </c>
      <c r="G40">
        <v>94.340796019900424</v>
      </c>
      <c r="H40" t="s">
        <v>105</v>
      </c>
      <c r="I40" s="5">
        <v>45532</v>
      </c>
    </row>
    <row r="41" spans="1:9" x14ac:dyDescent="0.25">
      <c r="A41" t="s">
        <v>94</v>
      </c>
      <c r="B41">
        <v>2.0099999999999998</v>
      </c>
      <c r="C41">
        <v>0.35999999999999943</v>
      </c>
      <c r="D41">
        <v>1.5499999999999972</v>
      </c>
      <c r="E41">
        <v>79.145546705286023</v>
      </c>
      <c r="F41">
        <v>0.28375000000000328</v>
      </c>
      <c r="G41">
        <v>85.883084577114261</v>
      </c>
      <c r="H41" t="s">
        <v>107</v>
      </c>
      <c r="I41" s="5">
        <v>45469</v>
      </c>
    </row>
    <row r="42" spans="1:9" x14ac:dyDescent="0.25">
      <c r="A42" t="s">
        <v>94</v>
      </c>
      <c r="B42">
        <v>1.99</v>
      </c>
      <c r="C42">
        <v>0.28000000000000114</v>
      </c>
      <c r="D42">
        <v>1.7599999999999909</v>
      </c>
      <c r="E42">
        <v>84.915824915824786</v>
      </c>
      <c r="F42">
        <v>0.13375000000000803</v>
      </c>
      <c r="G42">
        <v>93.278894472361401</v>
      </c>
      <c r="H42" t="s">
        <v>45</v>
      </c>
      <c r="I42" s="5">
        <v>45481</v>
      </c>
    </row>
    <row r="43" spans="1:9" x14ac:dyDescent="0.25">
      <c r="A43" t="s">
        <v>94</v>
      </c>
      <c r="B43">
        <v>2.0099999999999998</v>
      </c>
      <c r="C43">
        <v>0.33000000000001251</v>
      </c>
      <c r="D43">
        <v>1.7000000000000028</v>
      </c>
      <c r="E43">
        <v>82.125930941096286</v>
      </c>
      <c r="F43">
        <v>0.16374999999998452</v>
      </c>
      <c r="G43">
        <v>91.853233830846534</v>
      </c>
      <c r="H43" t="s">
        <v>105</v>
      </c>
      <c r="I43" s="5">
        <v>45498</v>
      </c>
    </row>
    <row r="44" spans="1:9" x14ac:dyDescent="0.25">
      <c r="A44" t="s">
        <v>102</v>
      </c>
      <c r="B44">
        <v>2.0499999999999998</v>
      </c>
      <c r="C44">
        <v>0.42999999999999261</v>
      </c>
      <c r="D44">
        <v>1.5100000000000051</v>
      </c>
      <c r="E44">
        <v>75.516014234875826</v>
      </c>
      <c r="F44">
        <v>0.29375000000000218</v>
      </c>
      <c r="G44">
        <v>85.670731707316961</v>
      </c>
      <c r="H44" t="s">
        <v>107</v>
      </c>
      <c r="I44" s="5">
        <v>45469</v>
      </c>
    </row>
    <row r="45" spans="1:9" x14ac:dyDescent="0.25">
      <c r="A45" t="s">
        <v>102</v>
      </c>
      <c r="B45">
        <v>2</v>
      </c>
      <c r="C45">
        <v>0.35000000000000853</v>
      </c>
      <c r="D45">
        <v>1.710000000000008</v>
      </c>
      <c r="E45">
        <v>81.345769487008369</v>
      </c>
      <c r="F45">
        <v>0.1237499999999836</v>
      </c>
      <c r="G45">
        <v>93.812500000000824</v>
      </c>
      <c r="H45" t="s">
        <v>45</v>
      </c>
      <c r="I45" s="5">
        <v>45481</v>
      </c>
    </row>
    <row r="46" spans="1:9" x14ac:dyDescent="0.25">
      <c r="A46" t="s">
        <v>102</v>
      </c>
      <c r="B46">
        <v>2.0099999999999998</v>
      </c>
      <c r="C46">
        <v>0.40999999999999659</v>
      </c>
      <c r="D46">
        <v>1.6300000000000097</v>
      </c>
      <c r="E46">
        <v>77.912457912458166</v>
      </c>
      <c r="F46">
        <v>0.15374999999999361</v>
      </c>
      <c r="G46">
        <v>92.350746268657034</v>
      </c>
      <c r="H46" t="s">
        <v>105</v>
      </c>
      <c r="I46" s="5">
        <v>45491</v>
      </c>
    </row>
    <row r="47" spans="1:9" x14ac:dyDescent="0.25">
      <c r="A47" t="s">
        <v>60</v>
      </c>
      <c r="B47">
        <v>2.02</v>
      </c>
      <c r="C47">
        <v>0.45000000000000284</v>
      </c>
      <c r="D47">
        <v>1.5300000000000011</v>
      </c>
      <c r="E47">
        <v>74.947807933194056</v>
      </c>
      <c r="F47">
        <v>0.22374999999999604</v>
      </c>
      <c r="G47">
        <v>88.923267326732869</v>
      </c>
      <c r="H47" t="s">
        <v>107</v>
      </c>
      <c r="I47" s="5">
        <v>45454</v>
      </c>
    </row>
    <row r="48" spans="1:9" x14ac:dyDescent="0.25">
      <c r="A48" t="s">
        <v>60</v>
      </c>
      <c r="B48">
        <v>2.02</v>
      </c>
      <c r="C48">
        <v>0.34000000000000341</v>
      </c>
      <c r="D48">
        <v>1.710000000000008</v>
      </c>
      <c r="E48">
        <v>81.781647689216271</v>
      </c>
      <c r="F48">
        <v>0.15374999999998873</v>
      </c>
      <c r="G48">
        <v>92.388613861386688</v>
      </c>
      <c r="H48" t="s">
        <v>45</v>
      </c>
      <c r="I48" s="5">
        <v>45476</v>
      </c>
    </row>
    <row r="49" spans="1:9" x14ac:dyDescent="0.25">
      <c r="A49" t="s">
        <v>60</v>
      </c>
      <c r="B49">
        <v>1.99</v>
      </c>
      <c r="C49">
        <v>0.25</v>
      </c>
      <c r="D49">
        <v>1.7900000000000063</v>
      </c>
      <c r="E49">
        <v>86.531986531986576</v>
      </c>
      <c r="F49">
        <v>0.13374999999999382</v>
      </c>
      <c r="G49">
        <v>93.278894472362111</v>
      </c>
      <c r="H49" t="s">
        <v>105</v>
      </c>
      <c r="I49" s="5">
        <v>45498</v>
      </c>
    </row>
    <row r="50" spans="1:9" x14ac:dyDescent="0.25">
      <c r="A50" t="s">
        <v>77</v>
      </c>
      <c r="B50">
        <v>2.0299999999999998</v>
      </c>
      <c r="C50">
        <v>0.31000000000000227</v>
      </c>
      <c r="D50">
        <v>1.4500000000000028</v>
      </c>
      <c r="E50">
        <v>80.333068992862721</v>
      </c>
      <c r="F50">
        <v>0.45374999999999466</v>
      </c>
      <c r="G50">
        <v>77.647783251231786</v>
      </c>
      <c r="H50" t="s">
        <v>107</v>
      </c>
      <c r="I50" s="5">
        <v>45454</v>
      </c>
    </row>
    <row r="51" spans="1:9" x14ac:dyDescent="0.25">
      <c r="A51" t="s">
        <v>77</v>
      </c>
      <c r="B51">
        <v>2.0099999999999998</v>
      </c>
      <c r="C51">
        <v>0.20999999999999375</v>
      </c>
      <c r="D51">
        <v>1.769999999999996</v>
      </c>
      <c r="E51">
        <v>88.308977035490884</v>
      </c>
      <c r="F51">
        <v>0.2137500000000101</v>
      </c>
      <c r="G51">
        <v>89.365671641790541</v>
      </c>
      <c r="H51" t="s">
        <v>45</v>
      </c>
      <c r="I51" s="5">
        <v>45481</v>
      </c>
    </row>
    <row r="52" spans="1:9" x14ac:dyDescent="0.25">
      <c r="A52" t="s">
        <v>77</v>
      </c>
      <c r="B52">
        <v>1.97</v>
      </c>
      <c r="C52">
        <v>0.23999999999999488</v>
      </c>
      <c r="D52">
        <v>1.7199999999999989</v>
      </c>
      <c r="E52">
        <v>86.488388458832048</v>
      </c>
      <c r="F52">
        <v>0.19375000000000631</v>
      </c>
      <c r="G52">
        <v>90.164974619289012</v>
      </c>
      <c r="H52" t="s">
        <v>105</v>
      </c>
      <c r="I52" s="5">
        <v>45498</v>
      </c>
    </row>
    <row r="53" spans="1:9" x14ac:dyDescent="0.25">
      <c r="A53" t="s">
        <v>82</v>
      </c>
      <c r="B53">
        <v>2.0299999999999998</v>
      </c>
      <c r="C53">
        <v>0.29999999999999716</v>
      </c>
      <c r="D53">
        <v>1.6099999999999994</v>
      </c>
      <c r="E53">
        <v>82.621288921071809</v>
      </c>
      <c r="F53">
        <v>0.30375000000000318</v>
      </c>
      <c r="G53">
        <v>85.036945812807716</v>
      </c>
      <c r="H53" t="s">
        <v>107</v>
      </c>
      <c r="I53" s="5">
        <v>45454</v>
      </c>
    </row>
    <row r="54" spans="1:9" x14ac:dyDescent="0.25">
      <c r="A54" t="s">
        <v>82</v>
      </c>
      <c r="B54">
        <v>2</v>
      </c>
      <c r="C54">
        <v>0.21999999999999886</v>
      </c>
      <c r="D54">
        <v>1.7900000000000063</v>
      </c>
      <c r="E54">
        <v>87.953456536618845</v>
      </c>
      <c r="F54">
        <v>0.17374999999999496</v>
      </c>
      <c r="G54">
        <v>91.312500000000256</v>
      </c>
      <c r="H54" t="s">
        <v>45</v>
      </c>
      <c r="I54" s="5">
        <v>45481</v>
      </c>
    </row>
    <row r="55" spans="1:9" x14ac:dyDescent="0.25">
      <c r="A55" t="s">
        <v>82</v>
      </c>
      <c r="B55">
        <v>2.0099999999999998</v>
      </c>
      <c r="C55">
        <v>0.20999999999999375</v>
      </c>
      <c r="D55">
        <v>1.7999999999999972</v>
      </c>
      <c r="E55">
        <v>88.501026694045464</v>
      </c>
      <c r="F55">
        <v>0.18375000000000896</v>
      </c>
      <c r="G55">
        <v>90.858208955223432</v>
      </c>
      <c r="H55" t="s">
        <v>105</v>
      </c>
      <c r="I55" s="5">
        <v>45498</v>
      </c>
    </row>
    <row r="56" spans="1:9" x14ac:dyDescent="0.25">
      <c r="A56" t="s">
        <v>67</v>
      </c>
      <c r="B56">
        <v>2.0099999999999998</v>
      </c>
      <c r="C56">
        <v>0.40999999999999659</v>
      </c>
      <c r="D56">
        <v>1.4399999999999977</v>
      </c>
      <c r="E56">
        <v>75.393848462115656</v>
      </c>
      <c r="F56">
        <v>0.34375000000000544</v>
      </c>
      <c r="G56">
        <v>82.898009950248479</v>
      </c>
      <c r="H56" t="s">
        <v>107</v>
      </c>
      <c r="I56" s="5">
        <v>45454</v>
      </c>
    </row>
    <row r="57" spans="1:9" x14ac:dyDescent="0.25">
      <c r="A57" t="s">
        <v>67</v>
      </c>
      <c r="B57">
        <v>1.97</v>
      </c>
      <c r="C57">
        <v>0.29999999999999716</v>
      </c>
      <c r="D57">
        <v>1.6899999999999977</v>
      </c>
      <c r="E57">
        <v>83.391003460207727</v>
      </c>
      <c r="F57">
        <v>0.16375000000000517</v>
      </c>
      <c r="G57">
        <v>91.687817258882987</v>
      </c>
      <c r="H57" t="s">
        <v>45</v>
      </c>
      <c r="I57" s="5">
        <v>45481</v>
      </c>
    </row>
    <row r="58" spans="1:9" x14ac:dyDescent="0.25">
      <c r="A58" t="s">
        <v>67</v>
      </c>
      <c r="B58">
        <v>2</v>
      </c>
      <c r="C58">
        <v>0.34000000000000341</v>
      </c>
      <c r="D58">
        <v>1.7199999999999989</v>
      </c>
      <c r="E58">
        <v>81.878747501665401</v>
      </c>
      <c r="F58">
        <v>0.12374999999999781</v>
      </c>
      <c r="G58">
        <v>93.812500000000114</v>
      </c>
      <c r="H58" t="s">
        <v>105</v>
      </c>
      <c r="I58" s="5">
        <v>45498</v>
      </c>
    </row>
    <row r="59" spans="1:9" x14ac:dyDescent="0.25">
      <c r="A59" t="s">
        <v>91</v>
      </c>
      <c r="B59">
        <v>2.02</v>
      </c>
      <c r="C59">
        <v>0.10999999999999943</v>
      </c>
      <c r="D59">
        <v>1.769999999999996</v>
      </c>
      <c r="E59">
        <v>93.515106853353004</v>
      </c>
      <c r="F59">
        <v>0.32375000000000465</v>
      </c>
      <c r="G59">
        <v>83.972772277227492</v>
      </c>
      <c r="H59" t="s">
        <v>107</v>
      </c>
      <c r="I59" s="5">
        <v>45469</v>
      </c>
    </row>
    <row r="60" spans="1:9" x14ac:dyDescent="0.25">
      <c r="A60" t="s">
        <v>91</v>
      </c>
      <c r="B60">
        <v>2.0099999999999998</v>
      </c>
      <c r="C60">
        <v>0.12999999999999545</v>
      </c>
      <c r="D60">
        <v>1.9299999999999926</v>
      </c>
      <c r="E60">
        <v>93.071285809460562</v>
      </c>
      <c r="F60">
        <v>0.1337500000000118</v>
      </c>
      <c r="G60">
        <v>93.345771144278018</v>
      </c>
      <c r="H60" t="s">
        <v>45</v>
      </c>
      <c r="I60" s="5">
        <v>45481</v>
      </c>
    </row>
    <row r="61" spans="1:9" x14ac:dyDescent="0.25">
      <c r="A61" t="s">
        <v>91</v>
      </c>
      <c r="B61">
        <v>2.04</v>
      </c>
      <c r="C61">
        <v>0.15000000000000568</v>
      </c>
      <c r="D61">
        <v>1.9300000000000068</v>
      </c>
      <c r="E61">
        <v>92.089650626235738</v>
      </c>
      <c r="F61">
        <v>0.14374999999998761</v>
      </c>
      <c r="G61">
        <v>92.953431372549616</v>
      </c>
      <c r="H61" t="s">
        <v>105</v>
      </c>
      <c r="I61" s="5">
        <v>45498</v>
      </c>
    </row>
    <row r="62" spans="1:9" x14ac:dyDescent="0.25">
      <c r="A62" t="s">
        <v>44</v>
      </c>
      <c r="B62">
        <v>2.02</v>
      </c>
      <c r="C62">
        <v>0.18000000000000682</v>
      </c>
      <c r="D62">
        <v>1.7800000000000011</v>
      </c>
      <c r="E62">
        <v>89.86629134412351</v>
      </c>
      <c r="F62">
        <v>0.24374999999999206</v>
      </c>
      <c r="G62">
        <v>87.933168316832081</v>
      </c>
      <c r="H62" t="s">
        <v>107</v>
      </c>
      <c r="I62" s="5">
        <v>45454</v>
      </c>
    </row>
    <row r="63" spans="1:9" x14ac:dyDescent="0.25">
      <c r="A63" t="s">
        <v>44</v>
      </c>
      <c r="B63">
        <v>2</v>
      </c>
      <c r="C63">
        <v>0.12999999999999545</v>
      </c>
      <c r="D63">
        <v>1.8700000000000045</v>
      </c>
      <c r="E63">
        <v>92.842395044735284</v>
      </c>
      <c r="F63">
        <v>0.18375000000000008</v>
      </c>
      <c r="G63">
        <v>90.8125</v>
      </c>
      <c r="H63" t="s">
        <v>45</v>
      </c>
      <c r="I63" s="5">
        <v>45474</v>
      </c>
    </row>
    <row r="64" spans="1:9" x14ac:dyDescent="0.25">
      <c r="A64" t="s">
        <v>44</v>
      </c>
      <c r="B64">
        <v>2.02</v>
      </c>
      <c r="C64">
        <v>8.99999999999892E-2</v>
      </c>
      <c r="D64">
        <v>1.9699999999999989</v>
      </c>
      <c r="E64">
        <v>95.203197868088481</v>
      </c>
      <c r="F64">
        <v>0.14375000000001203</v>
      </c>
      <c r="G64">
        <v>92.883663366336037</v>
      </c>
      <c r="H64" t="s">
        <v>105</v>
      </c>
      <c r="I64" s="5">
        <v>45498</v>
      </c>
    </row>
    <row r="65" spans="1:9" x14ac:dyDescent="0.25">
      <c r="A65" t="s">
        <v>20</v>
      </c>
      <c r="B65">
        <v>2</v>
      </c>
      <c r="C65">
        <v>0.24000000000000909</v>
      </c>
      <c r="D65">
        <v>1.8000000000000114</v>
      </c>
      <c r="E65">
        <v>87.070707070706717</v>
      </c>
      <c r="F65">
        <v>0.14374999999997962</v>
      </c>
      <c r="G65">
        <v>92.812500000001023</v>
      </c>
      <c r="H65" t="s">
        <v>107</v>
      </c>
      <c r="I65" s="5">
        <v>45474</v>
      </c>
    </row>
    <row r="66" spans="1:9" x14ac:dyDescent="0.25">
      <c r="A66" t="s">
        <v>20</v>
      </c>
      <c r="B66">
        <v>1.97</v>
      </c>
      <c r="C66">
        <v>0.23000000000000398</v>
      </c>
      <c r="D66">
        <v>1.8100000000000023</v>
      </c>
      <c r="E66">
        <v>87.609427609427442</v>
      </c>
      <c r="F66">
        <v>0.1137499999999938</v>
      </c>
      <c r="G66">
        <v>94.225888324873409</v>
      </c>
      <c r="H66" t="s">
        <v>45</v>
      </c>
      <c r="I66" s="5">
        <v>45489</v>
      </c>
    </row>
    <row r="67" spans="1:9" x14ac:dyDescent="0.25">
      <c r="A67" t="s">
        <v>20</v>
      </c>
      <c r="B67">
        <v>2.0299999999999998</v>
      </c>
      <c r="C67">
        <v>0.25</v>
      </c>
      <c r="D67">
        <v>1.7999999999999972</v>
      </c>
      <c r="E67">
        <v>86.604152712659058</v>
      </c>
      <c r="F67">
        <v>0.16375000000000273</v>
      </c>
      <c r="G67">
        <v>91.93349753694568</v>
      </c>
      <c r="H67" t="s">
        <v>105</v>
      </c>
      <c r="I67" s="5">
        <v>45491</v>
      </c>
    </row>
    <row r="68" spans="1:9" x14ac:dyDescent="0.25">
      <c r="A68" t="s">
        <v>36</v>
      </c>
      <c r="B68">
        <v>1.96</v>
      </c>
      <c r="C68">
        <v>0.10999999999999943</v>
      </c>
      <c r="D68">
        <v>1.8900000000000006</v>
      </c>
      <c r="E68">
        <v>93.94356503785275</v>
      </c>
      <c r="F68">
        <v>0.14375000000000004</v>
      </c>
      <c r="G68">
        <v>92.665816326530617</v>
      </c>
      <c r="H68" t="s">
        <v>107</v>
      </c>
      <c r="I68" s="5">
        <v>45474</v>
      </c>
    </row>
    <row r="69" spans="1:9" x14ac:dyDescent="0.25">
      <c r="A69" t="s">
        <v>36</v>
      </c>
      <c r="B69">
        <v>1.97</v>
      </c>
      <c r="C69">
        <v>7.9999999999998295E-2</v>
      </c>
      <c r="D69">
        <v>1.9199999999999875</v>
      </c>
      <c r="E69">
        <v>95.595320027529311</v>
      </c>
      <c r="F69">
        <v>0.15375000000001426</v>
      </c>
      <c r="G69">
        <v>92.195431472080486</v>
      </c>
      <c r="H69" t="s">
        <v>45</v>
      </c>
      <c r="I69" s="5">
        <v>45489</v>
      </c>
    </row>
    <row r="70" spans="1:9" x14ac:dyDescent="0.25">
      <c r="A70" t="s">
        <v>36</v>
      </c>
      <c r="B70">
        <v>2.0099999999999998</v>
      </c>
      <c r="C70">
        <v>9.9999999999994316E-2</v>
      </c>
      <c r="D70">
        <v>1.9500000000000028</v>
      </c>
      <c r="E70">
        <v>94.641661085063916</v>
      </c>
      <c r="F70">
        <v>0.14375000000000271</v>
      </c>
      <c r="G70">
        <v>92.848258706467519</v>
      </c>
      <c r="H70" t="s">
        <v>105</v>
      </c>
      <c r="I70" s="5">
        <v>45498</v>
      </c>
    </row>
    <row r="71" spans="1:9" x14ac:dyDescent="0.25">
      <c r="A71" t="s">
        <v>57</v>
      </c>
      <c r="B71">
        <v>2.0099999999999998</v>
      </c>
      <c r="C71">
        <v>0.75</v>
      </c>
      <c r="D71">
        <v>1.25</v>
      </c>
      <c r="E71">
        <v>58.706125258086715</v>
      </c>
      <c r="F71">
        <v>0.19374999999999978</v>
      </c>
      <c r="G71">
        <v>90.360696517412947</v>
      </c>
      <c r="H71" t="s">
        <v>107</v>
      </c>
      <c r="I71" s="5">
        <v>45454</v>
      </c>
    </row>
    <row r="72" spans="1:9" x14ac:dyDescent="0.25">
      <c r="A72" t="s">
        <v>57</v>
      </c>
      <c r="B72">
        <v>2.0099999999999998</v>
      </c>
      <c r="C72">
        <v>0.70999999999999375</v>
      </c>
      <c r="D72">
        <v>1.3800000000000097</v>
      </c>
      <c r="E72">
        <v>62.75409836065613</v>
      </c>
      <c r="F72">
        <v>0.10374999999999646</v>
      </c>
      <c r="G72">
        <v>94.838308457711619</v>
      </c>
      <c r="H72" t="s">
        <v>45</v>
      </c>
      <c r="I72" s="5">
        <v>45476</v>
      </c>
    </row>
    <row r="73" spans="1:9" x14ac:dyDescent="0.25">
      <c r="A73" t="s">
        <v>57</v>
      </c>
      <c r="B73">
        <v>1.97</v>
      </c>
      <c r="C73">
        <v>0.37000000000000455</v>
      </c>
      <c r="D73">
        <v>1.7000000000000028</v>
      </c>
      <c r="E73">
        <v>80.384360503644643</v>
      </c>
      <c r="F73">
        <v>8.3749999999992664E-2</v>
      </c>
      <c r="G73">
        <v>95.74873096446737</v>
      </c>
      <c r="H73" t="s">
        <v>105</v>
      </c>
      <c r="I73" s="5">
        <v>45498</v>
      </c>
    </row>
    <row r="74" spans="1:9" x14ac:dyDescent="0.25">
      <c r="A74" t="s">
        <v>68</v>
      </c>
      <c r="B74">
        <v>2.0099999999999998</v>
      </c>
      <c r="C74">
        <v>0.35999999999999943</v>
      </c>
      <c r="D74">
        <v>1.3999999999999915</v>
      </c>
      <c r="E74">
        <v>77.160983346550267</v>
      </c>
      <c r="F74">
        <v>0.43375000000000885</v>
      </c>
      <c r="G74">
        <v>78.420398009949793</v>
      </c>
      <c r="H74" t="s">
        <v>107</v>
      </c>
      <c r="I74" s="5">
        <v>45454</v>
      </c>
    </row>
    <row r="75" spans="1:9" x14ac:dyDescent="0.25">
      <c r="A75" t="s">
        <v>68</v>
      </c>
      <c r="B75">
        <v>2.0299999999999998</v>
      </c>
      <c r="C75">
        <v>0.34999999999999432</v>
      </c>
      <c r="D75">
        <v>1.6899999999999977</v>
      </c>
      <c r="E75">
        <v>81.144781144781362</v>
      </c>
      <c r="F75">
        <v>0.17375000000000784</v>
      </c>
      <c r="G75">
        <v>91.440886699507004</v>
      </c>
      <c r="H75" t="s">
        <v>45</v>
      </c>
      <c r="I75" s="5">
        <v>45481</v>
      </c>
    </row>
    <row r="76" spans="1:9" x14ac:dyDescent="0.25">
      <c r="A76" t="s">
        <v>68</v>
      </c>
      <c r="B76">
        <v>2.04</v>
      </c>
      <c r="C76">
        <v>0.39000000000000057</v>
      </c>
      <c r="D76">
        <v>1.6799999999999926</v>
      </c>
      <c r="E76">
        <v>79.324055666003872</v>
      </c>
      <c r="F76">
        <v>0.15375000000000694</v>
      </c>
      <c r="G76">
        <v>92.463235294117311</v>
      </c>
      <c r="H76" t="s">
        <v>105</v>
      </c>
      <c r="I76" s="5">
        <v>45498</v>
      </c>
    </row>
    <row r="77" spans="1:9" x14ac:dyDescent="0.25">
      <c r="A77" t="s">
        <v>49</v>
      </c>
      <c r="B77">
        <v>2</v>
      </c>
      <c r="C77">
        <v>0.25</v>
      </c>
      <c r="D77">
        <v>1.5400000000000063</v>
      </c>
      <c r="E77">
        <v>84.435797665369705</v>
      </c>
      <c r="F77">
        <v>0.39374999999999372</v>
      </c>
      <c r="G77">
        <v>80.312500000000313</v>
      </c>
      <c r="H77" t="s">
        <v>107</v>
      </c>
      <c r="I77" s="5">
        <v>45454</v>
      </c>
    </row>
    <row r="78" spans="1:9" x14ac:dyDescent="0.25">
      <c r="A78" t="s">
        <v>49</v>
      </c>
      <c r="B78">
        <v>1.97</v>
      </c>
      <c r="C78">
        <v>0.21000000000000796</v>
      </c>
      <c r="D78">
        <v>1.8299999999999983</v>
      </c>
      <c r="E78">
        <v>88.686868686868294</v>
      </c>
      <c r="F78">
        <v>0.1137499999999938</v>
      </c>
      <c r="G78">
        <v>94.225888324873409</v>
      </c>
      <c r="H78" t="s">
        <v>45</v>
      </c>
      <c r="I78" s="5">
        <v>45476</v>
      </c>
    </row>
    <row r="79" spans="1:9" x14ac:dyDescent="0.25">
      <c r="A79" t="s">
        <v>49</v>
      </c>
      <c r="B79">
        <v>2.04</v>
      </c>
      <c r="C79">
        <v>0.17999999999999261</v>
      </c>
      <c r="D79">
        <v>1.9399999999999977</v>
      </c>
      <c r="E79">
        <v>90.703679793415432</v>
      </c>
      <c r="F79">
        <v>0.10375000000000978</v>
      </c>
      <c r="G79">
        <v>94.914215686274034</v>
      </c>
      <c r="H79" t="s">
        <v>105</v>
      </c>
      <c r="I79" s="5">
        <v>45532</v>
      </c>
    </row>
    <row r="80" spans="1:9" x14ac:dyDescent="0.25">
      <c r="A80" t="s">
        <v>18</v>
      </c>
      <c r="B80">
        <v>1.98</v>
      </c>
      <c r="C80">
        <v>0.39000000000000057</v>
      </c>
      <c r="D80">
        <v>1.6299999999999955</v>
      </c>
      <c r="E80">
        <v>78.761061946902572</v>
      </c>
      <c r="F80">
        <v>0.14375000000000404</v>
      </c>
      <c r="G80">
        <v>92.739898989898791</v>
      </c>
      <c r="H80" t="s">
        <v>107</v>
      </c>
      <c r="I80" s="5">
        <v>45474</v>
      </c>
    </row>
    <row r="81" spans="1:9" x14ac:dyDescent="0.25">
      <c r="A81" t="s">
        <v>18</v>
      </c>
      <c r="B81">
        <v>2.0099999999999998</v>
      </c>
      <c r="C81">
        <v>0.37999999999999545</v>
      </c>
      <c r="D81">
        <v>1.6899999999999977</v>
      </c>
      <c r="E81">
        <v>79.854208084824549</v>
      </c>
      <c r="F81">
        <v>0.12375000000000669</v>
      </c>
      <c r="G81">
        <v>93.843283582089214</v>
      </c>
      <c r="H81" t="s">
        <v>45</v>
      </c>
      <c r="I81" s="5">
        <v>45489</v>
      </c>
    </row>
    <row r="82" spans="1:9" x14ac:dyDescent="0.25">
      <c r="A82" t="s">
        <v>18</v>
      </c>
      <c r="B82">
        <v>2.0299999999999998</v>
      </c>
      <c r="C82">
        <v>0.43000000000000682</v>
      </c>
      <c r="D82">
        <v>1.6400000000000006</v>
      </c>
      <c r="E82">
        <v>77.203445990722059</v>
      </c>
      <c r="F82">
        <v>0.14374999999999249</v>
      </c>
      <c r="G82">
        <v>92.918719211823031</v>
      </c>
      <c r="H82" t="s">
        <v>105</v>
      </c>
      <c r="I82" s="5">
        <v>45491</v>
      </c>
    </row>
    <row r="83" spans="1:9" x14ac:dyDescent="0.25">
      <c r="A83" t="s">
        <v>62</v>
      </c>
      <c r="B83">
        <v>2</v>
      </c>
      <c r="C83">
        <v>0.25</v>
      </c>
      <c r="D83">
        <v>1.5799999999999983</v>
      </c>
      <c r="E83">
        <v>84.813971146545157</v>
      </c>
      <c r="F83">
        <v>0.35375000000000167</v>
      </c>
      <c r="G83">
        <v>82.312499999999915</v>
      </c>
      <c r="H83" t="s">
        <v>107</v>
      </c>
      <c r="I83" s="5">
        <v>45454</v>
      </c>
    </row>
    <row r="84" spans="1:9" x14ac:dyDescent="0.25">
      <c r="A84" t="s">
        <v>62</v>
      </c>
      <c r="B84">
        <v>1.97</v>
      </c>
      <c r="C84">
        <v>0.15000000000000568</v>
      </c>
      <c r="D84">
        <v>1.8599999999999994</v>
      </c>
      <c r="E84">
        <v>91.786447638603406</v>
      </c>
      <c r="F84">
        <v>0.14374999999999494</v>
      </c>
      <c r="G84">
        <v>92.703045685279434</v>
      </c>
      <c r="H84" t="s">
        <v>45</v>
      </c>
      <c r="I84" s="5">
        <v>45476</v>
      </c>
    </row>
    <row r="85" spans="1:9" x14ac:dyDescent="0.25">
      <c r="A85" t="s">
        <v>62</v>
      </c>
      <c r="B85">
        <v>2.0099999999999998</v>
      </c>
      <c r="C85">
        <v>0.10999999999999943</v>
      </c>
      <c r="D85">
        <v>1.9399999999999977</v>
      </c>
      <c r="E85">
        <v>94.105827193570008</v>
      </c>
      <c r="F85">
        <v>0.14375000000000271</v>
      </c>
      <c r="G85">
        <v>92.848258706467519</v>
      </c>
      <c r="H85" t="s">
        <v>105</v>
      </c>
      <c r="I85" s="5">
        <v>45498</v>
      </c>
    </row>
    <row r="86" spans="1:9" x14ac:dyDescent="0.25">
      <c r="A86" t="s">
        <v>47</v>
      </c>
      <c r="B86">
        <v>2</v>
      </c>
      <c r="C86">
        <v>0.14999999999999147</v>
      </c>
      <c r="D86">
        <v>1.710000000000008</v>
      </c>
      <c r="E86">
        <v>91.051454138702965</v>
      </c>
      <c r="F86">
        <v>0.32375000000000054</v>
      </c>
      <c r="G86">
        <v>83.812499999999972</v>
      </c>
      <c r="H86" t="s">
        <v>107</v>
      </c>
      <c r="I86" s="5">
        <v>45454</v>
      </c>
    </row>
    <row r="87" spans="1:9" x14ac:dyDescent="0.25">
      <c r="A87" t="s">
        <v>47</v>
      </c>
      <c r="B87">
        <v>1.96</v>
      </c>
      <c r="C87">
        <v>0.18000000000000682</v>
      </c>
      <c r="D87">
        <v>1.8299999999999983</v>
      </c>
      <c r="E87">
        <v>90.143737166324087</v>
      </c>
      <c r="F87">
        <v>0.13374999999999493</v>
      </c>
      <c r="G87">
        <v>93.176020408163524</v>
      </c>
      <c r="H87" t="s">
        <v>45</v>
      </c>
      <c r="I87" s="5">
        <v>45474</v>
      </c>
    </row>
    <row r="88" spans="1:9" x14ac:dyDescent="0.25">
      <c r="A88" t="s">
        <v>47</v>
      </c>
      <c r="B88">
        <v>2.0099999999999998</v>
      </c>
      <c r="C88">
        <v>0.14000000000000057</v>
      </c>
      <c r="D88">
        <v>1.9500000000000028</v>
      </c>
      <c r="E88">
        <v>92.65573770491801</v>
      </c>
      <c r="F88">
        <v>0.10374999999999646</v>
      </c>
      <c r="G88">
        <v>94.838308457711619</v>
      </c>
      <c r="H88" t="s">
        <v>105</v>
      </c>
      <c r="I88" s="5">
        <v>45532</v>
      </c>
    </row>
    <row r="89" spans="1:9" x14ac:dyDescent="0.25">
      <c r="A89" t="s">
        <v>100</v>
      </c>
      <c r="B89">
        <v>1.98</v>
      </c>
      <c r="C89">
        <v>0.25</v>
      </c>
      <c r="D89">
        <v>1.75</v>
      </c>
      <c r="E89">
        <v>86.23537508602891</v>
      </c>
      <c r="F89">
        <v>0.16375000000000006</v>
      </c>
      <c r="G89">
        <v>91.729797979797979</v>
      </c>
      <c r="H89" t="s">
        <v>107</v>
      </c>
      <c r="I89" s="5">
        <v>45469</v>
      </c>
    </row>
    <row r="90" spans="1:9" x14ac:dyDescent="0.25">
      <c r="A90" t="s">
        <v>100</v>
      </c>
      <c r="B90">
        <v>1.98</v>
      </c>
      <c r="C90">
        <v>0.12000000000000455</v>
      </c>
      <c r="D90">
        <v>1.8999999999999915</v>
      </c>
      <c r="E90">
        <v>93.464942137508245</v>
      </c>
      <c r="F90">
        <v>0.14375000000000404</v>
      </c>
      <c r="G90">
        <v>92.739898989898791</v>
      </c>
      <c r="H90" t="s">
        <v>45</v>
      </c>
      <c r="I90" s="5">
        <v>45481</v>
      </c>
    </row>
    <row r="91" spans="1:9" x14ac:dyDescent="0.25">
      <c r="A91" t="s">
        <v>100</v>
      </c>
      <c r="B91">
        <v>2</v>
      </c>
      <c r="C91">
        <v>0.17000000000000171</v>
      </c>
      <c r="D91">
        <v>1.8699999999999903</v>
      </c>
      <c r="E91">
        <v>90.841750841750709</v>
      </c>
      <c r="F91">
        <v>0.14375000000000804</v>
      </c>
      <c r="G91">
        <v>92.812499999999602</v>
      </c>
      <c r="H91" t="s">
        <v>105</v>
      </c>
      <c r="I91" s="5">
        <v>45491</v>
      </c>
    </row>
    <row r="92" spans="1:9" x14ac:dyDescent="0.25">
      <c r="A92" t="s">
        <v>61</v>
      </c>
      <c r="B92">
        <v>2</v>
      </c>
      <c r="C92">
        <v>0.28999999999999204</v>
      </c>
      <c r="D92">
        <v>1.5600000000000023</v>
      </c>
      <c r="E92">
        <v>82.595648912228469</v>
      </c>
      <c r="F92">
        <v>0.33375000000000565</v>
      </c>
      <c r="G92">
        <v>83.312499999999716</v>
      </c>
      <c r="H92" t="s">
        <v>107</v>
      </c>
      <c r="I92" s="5">
        <v>45454</v>
      </c>
    </row>
    <row r="93" spans="1:9" x14ac:dyDescent="0.25">
      <c r="A93" t="s">
        <v>61</v>
      </c>
      <c r="B93">
        <v>1.98</v>
      </c>
      <c r="C93">
        <v>0.25</v>
      </c>
      <c r="D93">
        <v>1.7999999999999972</v>
      </c>
      <c r="E93">
        <v>86.604152712659058</v>
      </c>
      <c r="F93">
        <v>0.1137500000000029</v>
      </c>
      <c r="G93">
        <v>94.255050505050349</v>
      </c>
      <c r="H93" t="s">
        <v>45</v>
      </c>
      <c r="I93" s="5">
        <v>45476</v>
      </c>
    </row>
    <row r="94" spans="1:9" x14ac:dyDescent="0.25">
      <c r="A94" t="s">
        <v>61</v>
      </c>
      <c r="B94">
        <v>1.98</v>
      </c>
      <c r="C94">
        <v>0.15000000000000568</v>
      </c>
      <c r="D94">
        <v>1.8900000000000006</v>
      </c>
      <c r="E94">
        <v>91.919191919191647</v>
      </c>
      <c r="F94">
        <v>0.12374999999999381</v>
      </c>
      <c r="G94">
        <v>93.750000000000313</v>
      </c>
      <c r="H94" t="s">
        <v>105</v>
      </c>
      <c r="I94" s="5">
        <v>45498</v>
      </c>
    </row>
    <row r="95" spans="1:9" x14ac:dyDescent="0.25">
      <c r="A95" t="s">
        <v>16</v>
      </c>
      <c r="B95">
        <v>1.98</v>
      </c>
      <c r="C95">
        <v>0.23999999999999488</v>
      </c>
      <c r="D95">
        <v>1.7999999999999972</v>
      </c>
      <c r="E95">
        <v>87.070707070707286</v>
      </c>
      <c r="F95">
        <v>0.12375000000000802</v>
      </c>
      <c r="G95">
        <v>93.749999999999602</v>
      </c>
      <c r="H95" t="s">
        <v>107</v>
      </c>
      <c r="I95" s="5">
        <v>45474</v>
      </c>
    </row>
    <row r="96" spans="1:9" x14ac:dyDescent="0.25">
      <c r="A96" t="s">
        <v>16</v>
      </c>
      <c r="B96">
        <v>1.98</v>
      </c>
      <c r="C96">
        <v>0.20000000000000284</v>
      </c>
      <c r="D96">
        <v>1.8599999999999994</v>
      </c>
      <c r="E96">
        <v>89.340439706861957</v>
      </c>
      <c r="F96">
        <v>0.10374999999999779</v>
      </c>
      <c r="G96">
        <v>94.76010101010111</v>
      </c>
      <c r="H96" t="s">
        <v>45</v>
      </c>
      <c r="I96" s="5">
        <v>45489</v>
      </c>
    </row>
    <row r="97" spans="1:9" x14ac:dyDescent="0.25">
      <c r="A97" t="s">
        <v>16</v>
      </c>
      <c r="B97">
        <v>2.0299999999999998</v>
      </c>
      <c r="C97">
        <v>0.23999999999999488</v>
      </c>
      <c r="D97">
        <v>1.8800000000000097</v>
      </c>
      <c r="E97">
        <v>87.604906391220439</v>
      </c>
      <c r="F97">
        <v>9.3749999999995337E-2</v>
      </c>
      <c r="G97">
        <v>95.381773399015017</v>
      </c>
      <c r="H97" t="s">
        <v>105</v>
      </c>
      <c r="I97" s="5">
        <v>45491</v>
      </c>
    </row>
    <row r="98" spans="1:9" x14ac:dyDescent="0.25">
      <c r="A98" t="s">
        <v>70</v>
      </c>
      <c r="B98">
        <v>2</v>
      </c>
      <c r="C98">
        <v>0.63000000000000966</v>
      </c>
      <c r="D98">
        <v>1.1500000000000057</v>
      </c>
      <c r="E98">
        <v>60.532498042286385</v>
      </c>
      <c r="F98">
        <v>0.40374999999998462</v>
      </c>
      <c r="G98">
        <v>79.812500000000767</v>
      </c>
      <c r="H98" t="s">
        <v>107</v>
      </c>
      <c r="I98" s="5">
        <v>45454</v>
      </c>
    </row>
    <row r="99" spans="1:9" x14ac:dyDescent="0.25">
      <c r="A99" t="s">
        <v>70</v>
      </c>
      <c r="B99">
        <v>1.97</v>
      </c>
      <c r="C99">
        <v>0.46999999999999886</v>
      </c>
      <c r="D99">
        <v>1.519999999999996</v>
      </c>
      <c r="E99">
        <v>73.979238754325252</v>
      </c>
      <c r="F99">
        <v>0.16375000000000517</v>
      </c>
      <c r="G99">
        <v>91.687817258882987</v>
      </c>
      <c r="H99" t="s">
        <v>45</v>
      </c>
      <c r="I99" s="5">
        <v>45481</v>
      </c>
    </row>
    <row r="100" spans="1:9" x14ac:dyDescent="0.25">
      <c r="A100" t="s">
        <v>70</v>
      </c>
      <c r="B100">
        <v>1.98</v>
      </c>
      <c r="C100">
        <v>0.51999999999999602</v>
      </c>
      <c r="D100">
        <v>1.5400000000000063</v>
      </c>
      <c r="E100">
        <v>72.28514323784168</v>
      </c>
      <c r="F100">
        <v>0.10374999999999779</v>
      </c>
      <c r="G100">
        <v>94.76010101010111</v>
      </c>
      <c r="H100" t="s">
        <v>105</v>
      </c>
      <c r="I100" s="5">
        <v>45498</v>
      </c>
    </row>
    <row r="101" spans="1:9" x14ac:dyDescent="0.25">
      <c r="A101" t="s">
        <v>71</v>
      </c>
      <c r="B101">
        <v>2</v>
      </c>
      <c r="C101">
        <v>0.17000000000000171</v>
      </c>
      <c r="D101">
        <v>1.5499999999999972</v>
      </c>
      <c r="E101">
        <v>88.934092758339986</v>
      </c>
      <c r="F101">
        <v>0.46375000000000111</v>
      </c>
      <c r="G101">
        <v>76.812499999999943</v>
      </c>
      <c r="H101" t="s">
        <v>107</v>
      </c>
      <c r="I101" s="5">
        <v>45454</v>
      </c>
    </row>
    <row r="102" spans="1:9" x14ac:dyDescent="0.25">
      <c r="A102" t="s">
        <v>71</v>
      </c>
      <c r="B102">
        <v>2.02</v>
      </c>
      <c r="C102">
        <v>0.17000000000000171</v>
      </c>
      <c r="D102">
        <v>1.9200000000000017</v>
      </c>
      <c r="E102">
        <v>91.08196721311468</v>
      </c>
      <c r="F102">
        <v>0.11374999999999669</v>
      </c>
      <c r="G102">
        <v>94.368811881188293</v>
      </c>
      <c r="H102" t="s">
        <v>45</v>
      </c>
      <c r="I102" s="5">
        <v>45481</v>
      </c>
    </row>
    <row r="103" spans="1:9" x14ac:dyDescent="0.25">
      <c r="A103" t="s">
        <v>71</v>
      </c>
      <c r="B103">
        <v>2.04</v>
      </c>
      <c r="C103">
        <v>0.20000000000000284</v>
      </c>
      <c r="D103">
        <v>1.9000000000000057</v>
      </c>
      <c r="E103">
        <v>89.56294846705795</v>
      </c>
      <c r="F103">
        <v>0.12374999999999159</v>
      </c>
      <c r="G103">
        <v>93.93382352941218</v>
      </c>
      <c r="H103" t="s">
        <v>105</v>
      </c>
      <c r="I103" s="5">
        <v>45498</v>
      </c>
    </row>
    <row r="104" spans="1:9" x14ac:dyDescent="0.25">
      <c r="A104" t="s">
        <v>98</v>
      </c>
      <c r="B104">
        <v>2.04</v>
      </c>
      <c r="C104">
        <v>0.31000000000000227</v>
      </c>
      <c r="D104">
        <v>1.6599999999999966</v>
      </c>
      <c r="E104">
        <v>82.645206438068442</v>
      </c>
      <c r="F104">
        <v>0.25375000000000125</v>
      </c>
      <c r="G104">
        <v>87.561274509803866</v>
      </c>
      <c r="H104" t="s">
        <v>107</v>
      </c>
      <c r="I104" s="5">
        <v>45469</v>
      </c>
    </row>
    <row r="105" spans="1:9" x14ac:dyDescent="0.25">
      <c r="A105" t="s">
        <v>98</v>
      </c>
      <c r="B105">
        <v>1.98</v>
      </c>
      <c r="C105">
        <v>0.20000000000000284</v>
      </c>
      <c r="D105">
        <v>1.8799999999999955</v>
      </c>
      <c r="E105">
        <v>89.45286750164783</v>
      </c>
      <c r="F105">
        <v>8.3750000000001767E-2</v>
      </c>
      <c r="G105">
        <v>95.770202020201936</v>
      </c>
      <c r="H105" t="s">
        <v>45</v>
      </c>
      <c r="I105" s="5">
        <v>45481</v>
      </c>
    </row>
    <row r="106" spans="1:9" x14ac:dyDescent="0.25">
      <c r="A106" t="s">
        <v>98</v>
      </c>
      <c r="B106">
        <v>2.02</v>
      </c>
      <c r="C106">
        <v>0.28999999999999204</v>
      </c>
      <c r="D106">
        <v>1.7900000000000063</v>
      </c>
      <c r="E106">
        <v>84.706657877389986</v>
      </c>
      <c r="F106">
        <v>0.1237500000000018</v>
      </c>
      <c r="G106">
        <v>93.873762376237536</v>
      </c>
      <c r="H106" t="s">
        <v>105</v>
      </c>
      <c r="I106" s="5">
        <v>45498</v>
      </c>
    </row>
    <row r="107" spans="1:9" x14ac:dyDescent="0.25">
      <c r="A107" t="s">
        <v>48</v>
      </c>
      <c r="B107">
        <v>2.02</v>
      </c>
      <c r="C107">
        <v>0.18999999999999773</v>
      </c>
      <c r="D107">
        <v>1.6899999999999977</v>
      </c>
      <c r="E107">
        <v>88.798820928518893</v>
      </c>
      <c r="F107">
        <v>0.32375000000000453</v>
      </c>
      <c r="G107">
        <v>83.972772277227492</v>
      </c>
      <c r="H107" t="s">
        <v>107</v>
      </c>
      <c r="I107" s="5">
        <v>45454</v>
      </c>
    </row>
    <row r="108" spans="1:9" x14ac:dyDescent="0.25">
      <c r="A108" t="s">
        <v>48</v>
      </c>
      <c r="B108">
        <v>1.99</v>
      </c>
      <c r="C108">
        <v>0.12000000000000455</v>
      </c>
      <c r="D108">
        <v>1.9200000000000017</v>
      </c>
      <c r="E108">
        <v>93.535353535353323</v>
      </c>
      <c r="F108">
        <v>0.13374999999999382</v>
      </c>
      <c r="G108">
        <v>93.278894472362111</v>
      </c>
      <c r="H108" t="s">
        <v>45</v>
      </c>
      <c r="I108" s="5">
        <v>45474</v>
      </c>
    </row>
    <row r="109" spans="1:9" x14ac:dyDescent="0.25">
      <c r="A109" t="s">
        <v>48</v>
      </c>
      <c r="B109">
        <v>1.98</v>
      </c>
      <c r="C109">
        <v>0.13000000000000966</v>
      </c>
      <c r="D109">
        <v>1.9300000000000068</v>
      </c>
      <c r="E109">
        <v>93.071285809459908</v>
      </c>
      <c r="F109">
        <v>0.10374999999998358</v>
      </c>
      <c r="G109">
        <v>94.760101010101835</v>
      </c>
      <c r="H109" t="s">
        <v>105</v>
      </c>
      <c r="I109" s="5">
        <v>45498</v>
      </c>
    </row>
    <row r="110" spans="1:9" x14ac:dyDescent="0.25">
      <c r="A110" t="s">
        <v>37</v>
      </c>
      <c r="B110">
        <v>2.02</v>
      </c>
      <c r="C110">
        <v>0.35999999999999943</v>
      </c>
      <c r="D110">
        <v>1.7199999999999989</v>
      </c>
      <c r="E110">
        <v>81.015161502966393</v>
      </c>
      <c r="F110">
        <v>0.1237500000000018</v>
      </c>
      <c r="G110">
        <v>93.873762376237536</v>
      </c>
      <c r="H110" t="s">
        <v>107</v>
      </c>
      <c r="I110" s="5">
        <v>45474</v>
      </c>
    </row>
    <row r="111" spans="1:9" x14ac:dyDescent="0.25">
      <c r="A111" t="s">
        <v>37</v>
      </c>
      <c r="B111">
        <v>2.02</v>
      </c>
      <c r="C111">
        <v>0.29999999999999716</v>
      </c>
      <c r="D111">
        <v>1.7900000000000063</v>
      </c>
      <c r="E111">
        <v>84.26229508196738</v>
      </c>
      <c r="F111">
        <v>0.11374999999999669</v>
      </c>
      <c r="G111">
        <v>94.368811881188293</v>
      </c>
      <c r="H111" t="s">
        <v>45</v>
      </c>
      <c r="I111" s="5">
        <v>45489</v>
      </c>
    </row>
    <row r="112" spans="1:9" x14ac:dyDescent="0.25">
      <c r="A112" t="s">
        <v>37</v>
      </c>
      <c r="B112">
        <v>2.02</v>
      </c>
      <c r="C112">
        <v>0.34000000000000341</v>
      </c>
      <c r="D112">
        <v>1.769999999999996</v>
      </c>
      <c r="E112">
        <v>82.349123945489751</v>
      </c>
      <c r="F112">
        <v>9.3750000000000666E-2</v>
      </c>
      <c r="G112">
        <v>95.358910891089081</v>
      </c>
      <c r="H112" t="s">
        <v>105</v>
      </c>
      <c r="I112" s="5">
        <v>45498</v>
      </c>
    </row>
    <row r="113" spans="1:9" x14ac:dyDescent="0.25">
      <c r="A113" t="s">
        <v>38</v>
      </c>
      <c r="B113">
        <v>1.98</v>
      </c>
      <c r="C113">
        <v>0.23000000000000398</v>
      </c>
      <c r="D113">
        <v>1.7299999999999898</v>
      </c>
      <c r="E113">
        <v>87.05137227304688</v>
      </c>
      <c r="F113">
        <v>0.20375000000000631</v>
      </c>
      <c r="G113">
        <v>89.709595959595646</v>
      </c>
      <c r="H113" t="s">
        <v>107</v>
      </c>
      <c r="I113" s="5">
        <v>45474</v>
      </c>
    </row>
    <row r="114" spans="1:9" x14ac:dyDescent="0.25">
      <c r="A114" t="s">
        <v>38</v>
      </c>
      <c r="B114">
        <v>2.0099999999999998</v>
      </c>
      <c r="C114">
        <v>0.25</v>
      </c>
      <c r="D114">
        <v>1.8299999999999983</v>
      </c>
      <c r="E114">
        <v>86.81608437705998</v>
      </c>
      <c r="F114">
        <v>0.11375000000000157</v>
      </c>
      <c r="G114">
        <v>94.340796019900424</v>
      </c>
      <c r="H114" t="s">
        <v>45</v>
      </c>
      <c r="I114" s="5">
        <v>45489</v>
      </c>
    </row>
    <row r="115" spans="1:9" x14ac:dyDescent="0.25">
      <c r="A115" t="s">
        <v>38</v>
      </c>
      <c r="B115">
        <v>2.0299999999999998</v>
      </c>
      <c r="C115">
        <v>0.32999999999999829</v>
      </c>
      <c r="D115">
        <v>1.7600000000000051</v>
      </c>
      <c r="E115">
        <v>82.688524590164064</v>
      </c>
      <c r="F115">
        <v>0.12374999999999647</v>
      </c>
      <c r="G115">
        <v>93.903940886699672</v>
      </c>
      <c r="H115" t="s">
        <v>105</v>
      </c>
      <c r="I115" s="5">
        <v>45491</v>
      </c>
    </row>
    <row r="116" spans="1:9" x14ac:dyDescent="0.25">
      <c r="A116" t="s">
        <v>42</v>
      </c>
      <c r="B116">
        <v>2.0099999999999998</v>
      </c>
      <c r="C116">
        <v>0.12000000000000455</v>
      </c>
      <c r="D116">
        <v>1.9100000000000108</v>
      </c>
      <c r="E116">
        <v>93.500338524035016</v>
      </c>
      <c r="F116">
        <v>0.16374999999998452</v>
      </c>
      <c r="G116">
        <v>91.853233830846534</v>
      </c>
      <c r="H116" t="s">
        <v>107</v>
      </c>
      <c r="I116" s="5">
        <v>45474</v>
      </c>
    </row>
    <row r="117" spans="1:9" x14ac:dyDescent="0.25">
      <c r="A117" t="s">
        <v>42</v>
      </c>
      <c r="B117">
        <v>2.02</v>
      </c>
      <c r="C117">
        <v>0.10999999999999943</v>
      </c>
      <c r="D117">
        <v>1.9699999999999989</v>
      </c>
      <c r="E117">
        <v>94.199077125906413</v>
      </c>
      <c r="F117">
        <v>0.1237500000000018</v>
      </c>
      <c r="G117">
        <v>93.873762376237536</v>
      </c>
      <c r="H117" t="s">
        <v>45</v>
      </c>
      <c r="I117" s="5">
        <v>45489</v>
      </c>
    </row>
    <row r="118" spans="1:9" x14ac:dyDescent="0.25">
      <c r="A118" t="s">
        <v>42</v>
      </c>
      <c r="B118">
        <v>2</v>
      </c>
      <c r="C118">
        <v>0.12999999999999545</v>
      </c>
      <c r="D118">
        <v>1.9099999999999966</v>
      </c>
      <c r="E118">
        <v>92.99663299663321</v>
      </c>
      <c r="F118">
        <v>0.14375000000000804</v>
      </c>
      <c r="G118">
        <v>92.812499999999602</v>
      </c>
      <c r="H118" t="s">
        <v>105</v>
      </c>
      <c r="I118" s="5">
        <v>45498</v>
      </c>
    </row>
    <row r="119" spans="1:9" x14ac:dyDescent="0.25">
      <c r="A119" t="s">
        <v>63</v>
      </c>
      <c r="B119">
        <v>2</v>
      </c>
      <c r="C119">
        <v>0.10999999999999943</v>
      </c>
      <c r="D119">
        <v>1.769999999999996</v>
      </c>
      <c r="E119">
        <v>93.515106853353004</v>
      </c>
      <c r="F119">
        <v>0.30375000000000452</v>
      </c>
      <c r="G119">
        <v>84.812499999999773</v>
      </c>
      <c r="H119" t="s">
        <v>107</v>
      </c>
      <c r="I119" s="5">
        <v>45454</v>
      </c>
    </row>
    <row r="120" spans="1:9" x14ac:dyDescent="0.25">
      <c r="A120" t="s">
        <v>63</v>
      </c>
      <c r="B120">
        <v>1.97</v>
      </c>
      <c r="C120">
        <v>0.15000000000000568</v>
      </c>
      <c r="D120">
        <v>1.8799999999999955</v>
      </c>
      <c r="E120">
        <v>91.875423155043705</v>
      </c>
      <c r="F120">
        <v>0.12374999999999892</v>
      </c>
      <c r="G120">
        <v>93.718274111675186</v>
      </c>
      <c r="H120" t="s">
        <v>45</v>
      </c>
      <c r="I120" s="5">
        <v>45476</v>
      </c>
    </row>
    <row r="121" spans="1:9" x14ac:dyDescent="0.25">
      <c r="A121" t="s">
        <v>63</v>
      </c>
      <c r="B121">
        <v>1.98</v>
      </c>
      <c r="C121">
        <v>0.13000000000000966</v>
      </c>
      <c r="D121">
        <v>1.9399999999999977</v>
      </c>
      <c r="E121">
        <v>93.108018555334169</v>
      </c>
      <c r="F121">
        <v>9.3749999999992673E-2</v>
      </c>
      <c r="G121">
        <v>95.265151515151885</v>
      </c>
      <c r="H121" t="s">
        <v>105</v>
      </c>
      <c r="I121" s="5">
        <v>45489</v>
      </c>
    </row>
    <row r="122" spans="1:9" x14ac:dyDescent="0.25">
      <c r="A122" t="s">
        <v>72</v>
      </c>
      <c r="B122">
        <v>2.02</v>
      </c>
      <c r="C122">
        <v>0.49000000000000909</v>
      </c>
      <c r="D122">
        <v>1.3599999999999994</v>
      </c>
      <c r="E122">
        <v>70.59264816204012</v>
      </c>
      <c r="F122">
        <v>0.35374999999999146</v>
      </c>
      <c r="G122">
        <v>82.487623762376643</v>
      </c>
      <c r="H122" t="s">
        <v>107</v>
      </c>
      <c r="I122" s="5">
        <v>45454</v>
      </c>
    </row>
    <row r="123" spans="1:9" x14ac:dyDescent="0.25">
      <c r="A123" t="s">
        <v>72</v>
      </c>
      <c r="B123">
        <v>1.99</v>
      </c>
      <c r="C123">
        <v>0.48999999999999488</v>
      </c>
      <c r="D123">
        <v>1.5400000000000063</v>
      </c>
      <c r="E123">
        <v>73.459715639810724</v>
      </c>
      <c r="F123">
        <v>0.14374999999999893</v>
      </c>
      <c r="G123">
        <v>92.776381909547794</v>
      </c>
      <c r="H123" t="s">
        <v>45</v>
      </c>
      <c r="I123" s="5">
        <v>45481</v>
      </c>
    </row>
    <row r="124" spans="1:9" x14ac:dyDescent="0.25">
      <c r="A124" t="s">
        <v>72</v>
      </c>
      <c r="B124">
        <v>1.98</v>
      </c>
      <c r="C124">
        <v>0.5</v>
      </c>
      <c r="D124">
        <v>1.4900000000000091</v>
      </c>
      <c r="E124">
        <v>72.318339100346165</v>
      </c>
      <c r="F124">
        <v>0.17374999999999097</v>
      </c>
      <c r="G124">
        <v>91.224747474747943</v>
      </c>
      <c r="H124" t="s">
        <v>105</v>
      </c>
      <c r="I124" s="5">
        <v>45498</v>
      </c>
    </row>
    <row r="125" spans="1:9" x14ac:dyDescent="0.25">
      <c r="A125" t="s">
        <v>39</v>
      </c>
      <c r="B125">
        <v>1.98</v>
      </c>
      <c r="C125">
        <v>0.54999999999999716</v>
      </c>
      <c r="D125">
        <v>1.4900000000000091</v>
      </c>
      <c r="E125">
        <v>70.370370370370622</v>
      </c>
      <c r="F125">
        <v>0.12374999999999381</v>
      </c>
      <c r="G125">
        <v>93.750000000000313</v>
      </c>
      <c r="H125" t="s">
        <v>107</v>
      </c>
      <c r="I125" s="5">
        <v>45474</v>
      </c>
    </row>
    <row r="126" spans="1:9" x14ac:dyDescent="0.25">
      <c r="A126" t="s">
        <v>39</v>
      </c>
      <c r="B126">
        <v>2.0299999999999998</v>
      </c>
      <c r="C126">
        <v>0.60000000000000853</v>
      </c>
      <c r="D126">
        <v>1.4899999999999949</v>
      </c>
      <c r="E126">
        <v>68.524590163934036</v>
      </c>
      <c r="F126">
        <v>0.12374999999999647</v>
      </c>
      <c r="G126">
        <v>93.903940886699672</v>
      </c>
      <c r="H126" t="s">
        <v>45</v>
      </c>
      <c r="I126" s="5">
        <v>45489</v>
      </c>
    </row>
    <row r="127" spans="1:9" x14ac:dyDescent="0.25">
      <c r="A127" t="s">
        <v>39</v>
      </c>
      <c r="B127">
        <v>1.98</v>
      </c>
      <c r="C127">
        <v>0.62000000000000455</v>
      </c>
      <c r="D127">
        <v>1.3800000000000097</v>
      </c>
      <c r="E127">
        <v>65.863730213351701</v>
      </c>
      <c r="F127">
        <v>0.16374999999998585</v>
      </c>
      <c r="G127">
        <v>91.729797979798704</v>
      </c>
      <c r="H127" t="s">
        <v>105</v>
      </c>
      <c r="I127" s="5">
        <v>45491</v>
      </c>
    </row>
    <row r="128" spans="1:9" x14ac:dyDescent="0.25">
      <c r="A128" t="s">
        <v>79</v>
      </c>
      <c r="B128">
        <v>2.0099999999999998</v>
      </c>
      <c r="C128">
        <v>0.60999999999999943</v>
      </c>
      <c r="D128">
        <v>1.269999999999996</v>
      </c>
      <c r="E128">
        <v>64.038319823139204</v>
      </c>
      <c r="F128">
        <v>0.3137500000000043</v>
      </c>
      <c r="G128">
        <v>84.39054726368137</v>
      </c>
      <c r="H128" t="s">
        <v>107</v>
      </c>
      <c r="I128" s="5">
        <v>45454</v>
      </c>
    </row>
    <row r="129" spans="1:9" x14ac:dyDescent="0.25">
      <c r="A129" t="s">
        <v>79</v>
      </c>
      <c r="B129">
        <v>1.98</v>
      </c>
      <c r="C129">
        <v>0.59000000000000341</v>
      </c>
      <c r="D129">
        <v>1.4699999999999989</v>
      </c>
      <c r="E129">
        <v>68.554297135243019</v>
      </c>
      <c r="F129">
        <v>0.10374999999999779</v>
      </c>
      <c r="G129">
        <v>94.76010101010111</v>
      </c>
      <c r="H129" t="s">
        <v>45</v>
      </c>
      <c r="I129" s="5">
        <v>45481</v>
      </c>
    </row>
    <row r="130" spans="1:9" x14ac:dyDescent="0.25">
      <c r="A130" t="s">
        <v>79</v>
      </c>
      <c r="B130">
        <v>1.99</v>
      </c>
      <c r="C130">
        <v>0.55000000000001137</v>
      </c>
      <c r="D130">
        <v>1.5099999999999909</v>
      </c>
      <c r="E130">
        <v>70.686209193870184</v>
      </c>
      <c r="F130">
        <v>0.1137499999999978</v>
      </c>
      <c r="G130">
        <v>94.283919597990064</v>
      </c>
      <c r="H130" t="s">
        <v>105</v>
      </c>
      <c r="I130" s="5">
        <v>45498</v>
      </c>
    </row>
    <row r="131" spans="1:9" x14ac:dyDescent="0.25">
      <c r="A131" t="s">
        <v>33</v>
      </c>
      <c r="B131">
        <v>1.96</v>
      </c>
      <c r="C131">
        <v>0.29000000000000625</v>
      </c>
      <c r="D131">
        <v>1.7400000000000091</v>
      </c>
      <c r="E131">
        <v>84.292484766418212</v>
      </c>
      <c r="F131">
        <v>0.1137499999999847</v>
      </c>
      <c r="G131">
        <v>94.196428571429351</v>
      </c>
      <c r="H131" t="s">
        <v>107</v>
      </c>
      <c r="I131" s="5">
        <v>45474</v>
      </c>
    </row>
    <row r="132" spans="1:9" x14ac:dyDescent="0.25">
      <c r="A132" t="s">
        <v>33</v>
      </c>
      <c r="B132">
        <v>1.99</v>
      </c>
      <c r="C132">
        <v>0.37999999999999545</v>
      </c>
      <c r="D132">
        <v>1.6799999999999926</v>
      </c>
      <c r="E132">
        <v>79.746835443038094</v>
      </c>
      <c r="F132">
        <v>0.11375000000001201</v>
      </c>
      <c r="G132">
        <v>94.283919597989339</v>
      </c>
      <c r="H132" t="s">
        <v>45</v>
      </c>
      <c r="I132" s="5">
        <v>45489</v>
      </c>
    </row>
    <row r="133" spans="1:9" x14ac:dyDescent="0.25">
      <c r="A133" t="s">
        <v>33</v>
      </c>
      <c r="B133">
        <v>1.98</v>
      </c>
      <c r="C133">
        <v>0.42000000000000171</v>
      </c>
      <c r="D133">
        <v>1.5899999999999892</v>
      </c>
      <c r="E133">
        <v>77.002053388090147</v>
      </c>
      <c r="F133">
        <v>0.15375000000000916</v>
      </c>
      <c r="G133">
        <v>92.234848484848015</v>
      </c>
      <c r="H133" t="s">
        <v>105</v>
      </c>
      <c r="I133" s="5">
        <v>45491</v>
      </c>
    </row>
    <row r="134" spans="1:9" x14ac:dyDescent="0.25">
      <c r="A134" t="s">
        <v>34</v>
      </c>
      <c r="B134">
        <v>1.99</v>
      </c>
      <c r="C134">
        <v>0.25999999999999091</v>
      </c>
      <c r="D134">
        <v>1.7999999999999972</v>
      </c>
      <c r="E134">
        <v>86.14257161892111</v>
      </c>
      <c r="F134">
        <v>0.11375000000001201</v>
      </c>
      <c r="G134">
        <v>94.283919597989339</v>
      </c>
      <c r="H134" t="s">
        <v>107</v>
      </c>
      <c r="I134" s="5">
        <v>45474</v>
      </c>
    </row>
    <row r="135" spans="1:9" x14ac:dyDescent="0.25">
      <c r="A135" t="s">
        <v>34</v>
      </c>
      <c r="B135">
        <v>2</v>
      </c>
      <c r="C135">
        <v>0.29999999999999716</v>
      </c>
      <c r="D135">
        <v>1.7999999999999972</v>
      </c>
      <c r="E135">
        <v>84.344422700587188</v>
      </c>
      <c r="F135">
        <v>8.3750000000005764E-2</v>
      </c>
      <c r="G135">
        <v>95.812499999999716</v>
      </c>
      <c r="H135" t="s">
        <v>45</v>
      </c>
      <c r="I135" s="5">
        <v>45489</v>
      </c>
    </row>
    <row r="136" spans="1:9" x14ac:dyDescent="0.25">
      <c r="A136" t="s">
        <v>34</v>
      </c>
      <c r="B136">
        <v>1.96</v>
      </c>
      <c r="C136">
        <v>0.29999999999999716</v>
      </c>
      <c r="D136">
        <v>1.7399999999999949</v>
      </c>
      <c r="E136">
        <v>83.838383838383919</v>
      </c>
      <c r="F136">
        <v>0.103750000000008</v>
      </c>
      <c r="G136">
        <v>94.706632653060822</v>
      </c>
      <c r="H136" t="s">
        <v>105</v>
      </c>
      <c r="I136" s="5">
        <v>45491</v>
      </c>
    </row>
    <row r="137" spans="1:9" x14ac:dyDescent="0.25">
      <c r="A137" t="s">
        <v>69</v>
      </c>
      <c r="B137">
        <v>2.0099999999999998</v>
      </c>
      <c r="C137">
        <v>0.51000000000000512</v>
      </c>
      <c r="D137">
        <v>1.3800000000000097</v>
      </c>
      <c r="E137">
        <v>70.109890109890074</v>
      </c>
      <c r="F137">
        <v>0.30374999999998498</v>
      </c>
      <c r="G137">
        <v>84.888059701493276</v>
      </c>
      <c r="H137" t="s">
        <v>107</v>
      </c>
      <c r="I137" s="5">
        <v>45454</v>
      </c>
    </row>
    <row r="138" spans="1:9" x14ac:dyDescent="0.25">
      <c r="A138" t="s">
        <v>69</v>
      </c>
      <c r="B138">
        <v>2.02</v>
      </c>
      <c r="C138">
        <v>0.54999999999999716</v>
      </c>
      <c r="D138">
        <v>1.5300000000000011</v>
      </c>
      <c r="E138">
        <v>70.995385629532095</v>
      </c>
      <c r="F138">
        <v>0.1237500000000018</v>
      </c>
      <c r="G138">
        <v>93.873762376237536</v>
      </c>
      <c r="H138" t="s">
        <v>45</v>
      </c>
      <c r="I138" s="5">
        <v>45481</v>
      </c>
    </row>
    <row r="139" spans="1:9" x14ac:dyDescent="0.25">
      <c r="A139" t="s">
        <v>69</v>
      </c>
      <c r="B139">
        <v>1.99</v>
      </c>
      <c r="C139">
        <v>0.49000000000000909</v>
      </c>
      <c r="D139">
        <v>1.5699999999999932</v>
      </c>
      <c r="E139">
        <v>73.88407728181167</v>
      </c>
      <c r="F139">
        <v>0.1137499999999978</v>
      </c>
      <c r="G139">
        <v>94.283919597990064</v>
      </c>
      <c r="H139" t="s">
        <v>105</v>
      </c>
      <c r="I139" s="5">
        <v>45498</v>
      </c>
    </row>
    <row r="140" spans="1:9" x14ac:dyDescent="0.25">
      <c r="A140" t="s">
        <v>92</v>
      </c>
      <c r="B140">
        <v>2</v>
      </c>
      <c r="C140">
        <v>0.20000000000000284</v>
      </c>
      <c r="D140">
        <v>1.75</v>
      </c>
      <c r="E140">
        <v>88.676574663835666</v>
      </c>
      <c r="F140">
        <v>0.23374999999999724</v>
      </c>
      <c r="G140">
        <v>88.312500000000142</v>
      </c>
      <c r="H140" t="s">
        <v>107</v>
      </c>
      <c r="I140" s="5">
        <v>45469</v>
      </c>
    </row>
    <row r="141" spans="1:9" x14ac:dyDescent="0.25">
      <c r="A141" t="s">
        <v>92</v>
      </c>
      <c r="B141">
        <v>1.97</v>
      </c>
      <c r="C141">
        <v>0.20999999999999375</v>
      </c>
      <c r="D141">
        <v>1.8500000000000085</v>
      </c>
      <c r="E141">
        <v>88.80746169220555</v>
      </c>
      <c r="F141">
        <v>9.374999999999778E-2</v>
      </c>
      <c r="G141">
        <v>95.241116751269146</v>
      </c>
      <c r="H141" t="s">
        <v>45</v>
      </c>
      <c r="I141" s="5">
        <v>45481</v>
      </c>
    </row>
    <row r="142" spans="1:9" x14ac:dyDescent="0.25">
      <c r="A142" t="s">
        <v>92</v>
      </c>
      <c r="B142">
        <v>2.04</v>
      </c>
      <c r="C142">
        <v>0.21000000000000796</v>
      </c>
      <c r="D142">
        <v>1.8700000000000045</v>
      </c>
      <c r="E142">
        <v>88.925510876730044</v>
      </c>
      <c r="F142">
        <v>0.14374999999998761</v>
      </c>
      <c r="G142">
        <v>92.953431372549616</v>
      </c>
      <c r="H142" t="s">
        <v>105</v>
      </c>
      <c r="I142" s="5">
        <v>45498</v>
      </c>
    </row>
    <row r="143" spans="1:9" x14ac:dyDescent="0.25">
      <c r="A143" t="s">
        <v>26</v>
      </c>
      <c r="B143">
        <v>1.99</v>
      </c>
      <c r="C143">
        <v>0.70000000000000284</v>
      </c>
      <c r="D143">
        <v>1.3900000000000006</v>
      </c>
      <c r="E143">
        <v>63.278688524590073</v>
      </c>
      <c r="F143">
        <v>8.374999999999666E-2</v>
      </c>
      <c r="G143">
        <v>95.791457286432319</v>
      </c>
      <c r="H143" t="s">
        <v>107</v>
      </c>
      <c r="I143" s="5">
        <v>45474</v>
      </c>
    </row>
    <row r="144" spans="1:9" x14ac:dyDescent="0.25">
      <c r="A144" t="s">
        <v>26</v>
      </c>
      <c r="B144">
        <v>2.02</v>
      </c>
      <c r="C144">
        <v>0.75</v>
      </c>
      <c r="D144">
        <v>1.3700000000000045</v>
      </c>
      <c r="E144">
        <v>61.265332472563031</v>
      </c>
      <c r="F144">
        <v>8.374999999999555E-2</v>
      </c>
      <c r="G144">
        <v>95.853960396039824</v>
      </c>
      <c r="H144" t="s">
        <v>45</v>
      </c>
      <c r="I144" s="5">
        <v>45489</v>
      </c>
    </row>
    <row r="145" spans="1:9" x14ac:dyDescent="0.25">
      <c r="A145" t="s">
        <v>26</v>
      </c>
      <c r="B145">
        <v>2.0099999999999998</v>
      </c>
      <c r="C145">
        <v>0.6600000000000108</v>
      </c>
      <c r="D145">
        <v>1.4000000000000057</v>
      </c>
      <c r="E145">
        <v>64.823451032644627</v>
      </c>
      <c r="F145">
        <v>0.13374999999998338</v>
      </c>
      <c r="G145">
        <v>93.345771144279439</v>
      </c>
      <c r="H145" t="s">
        <v>105</v>
      </c>
      <c r="I145" s="5">
        <v>45498</v>
      </c>
    </row>
    <row r="146" spans="1:9" x14ac:dyDescent="0.25">
      <c r="A146" t="s">
        <v>46</v>
      </c>
      <c r="B146">
        <v>2</v>
      </c>
      <c r="C146">
        <v>0.25</v>
      </c>
      <c r="D146">
        <v>1.6799999999999926</v>
      </c>
      <c r="E146">
        <v>85.683607730851762</v>
      </c>
      <c r="F146">
        <v>0.25375000000000736</v>
      </c>
      <c r="G146">
        <v>87.312499999999631</v>
      </c>
      <c r="H146" t="s">
        <v>107</v>
      </c>
      <c r="I146" s="5">
        <v>45454</v>
      </c>
    </row>
    <row r="147" spans="1:9" x14ac:dyDescent="0.25">
      <c r="A147" t="s">
        <v>46</v>
      </c>
      <c r="B147">
        <v>1.97</v>
      </c>
      <c r="C147">
        <v>0.21999999999999886</v>
      </c>
      <c r="D147">
        <v>1.8000000000000114</v>
      </c>
      <c r="E147">
        <v>88.019060585432399</v>
      </c>
      <c r="F147">
        <v>0.13374999999998982</v>
      </c>
      <c r="G147">
        <v>93.210659898477672</v>
      </c>
      <c r="H147" t="s">
        <v>45</v>
      </c>
      <c r="I147" s="5">
        <v>45474</v>
      </c>
    </row>
    <row r="148" spans="1:9" x14ac:dyDescent="0.25">
      <c r="A148" t="s">
        <v>46</v>
      </c>
      <c r="B148">
        <v>2.0099999999999998</v>
      </c>
      <c r="C148">
        <v>0.26000000000000512</v>
      </c>
      <c r="D148">
        <v>1.8200000000000074</v>
      </c>
      <c r="E148">
        <v>86.288727752142208</v>
      </c>
      <c r="F148">
        <v>0.11374999999998736</v>
      </c>
      <c r="G148">
        <v>94.340796019901134</v>
      </c>
      <c r="H148" t="s">
        <v>105</v>
      </c>
      <c r="I148" s="5">
        <v>45532</v>
      </c>
    </row>
    <row r="149" spans="1:9" x14ac:dyDescent="0.25">
      <c r="A149" t="s">
        <v>66</v>
      </c>
      <c r="B149">
        <v>2.02</v>
      </c>
      <c r="C149">
        <v>9.9999999999994316E-2</v>
      </c>
      <c r="D149">
        <v>1.75</v>
      </c>
      <c r="E149">
        <v>93.998499624906557</v>
      </c>
      <c r="F149">
        <v>0.35375000000000567</v>
      </c>
      <c r="G149">
        <v>82.487623762375947</v>
      </c>
      <c r="H149" t="s">
        <v>107</v>
      </c>
      <c r="I149" s="5">
        <v>45454</v>
      </c>
    </row>
    <row r="150" spans="1:9" x14ac:dyDescent="0.25">
      <c r="A150" t="s">
        <v>66</v>
      </c>
      <c r="B150">
        <v>1.97</v>
      </c>
      <c r="C150">
        <v>0.10999999999999943</v>
      </c>
      <c r="D150">
        <v>1.8900000000000006</v>
      </c>
      <c r="E150">
        <v>93.94356503785275</v>
      </c>
      <c r="F150">
        <v>0.15375000000000005</v>
      </c>
      <c r="G150">
        <v>92.195431472081211</v>
      </c>
      <c r="H150" t="s">
        <v>45</v>
      </c>
      <c r="I150" s="5">
        <v>45481</v>
      </c>
    </row>
    <row r="151" spans="1:9" x14ac:dyDescent="0.25">
      <c r="A151" t="s">
        <v>66</v>
      </c>
      <c r="B151">
        <v>2.02</v>
      </c>
      <c r="C151">
        <v>0.12999999999999545</v>
      </c>
      <c r="D151">
        <v>1.9500000000000028</v>
      </c>
      <c r="E151">
        <v>93.144363876071424</v>
      </c>
      <c r="F151">
        <v>0.1237500000000018</v>
      </c>
      <c r="G151">
        <v>93.873762376237536</v>
      </c>
      <c r="H151" t="s">
        <v>105</v>
      </c>
      <c r="I151" s="5">
        <v>45498</v>
      </c>
    </row>
    <row r="152" spans="1:9" x14ac:dyDescent="0.25">
      <c r="A152" t="s">
        <v>73</v>
      </c>
      <c r="B152">
        <v>2.02</v>
      </c>
      <c r="C152">
        <v>0.45000000000000284</v>
      </c>
      <c r="D152">
        <v>1.3799999999999955</v>
      </c>
      <c r="E152">
        <v>72.665148063781118</v>
      </c>
      <c r="F152">
        <v>0.37375000000000169</v>
      </c>
      <c r="G152">
        <v>81.497524752475158</v>
      </c>
      <c r="H152" t="s">
        <v>107</v>
      </c>
      <c r="I152" s="5">
        <v>45454</v>
      </c>
    </row>
    <row r="153" spans="1:9" x14ac:dyDescent="0.25">
      <c r="A153" t="s">
        <v>73</v>
      </c>
      <c r="B153">
        <v>1.98</v>
      </c>
      <c r="C153">
        <v>0.46999999999999886</v>
      </c>
      <c r="D153">
        <v>1.5700000000000074</v>
      </c>
      <c r="E153">
        <v>74.680134680134827</v>
      </c>
      <c r="F153">
        <v>0.12374999999999381</v>
      </c>
      <c r="G153">
        <v>93.750000000000313</v>
      </c>
      <c r="H153" t="s">
        <v>45</v>
      </c>
      <c r="I153" s="5">
        <v>45481</v>
      </c>
    </row>
    <row r="154" spans="1:9" x14ac:dyDescent="0.25">
      <c r="A154" t="s">
        <v>73</v>
      </c>
      <c r="B154">
        <v>1.99</v>
      </c>
      <c r="C154">
        <v>0.47999999999998977</v>
      </c>
      <c r="D154">
        <v>1.5499999999999972</v>
      </c>
      <c r="E154">
        <v>74.001354096141199</v>
      </c>
      <c r="F154">
        <v>0.14375000000001315</v>
      </c>
      <c r="G154">
        <v>92.776381909547084</v>
      </c>
      <c r="H154" t="s">
        <v>105</v>
      </c>
      <c r="I154" s="5">
        <v>45498</v>
      </c>
    </row>
    <row r="155" spans="1:9" x14ac:dyDescent="0.25">
      <c r="A155" t="s">
        <v>74</v>
      </c>
      <c r="B155">
        <v>2.0499999999999998</v>
      </c>
      <c r="C155">
        <v>0.26999999999999602</v>
      </c>
      <c r="D155">
        <v>1.6500000000000057</v>
      </c>
      <c r="E155">
        <v>84.449244060475408</v>
      </c>
      <c r="F155">
        <v>0.31374999999999809</v>
      </c>
      <c r="G155">
        <v>84.695121951219605</v>
      </c>
      <c r="H155" t="s">
        <v>107</v>
      </c>
      <c r="I155" s="5">
        <v>45454</v>
      </c>
    </row>
    <row r="156" spans="1:9" x14ac:dyDescent="0.25">
      <c r="A156" t="s">
        <v>74</v>
      </c>
      <c r="B156">
        <v>1.98</v>
      </c>
      <c r="C156">
        <v>0.25</v>
      </c>
      <c r="D156">
        <v>1.7800000000000011</v>
      </c>
      <c r="E156">
        <v>86.459038591740025</v>
      </c>
      <c r="F156">
        <v>0.13374999999999893</v>
      </c>
      <c r="G156">
        <v>93.244949494949552</v>
      </c>
      <c r="H156" t="s">
        <v>45</v>
      </c>
      <c r="I156" s="5">
        <v>45481</v>
      </c>
    </row>
    <row r="157" spans="1:9" x14ac:dyDescent="0.25">
      <c r="A157" t="s">
        <v>74</v>
      </c>
      <c r="B157">
        <v>1.96</v>
      </c>
      <c r="C157">
        <v>0.27000000000001023</v>
      </c>
      <c r="D157">
        <v>1.7399999999999949</v>
      </c>
      <c r="E157">
        <v>85.21560574948613</v>
      </c>
      <c r="F157">
        <v>0.13374999999999493</v>
      </c>
      <c r="G157">
        <v>93.176020408163524</v>
      </c>
      <c r="H157" t="s">
        <v>105</v>
      </c>
      <c r="I157" s="5">
        <v>45498</v>
      </c>
    </row>
    <row r="158" spans="1:9" x14ac:dyDescent="0.25">
      <c r="A158" t="s">
        <v>53</v>
      </c>
      <c r="B158">
        <v>2.0099999999999998</v>
      </c>
      <c r="C158">
        <v>0.28999999999999204</v>
      </c>
      <c r="D158">
        <v>1.6899999999999977</v>
      </c>
      <c r="E158">
        <v>83.85525400139214</v>
      </c>
      <c r="F158">
        <v>0.2137500000000101</v>
      </c>
      <c r="G158">
        <v>89.365671641790541</v>
      </c>
      <c r="H158" t="s">
        <v>107</v>
      </c>
      <c r="I158" s="5">
        <v>45469</v>
      </c>
    </row>
    <row r="159" spans="1:9" x14ac:dyDescent="0.25">
      <c r="A159" t="s">
        <v>53</v>
      </c>
      <c r="B159">
        <v>1.97</v>
      </c>
      <c r="C159">
        <v>0.28000000000000114</v>
      </c>
      <c r="D159">
        <v>1.7700000000000102</v>
      </c>
      <c r="E159">
        <v>84.9966510381782</v>
      </c>
      <c r="F159">
        <v>0.10374999999998868</v>
      </c>
      <c r="G159">
        <v>94.733502538071647</v>
      </c>
      <c r="H159" t="s">
        <v>45</v>
      </c>
      <c r="I159" s="5">
        <v>45476</v>
      </c>
    </row>
    <row r="160" spans="1:9" x14ac:dyDescent="0.25">
      <c r="A160" t="s">
        <v>53</v>
      </c>
      <c r="B160">
        <v>2.0099999999999998</v>
      </c>
      <c r="C160">
        <v>0.17000000000000171</v>
      </c>
      <c r="D160">
        <v>1.9099999999999966</v>
      </c>
      <c r="E160">
        <v>91.034937376400691</v>
      </c>
      <c r="F160">
        <v>0.11375000000000157</v>
      </c>
      <c r="G160">
        <v>94.340796019900424</v>
      </c>
      <c r="H160" t="s">
        <v>105</v>
      </c>
      <c r="I160" s="5">
        <v>45498</v>
      </c>
    </row>
    <row r="161" spans="1:9" x14ac:dyDescent="0.25">
      <c r="A161" t="s">
        <v>56</v>
      </c>
      <c r="B161">
        <v>2.0499999999999998</v>
      </c>
      <c r="C161">
        <v>0.67999999999999261</v>
      </c>
      <c r="D161">
        <v>1.2199999999999989</v>
      </c>
      <c r="E161">
        <v>60.378732702112394</v>
      </c>
      <c r="F161">
        <v>0.33375000000000832</v>
      </c>
      <c r="G161">
        <v>83.719512195121538</v>
      </c>
      <c r="H161" t="s">
        <v>107</v>
      </c>
      <c r="I161" s="5">
        <v>45454</v>
      </c>
    </row>
    <row r="162" spans="1:9" x14ac:dyDescent="0.25">
      <c r="A162" t="s">
        <v>56</v>
      </c>
      <c r="B162">
        <v>1.98</v>
      </c>
      <c r="C162">
        <v>0.64000000000000057</v>
      </c>
      <c r="D162">
        <v>1.4399999999999977</v>
      </c>
      <c r="E162">
        <v>66.249176005273497</v>
      </c>
      <c r="F162">
        <v>8.3750000000001767E-2</v>
      </c>
      <c r="G162">
        <v>95.770202020201936</v>
      </c>
      <c r="H162" t="s">
        <v>45</v>
      </c>
      <c r="I162" s="5">
        <v>45476</v>
      </c>
    </row>
    <row r="163" spans="1:9" x14ac:dyDescent="0.25">
      <c r="A163" t="s">
        <v>56</v>
      </c>
      <c r="B163">
        <v>1.97</v>
      </c>
      <c r="C163">
        <v>0.21999999999999886</v>
      </c>
      <c r="D163">
        <v>1.8199999999999932</v>
      </c>
      <c r="E163">
        <v>88.148148148148152</v>
      </c>
      <c r="F163">
        <v>0.11375000000000801</v>
      </c>
      <c r="G163">
        <v>94.225888324872685</v>
      </c>
      <c r="H163" t="s">
        <v>105</v>
      </c>
      <c r="I163" s="5">
        <v>45498</v>
      </c>
    </row>
    <row r="164" spans="1:9" x14ac:dyDescent="0.25">
      <c r="A164" t="s">
        <v>65</v>
      </c>
      <c r="B164">
        <v>2.02</v>
      </c>
      <c r="C164">
        <v>0.68000000000000682</v>
      </c>
      <c r="D164">
        <v>1.2099999999999937</v>
      </c>
      <c r="E164">
        <v>60.146520146519755</v>
      </c>
      <c r="F164">
        <v>0.31374999999999942</v>
      </c>
      <c r="G164">
        <v>84.467821782178248</v>
      </c>
      <c r="H164" t="s">
        <v>107</v>
      </c>
      <c r="I164" s="5">
        <v>45454</v>
      </c>
    </row>
    <row r="165" spans="1:9" x14ac:dyDescent="0.25">
      <c r="A165" t="s">
        <v>65</v>
      </c>
      <c r="B165">
        <v>2</v>
      </c>
      <c r="C165">
        <v>0.6600000000000108</v>
      </c>
      <c r="D165">
        <v>1.4000000000000057</v>
      </c>
      <c r="E165">
        <v>64.823451032644627</v>
      </c>
      <c r="F165">
        <v>0.1237499999999836</v>
      </c>
      <c r="G165">
        <v>93.812500000000824</v>
      </c>
      <c r="H165" t="s">
        <v>45</v>
      </c>
      <c r="I165" s="5">
        <v>45481</v>
      </c>
    </row>
    <row r="166" spans="1:9" x14ac:dyDescent="0.25">
      <c r="A166" t="s">
        <v>65</v>
      </c>
      <c r="B166">
        <v>1.97</v>
      </c>
      <c r="C166">
        <v>0.71999999999999886</v>
      </c>
      <c r="D166">
        <v>1.2999999999999972</v>
      </c>
      <c r="E166">
        <v>60.789652825051036</v>
      </c>
      <c r="F166">
        <v>0.13375000000000403</v>
      </c>
      <c r="G166">
        <v>93.210659898476962</v>
      </c>
      <c r="H166" t="s">
        <v>105</v>
      </c>
      <c r="I166" s="5">
        <v>45498</v>
      </c>
    </row>
    <row r="167" spans="1:9" x14ac:dyDescent="0.25">
      <c r="A167" t="s">
        <v>99</v>
      </c>
      <c r="B167">
        <v>2.0299999999999998</v>
      </c>
      <c r="C167">
        <v>0.39999999999999147</v>
      </c>
      <c r="D167">
        <v>1.5600000000000023</v>
      </c>
      <c r="E167">
        <v>77.480647431386757</v>
      </c>
      <c r="F167">
        <v>0.25375000000000614</v>
      </c>
      <c r="G167">
        <v>87.499999999999702</v>
      </c>
      <c r="H167" t="s">
        <v>107</v>
      </c>
      <c r="I167" s="5">
        <v>45469</v>
      </c>
    </row>
    <row r="168" spans="1:9" x14ac:dyDescent="0.25">
      <c r="A168" t="s">
        <v>99</v>
      </c>
      <c r="B168">
        <v>2.0299999999999998</v>
      </c>
      <c r="C168">
        <v>0.23000000000000398</v>
      </c>
      <c r="D168">
        <v>1.8799999999999955</v>
      </c>
      <c r="E168">
        <v>88.059701492537101</v>
      </c>
      <c r="F168">
        <v>0.10375000000000045</v>
      </c>
      <c r="G168">
        <v>94.889162561576342</v>
      </c>
      <c r="H168" t="s">
        <v>45</v>
      </c>
      <c r="I168" s="5">
        <v>45481</v>
      </c>
    </row>
    <row r="169" spans="1:9" x14ac:dyDescent="0.25">
      <c r="A169" t="s">
        <v>99</v>
      </c>
      <c r="B169">
        <v>1.97</v>
      </c>
      <c r="C169">
        <v>0.46000000000000796</v>
      </c>
      <c r="D169">
        <v>1.6700000000000017</v>
      </c>
      <c r="E169">
        <v>76.364804110468555</v>
      </c>
      <c r="F169">
        <v>2.374999999999039E-2</v>
      </c>
      <c r="G169">
        <v>98.79441624365532</v>
      </c>
      <c r="H169" t="s">
        <v>105</v>
      </c>
      <c r="I169" s="5">
        <v>45491</v>
      </c>
    </row>
    <row r="170" spans="1:9" x14ac:dyDescent="0.25">
      <c r="A170" t="s">
        <v>28</v>
      </c>
      <c r="B170">
        <v>2.0099999999999998</v>
      </c>
      <c r="C170">
        <v>0.23000000000000398</v>
      </c>
      <c r="D170">
        <v>1.8499999999999943</v>
      </c>
      <c r="E170">
        <v>87.870797626894969</v>
      </c>
      <c r="F170">
        <v>0.11375000000000157</v>
      </c>
      <c r="G170">
        <v>94.340796019900424</v>
      </c>
      <c r="H170" t="s">
        <v>107</v>
      </c>
      <c r="I170" s="5">
        <v>45474</v>
      </c>
    </row>
    <row r="171" spans="1:9" x14ac:dyDescent="0.25">
      <c r="A171" t="s">
        <v>28</v>
      </c>
      <c r="B171">
        <v>1.98</v>
      </c>
      <c r="C171">
        <v>0.19000000000001194</v>
      </c>
      <c r="D171">
        <v>1.8700000000000045</v>
      </c>
      <c r="E171">
        <v>89.87341772151845</v>
      </c>
      <c r="F171">
        <v>0.10374999999998358</v>
      </c>
      <c r="G171">
        <v>94.760101010101835</v>
      </c>
      <c r="H171" t="s">
        <v>45</v>
      </c>
      <c r="I171" s="5">
        <v>45489</v>
      </c>
    </row>
    <row r="172" spans="1:9" x14ac:dyDescent="0.25">
      <c r="A172" t="s">
        <v>28</v>
      </c>
      <c r="B172">
        <v>2</v>
      </c>
      <c r="C172">
        <v>0.16999999999998749</v>
      </c>
      <c r="D172">
        <v>1.8900000000000006</v>
      </c>
      <c r="E172">
        <v>90.939373750833383</v>
      </c>
      <c r="F172">
        <v>0.12375000000001202</v>
      </c>
      <c r="G172">
        <v>93.812499999999403</v>
      </c>
      <c r="H172" t="s">
        <v>105</v>
      </c>
      <c r="I172" s="5">
        <v>45498</v>
      </c>
    </row>
    <row r="173" spans="1:9" x14ac:dyDescent="0.25">
      <c r="A173" t="s">
        <v>40</v>
      </c>
      <c r="B173">
        <v>2</v>
      </c>
      <c r="C173">
        <v>0.54999999999999716</v>
      </c>
      <c r="D173">
        <v>1.539999999999992</v>
      </c>
      <c r="E173">
        <v>71.147540983606532</v>
      </c>
      <c r="F173">
        <v>9.375000000001088E-2</v>
      </c>
      <c r="G173">
        <v>95.31249999999946</v>
      </c>
      <c r="H173" t="s">
        <v>107</v>
      </c>
      <c r="I173" s="5">
        <v>45474</v>
      </c>
    </row>
    <row r="174" spans="1:9" x14ac:dyDescent="0.25">
      <c r="A174" t="s">
        <v>40</v>
      </c>
      <c r="B174">
        <v>2.0299999999999998</v>
      </c>
      <c r="C174">
        <v>0.56000000000000227</v>
      </c>
      <c r="D174">
        <v>1.5499999999999972</v>
      </c>
      <c r="E174">
        <v>70.927968851395079</v>
      </c>
      <c r="F174">
        <v>0.10375000000000045</v>
      </c>
      <c r="G174">
        <v>94.889162561576342</v>
      </c>
      <c r="H174" t="s">
        <v>45</v>
      </c>
      <c r="I174" s="5">
        <v>45489</v>
      </c>
    </row>
    <row r="175" spans="1:9" x14ac:dyDescent="0.25">
      <c r="A175" t="s">
        <v>40</v>
      </c>
      <c r="B175">
        <v>2.02</v>
      </c>
      <c r="C175">
        <v>0.57999999999999829</v>
      </c>
      <c r="D175">
        <v>1.4899999999999949</v>
      </c>
      <c r="E175">
        <v>69.251159708416139</v>
      </c>
      <c r="F175">
        <v>0.13375000000000692</v>
      </c>
      <c r="G175">
        <v>93.37871287128678</v>
      </c>
      <c r="H175" t="s">
        <v>105</v>
      </c>
      <c r="I175" s="5">
        <v>45498</v>
      </c>
    </row>
    <row r="176" spans="1:9" x14ac:dyDescent="0.25">
      <c r="A176" t="s">
        <v>75</v>
      </c>
      <c r="B176">
        <v>2.02</v>
      </c>
      <c r="C176">
        <v>0.1600000000000108</v>
      </c>
      <c r="D176">
        <v>1.7000000000000028</v>
      </c>
      <c r="E176">
        <v>90.454884414615393</v>
      </c>
      <c r="F176">
        <v>0.34374999999998634</v>
      </c>
      <c r="G176">
        <v>82.982673267327399</v>
      </c>
      <c r="H176" t="s">
        <v>107</v>
      </c>
      <c r="I176" s="5">
        <v>45454</v>
      </c>
    </row>
    <row r="177" spans="1:9" x14ac:dyDescent="0.25">
      <c r="A177" t="s">
        <v>75</v>
      </c>
      <c r="B177">
        <v>1.99</v>
      </c>
      <c r="C177">
        <v>0.17000000000000171</v>
      </c>
      <c r="D177">
        <v>1.8700000000000045</v>
      </c>
      <c r="E177">
        <v>90.84175084175078</v>
      </c>
      <c r="F177">
        <v>0.13374999999999382</v>
      </c>
      <c r="G177">
        <v>93.278894472362111</v>
      </c>
      <c r="H177" t="s">
        <v>45</v>
      </c>
      <c r="I177" s="5">
        <v>45481</v>
      </c>
    </row>
    <row r="178" spans="1:9" x14ac:dyDescent="0.25">
      <c r="A178" t="s">
        <v>75</v>
      </c>
      <c r="B178">
        <v>2</v>
      </c>
      <c r="C178">
        <v>0.17000000000000171</v>
      </c>
      <c r="D178">
        <v>1.8700000000000045</v>
      </c>
      <c r="E178">
        <v>90.84175084175078</v>
      </c>
      <c r="F178">
        <v>0.14374999999999383</v>
      </c>
      <c r="G178">
        <v>92.812500000000313</v>
      </c>
      <c r="H178" t="s">
        <v>105</v>
      </c>
      <c r="I178" s="5">
        <v>45498</v>
      </c>
    </row>
    <row r="179" spans="1:9" x14ac:dyDescent="0.25">
      <c r="A179" t="s">
        <v>81</v>
      </c>
      <c r="B179">
        <v>2.04</v>
      </c>
      <c r="C179">
        <v>0.26000000000000512</v>
      </c>
      <c r="D179">
        <v>1.5999999999999943</v>
      </c>
      <c r="E179">
        <v>84.489187173750622</v>
      </c>
      <c r="F179">
        <v>0.36375000000000057</v>
      </c>
      <c r="G179">
        <v>82.169117647058783</v>
      </c>
      <c r="H179" t="s">
        <v>107</v>
      </c>
      <c r="I179" s="5">
        <v>45454</v>
      </c>
    </row>
    <row r="180" spans="1:9" x14ac:dyDescent="0.25">
      <c r="A180" t="s">
        <v>81</v>
      </c>
      <c r="B180">
        <v>2.04</v>
      </c>
      <c r="C180">
        <v>0.20999999999999375</v>
      </c>
      <c r="D180">
        <v>1.8799999999999955</v>
      </c>
      <c r="E180">
        <v>88.983606557377314</v>
      </c>
      <c r="F180">
        <v>0.13375000000001092</v>
      </c>
      <c r="G180">
        <v>93.443627450979861</v>
      </c>
      <c r="H180" t="s">
        <v>45</v>
      </c>
      <c r="I180" s="5">
        <v>45481</v>
      </c>
    </row>
    <row r="181" spans="1:9" x14ac:dyDescent="0.25">
      <c r="A181" t="s">
        <v>81</v>
      </c>
      <c r="B181">
        <v>1.96</v>
      </c>
      <c r="C181">
        <v>0.17999999999999261</v>
      </c>
      <c r="D181">
        <v>1.8200000000000074</v>
      </c>
      <c r="E181">
        <v>90.089470061941228</v>
      </c>
      <c r="F181">
        <v>0.14375000000000004</v>
      </c>
      <c r="G181">
        <v>92.665816326530617</v>
      </c>
      <c r="H181" t="s">
        <v>105</v>
      </c>
      <c r="I181" s="5">
        <v>45498</v>
      </c>
    </row>
    <row r="182" spans="1:9" x14ac:dyDescent="0.25">
      <c r="A182" t="s">
        <v>83</v>
      </c>
      <c r="B182">
        <v>2.0499999999999998</v>
      </c>
      <c r="C182">
        <v>0.18999999999999773</v>
      </c>
      <c r="D182">
        <v>1.6899999999999977</v>
      </c>
      <c r="E182">
        <v>88.798820928518893</v>
      </c>
      <c r="F182">
        <v>0.35375000000000434</v>
      </c>
      <c r="G182">
        <v>82.743902439024168</v>
      </c>
      <c r="H182" t="s">
        <v>107</v>
      </c>
      <c r="I182" s="5">
        <v>45454</v>
      </c>
    </row>
    <row r="183" spans="1:9" x14ac:dyDescent="0.25">
      <c r="A183" t="s">
        <v>83</v>
      </c>
      <c r="B183">
        <v>1.99</v>
      </c>
      <c r="C183">
        <v>0.14000000000000057</v>
      </c>
      <c r="D183">
        <v>1.8000000000000114</v>
      </c>
      <c r="E183">
        <v>92.028469750889698</v>
      </c>
      <c r="F183">
        <v>0.23374999999998813</v>
      </c>
      <c r="G183">
        <v>88.253768844221696</v>
      </c>
      <c r="H183" t="s">
        <v>45</v>
      </c>
      <c r="I183" s="5">
        <v>45481</v>
      </c>
    </row>
    <row r="184" spans="1:9" x14ac:dyDescent="0.25">
      <c r="A184" t="s">
        <v>83</v>
      </c>
      <c r="B184">
        <v>2.02</v>
      </c>
      <c r="C184">
        <v>0.15000000000000568</v>
      </c>
      <c r="D184">
        <v>1.8999999999999915</v>
      </c>
      <c r="E184">
        <v>91.962491627595128</v>
      </c>
      <c r="F184">
        <v>0.15375000000000294</v>
      </c>
      <c r="G184">
        <v>92.388613861385991</v>
      </c>
      <c r="H184" t="s">
        <v>105</v>
      </c>
      <c r="I184" s="5">
        <v>45498</v>
      </c>
    </row>
    <row r="185" spans="1:9" x14ac:dyDescent="0.25">
      <c r="A185" t="s">
        <v>88</v>
      </c>
      <c r="B185">
        <v>2.02</v>
      </c>
      <c r="C185">
        <v>0.17999999999999261</v>
      </c>
      <c r="D185">
        <v>1.8900000000000006</v>
      </c>
      <c r="E185">
        <v>90.457256461232959</v>
      </c>
      <c r="F185">
        <v>0.13375000000000692</v>
      </c>
      <c r="G185">
        <v>93.37871287128678</v>
      </c>
      <c r="H185" t="s">
        <v>45</v>
      </c>
      <c r="I185" s="5">
        <v>45481</v>
      </c>
    </row>
    <row r="186" spans="1:9" x14ac:dyDescent="0.25">
      <c r="A186" t="s">
        <v>88</v>
      </c>
      <c r="B186">
        <v>1.97</v>
      </c>
      <c r="C186">
        <v>0.17000000000000171</v>
      </c>
      <c r="D186">
        <v>1.8400000000000034</v>
      </c>
      <c r="E186">
        <v>90.691307323750792</v>
      </c>
      <c r="F186">
        <v>0.14374999999999494</v>
      </c>
      <c r="G186">
        <v>92.703045685279434</v>
      </c>
      <c r="H186" t="s">
        <v>105</v>
      </c>
      <c r="I186" s="5">
        <v>45532</v>
      </c>
    </row>
    <row r="187" spans="1:9" x14ac:dyDescent="0.25">
      <c r="A187" t="s">
        <v>88</v>
      </c>
      <c r="B187">
        <v>2.0099999999999998</v>
      </c>
      <c r="C187">
        <v>9.0000000000003411E-2</v>
      </c>
      <c r="D187">
        <v>1.9399999999999977</v>
      </c>
      <c r="E187">
        <v>95.125253893026212</v>
      </c>
      <c r="F187">
        <v>0.16374999999999873</v>
      </c>
      <c r="G187">
        <v>91.853233830845838</v>
      </c>
      <c r="H187" t="s">
        <v>105</v>
      </c>
      <c r="I187" s="5">
        <v>45489</v>
      </c>
    </row>
    <row r="188" spans="1:9" x14ac:dyDescent="0.25">
      <c r="A188" t="s">
        <v>89</v>
      </c>
      <c r="B188">
        <v>2.0299999999999998</v>
      </c>
      <c r="C188">
        <v>0.23999999999999488</v>
      </c>
      <c r="D188">
        <v>1.7000000000000028</v>
      </c>
      <c r="E188">
        <v>86.334519572954008</v>
      </c>
      <c r="F188">
        <v>0.27375000000000205</v>
      </c>
      <c r="G188">
        <v>86.514778325123046</v>
      </c>
      <c r="H188" t="s">
        <v>107</v>
      </c>
      <c r="I188" s="5">
        <v>45454</v>
      </c>
    </row>
    <row r="189" spans="1:9" x14ac:dyDescent="0.25">
      <c r="A189" t="s">
        <v>89</v>
      </c>
      <c r="B189">
        <v>2</v>
      </c>
      <c r="C189">
        <v>0.17999999999999261</v>
      </c>
      <c r="D189">
        <v>1.9300000000000068</v>
      </c>
      <c r="E189">
        <v>90.655418559377409</v>
      </c>
      <c r="F189">
        <v>7.3750000000000648E-2</v>
      </c>
      <c r="G189">
        <v>96.312499999999972</v>
      </c>
      <c r="H189" t="s">
        <v>45</v>
      </c>
      <c r="I189" s="5">
        <v>45481</v>
      </c>
    </row>
    <row r="190" spans="1:9" x14ac:dyDescent="0.25">
      <c r="A190" t="s">
        <v>89</v>
      </c>
      <c r="B190">
        <v>2.0099999999999998</v>
      </c>
      <c r="C190">
        <v>0.16999999999998749</v>
      </c>
      <c r="D190">
        <v>1.8900000000000006</v>
      </c>
      <c r="E190">
        <v>90.939373750833383</v>
      </c>
      <c r="F190">
        <v>0.1337500000000118</v>
      </c>
      <c r="G190">
        <v>93.345771144278018</v>
      </c>
      <c r="H190" t="s">
        <v>105</v>
      </c>
      <c r="I190" s="5">
        <v>45498</v>
      </c>
    </row>
    <row r="191" spans="1:9" x14ac:dyDescent="0.25">
      <c r="A191" t="s">
        <v>87</v>
      </c>
      <c r="B191">
        <v>2.02</v>
      </c>
      <c r="C191">
        <v>0.40000000000000568</v>
      </c>
      <c r="D191">
        <v>1.4300000000000068</v>
      </c>
      <c r="E191">
        <v>75.70235383447212</v>
      </c>
      <c r="F191">
        <v>0.37374999999998748</v>
      </c>
      <c r="G191">
        <v>81.497524752475854</v>
      </c>
      <c r="H191" t="s">
        <v>107</v>
      </c>
      <c r="I191" s="5">
        <v>45454</v>
      </c>
    </row>
    <row r="192" spans="1:9" x14ac:dyDescent="0.25">
      <c r="A192" t="s">
        <v>87</v>
      </c>
      <c r="B192">
        <v>1.97</v>
      </c>
      <c r="C192">
        <v>0.37000000000000455</v>
      </c>
      <c r="D192">
        <v>1.6300000000000097</v>
      </c>
      <c r="E192">
        <v>79.628355127322692</v>
      </c>
      <c r="F192">
        <v>0.15374999999998584</v>
      </c>
      <c r="G192">
        <v>92.195431472081935</v>
      </c>
      <c r="H192" t="s">
        <v>45</v>
      </c>
      <c r="I192" s="5">
        <v>45481</v>
      </c>
    </row>
    <row r="193" spans="1:9" x14ac:dyDescent="0.25">
      <c r="A193" t="s">
        <v>87</v>
      </c>
      <c r="B193">
        <v>2.02</v>
      </c>
      <c r="C193">
        <v>0.37999999999999545</v>
      </c>
      <c r="D193">
        <v>1.6499999999999915</v>
      </c>
      <c r="E193">
        <v>79.417738659444922</v>
      </c>
      <c r="F193">
        <v>0.17375000000001317</v>
      </c>
      <c r="G193">
        <v>91.398514851484492</v>
      </c>
      <c r="H193" t="s">
        <v>105</v>
      </c>
      <c r="I193" s="5">
        <v>45498</v>
      </c>
    </row>
    <row r="194" spans="1:9" x14ac:dyDescent="0.25">
      <c r="A194" t="s">
        <v>35</v>
      </c>
      <c r="B194">
        <v>2</v>
      </c>
      <c r="C194">
        <v>0.42000000000000171</v>
      </c>
      <c r="D194">
        <v>1.6499999999999915</v>
      </c>
      <c r="E194">
        <v>77.733598409542566</v>
      </c>
      <c r="F194">
        <v>0.1137500000000069</v>
      </c>
      <c r="G194">
        <v>94.312499999999659</v>
      </c>
      <c r="H194" t="s">
        <v>107</v>
      </c>
      <c r="I194" s="5">
        <v>45474</v>
      </c>
    </row>
    <row r="195" spans="1:9" x14ac:dyDescent="0.25">
      <c r="A195" t="s">
        <v>35</v>
      </c>
      <c r="B195">
        <v>1.97</v>
      </c>
      <c r="C195">
        <v>0.38999999999998636</v>
      </c>
      <c r="D195">
        <v>1.6700000000000017</v>
      </c>
      <c r="E195">
        <v>79.213857428381672</v>
      </c>
      <c r="F195">
        <v>9.375000000001199E-2</v>
      </c>
      <c r="G195">
        <v>95.241116751268436</v>
      </c>
      <c r="H195" t="s">
        <v>45</v>
      </c>
      <c r="I195" s="5">
        <v>45489</v>
      </c>
    </row>
    <row r="196" spans="1:9" x14ac:dyDescent="0.25">
      <c r="A196" t="s">
        <v>35</v>
      </c>
      <c r="B196">
        <v>1.98</v>
      </c>
      <c r="C196">
        <v>0.42000000000000171</v>
      </c>
      <c r="D196">
        <v>1.6200000000000045</v>
      </c>
      <c r="E196">
        <v>77.373737373737356</v>
      </c>
      <c r="F196">
        <v>0.12374999999999381</v>
      </c>
      <c r="G196">
        <v>93.750000000000313</v>
      </c>
      <c r="H196" t="s">
        <v>105</v>
      </c>
      <c r="I196" s="5">
        <v>45491</v>
      </c>
    </row>
    <row r="197" spans="1:9" x14ac:dyDescent="0.25">
      <c r="A197" t="s">
        <v>54</v>
      </c>
      <c r="B197">
        <v>2.04</v>
      </c>
      <c r="C197">
        <v>0.75999999999999091</v>
      </c>
      <c r="D197">
        <v>1.210000000000008</v>
      </c>
      <c r="E197">
        <v>57.452764170749262</v>
      </c>
      <c r="F197">
        <v>0.25375000000000114</v>
      </c>
      <c r="G197">
        <v>87.561274509803866</v>
      </c>
      <c r="H197" t="s">
        <v>107</v>
      </c>
      <c r="I197" s="5">
        <v>45454</v>
      </c>
    </row>
    <row r="198" spans="1:9" x14ac:dyDescent="0.25">
      <c r="A198" t="s">
        <v>54</v>
      </c>
      <c r="B198">
        <v>1.99</v>
      </c>
      <c r="C198">
        <v>0.72000000000000597</v>
      </c>
      <c r="D198">
        <v>1.3499999999999943</v>
      </c>
      <c r="E198">
        <v>61.829025844930108</v>
      </c>
      <c r="F198">
        <v>0.10374999999999979</v>
      </c>
      <c r="G198">
        <v>94.78643216080404</v>
      </c>
      <c r="H198" t="s">
        <v>45</v>
      </c>
      <c r="I198" s="5">
        <v>45476</v>
      </c>
    </row>
    <row r="199" spans="1:9" x14ac:dyDescent="0.25">
      <c r="A199" t="s">
        <v>54</v>
      </c>
      <c r="B199">
        <v>1.97</v>
      </c>
      <c r="C199">
        <v>0.53000000000000114</v>
      </c>
      <c r="D199">
        <v>1.5600000000000023</v>
      </c>
      <c r="E199">
        <v>72.1967213114754</v>
      </c>
      <c r="F199">
        <v>6.3749999999996643E-2</v>
      </c>
      <c r="G199">
        <v>96.763959390863121</v>
      </c>
      <c r="H199" t="s">
        <v>105</v>
      </c>
      <c r="I199" s="5">
        <v>45489</v>
      </c>
    </row>
    <row r="200" spans="1:9" x14ac:dyDescent="0.25">
      <c r="A200" t="s">
        <v>101</v>
      </c>
      <c r="B200">
        <v>2.0099999999999998</v>
      </c>
      <c r="C200">
        <v>0.46000000000000796</v>
      </c>
      <c r="D200">
        <v>1.5499999999999972</v>
      </c>
      <c r="E200">
        <v>74.811772758384294</v>
      </c>
      <c r="F200">
        <v>0.18374999999999475</v>
      </c>
      <c r="G200">
        <v>90.858208955224143</v>
      </c>
      <c r="H200" t="s">
        <v>107</v>
      </c>
      <c r="I200" s="5">
        <v>45469</v>
      </c>
    </row>
    <row r="201" spans="1:9" x14ac:dyDescent="0.25">
      <c r="A201" t="s">
        <v>101</v>
      </c>
      <c r="B201">
        <v>2</v>
      </c>
      <c r="C201">
        <v>0.24000000000000909</v>
      </c>
      <c r="D201">
        <v>1.8400000000000034</v>
      </c>
      <c r="E201">
        <v>87.343441001977197</v>
      </c>
      <c r="F201">
        <v>0.10374999999998757</v>
      </c>
      <c r="G201">
        <v>94.812500000000625</v>
      </c>
      <c r="H201" t="s">
        <v>45</v>
      </c>
      <c r="I201" s="5">
        <v>45481</v>
      </c>
    </row>
    <row r="202" spans="1:9" x14ac:dyDescent="0.25">
      <c r="A202" t="s">
        <v>101</v>
      </c>
      <c r="B202">
        <v>2</v>
      </c>
      <c r="C202">
        <v>0.40999999999999659</v>
      </c>
      <c r="D202">
        <v>1.6599999999999966</v>
      </c>
      <c r="E202">
        <v>78.263750828363257</v>
      </c>
      <c r="F202">
        <v>0.1137500000000069</v>
      </c>
      <c r="G202">
        <v>94.312499999999659</v>
      </c>
      <c r="H202" t="s">
        <v>105</v>
      </c>
      <c r="I202" s="5">
        <v>45491</v>
      </c>
    </row>
    <row r="203" spans="1:9" x14ac:dyDescent="0.25">
      <c r="A203" t="s">
        <v>78</v>
      </c>
      <c r="B203">
        <v>2.0299999999999998</v>
      </c>
      <c r="C203">
        <v>1.039999999999992</v>
      </c>
      <c r="D203">
        <v>0.96999999999999886</v>
      </c>
      <c r="E203">
        <v>43.052703627652448</v>
      </c>
      <c r="F203">
        <v>0.2037500000000089</v>
      </c>
      <c r="G203">
        <v>89.963054187191673</v>
      </c>
      <c r="H203" t="s">
        <v>107</v>
      </c>
      <c r="I203" s="5">
        <v>45454</v>
      </c>
    </row>
    <row r="204" spans="1:9" x14ac:dyDescent="0.25">
      <c r="A204" t="s">
        <v>78</v>
      </c>
      <c r="B204">
        <v>2</v>
      </c>
      <c r="C204">
        <v>0.93999999999999773</v>
      </c>
      <c r="D204">
        <v>1.1600000000000108</v>
      </c>
      <c r="E204">
        <v>50.945857795173197</v>
      </c>
      <c r="F204">
        <v>8.3749999999991442E-2</v>
      </c>
      <c r="G204">
        <v>95.812500000000426</v>
      </c>
      <c r="H204" t="s">
        <v>45</v>
      </c>
      <c r="I204" s="5">
        <v>45481</v>
      </c>
    </row>
    <row r="205" spans="1:9" x14ac:dyDescent="0.25">
      <c r="A205" t="s">
        <v>78</v>
      </c>
      <c r="B205">
        <v>1.97</v>
      </c>
      <c r="C205">
        <v>0.96999999999999886</v>
      </c>
      <c r="D205">
        <v>1.0900000000000034</v>
      </c>
      <c r="E205">
        <v>48.301132578281276</v>
      </c>
      <c r="F205">
        <v>9.3749999999997669E-2</v>
      </c>
      <c r="G205">
        <v>95.241116751269146</v>
      </c>
      <c r="H205" t="s">
        <v>105</v>
      </c>
      <c r="I205" s="5">
        <v>45498</v>
      </c>
    </row>
    <row r="206" spans="1:9" x14ac:dyDescent="0.25">
      <c r="A206" t="s">
        <v>32</v>
      </c>
      <c r="B206">
        <v>2</v>
      </c>
      <c r="C206">
        <v>0.20000000000000284</v>
      </c>
      <c r="D206">
        <v>1.8799999999999955</v>
      </c>
      <c r="E206">
        <v>89.45286750164783</v>
      </c>
      <c r="F206">
        <v>0.10375000000000179</v>
      </c>
      <c r="G206">
        <v>94.812499999999915</v>
      </c>
      <c r="H206" t="s">
        <v>107</v>
      </c>
      <c r="I206" s="5">
        <v>45474</v>
      </c>
    </row>
    <row r="207" spans="1:9" x14ac:dyDescent="0.25">
      <c r="A207" t="s">
        <v>32</v>
      </c>
      <c r="B207">
        <v>1.97</v>
      </c>
      <c r="C207">
        <v>0.31000000000000227</v>
      </c>
      <c r="D207">
        <v>1.7399999999999949</v>
      </c>
      <c r="E207">
        <v>83.389149363697101</v>
      </c>
      <c r="F207">
        <v>0.1037500000000029</v>
      </c>
      <c r="G207">
        <v>94.733502538070923</v>
      </c>
      <c r="H207" t="s">
        <v>45</v>
      </c>
      <c r="I207" s="5">
        <v>45489</v>
      </c>
    </row>
    <row r="208" spans="1:9" x14ac:dyDescent="0.25">
      <c r="A208" t="s">
        <v>32</v>
      </c>
      <c r="B208">
        <v>2.0299999999999998</v>
      </c>
      <c r="C208">
        <v>0.25</v>
      </c>
      <c r="D208">
        <v>1.8699999999999903</v>
      </c>
      <c r="E208">
        <v>87.088444157520911</v>
      </c>
      <c r="F208">
        <v>9.3750000000009548E-2</v>
      </c>
      <c r="G208">
        <v>95.381773399014307</v>
      </c>
      <c r="H208" t="s">
        <v>105</v>
      </c>
      <c r="I208" s="5">
        <v>45498</v>
      </c>
    </row>
    <row r="209" spans="1:9" x14ac:dyDescent="0.25">
      <c r="A209" t="s">
        <v>80</v>
      </c>
      <c r="B209">
        <v>2.0299999999999998</v>
      </c>
      <c r="C209">
        <v>0.70000000000000284</v>
      </c>
      <c r="D209">
        <v>1.3100000000000023</v>
      </c>
      <c r="E209">
        <v>61.670088980150531</v>
      </c>
      <c r="F209">
        <v>0.20374999999999469</v>
      </c>
      <c r="G209">
        <v>89.96305418719237</v>
      </c>
      <c r="H209" t="s">
        <v>107</v>
      </c>
      <c r="I209" s="5">
        <v>45454</v>
      </c>
    </row>
    <row r="210" spans="1:9" x14ac:dyDescent="0.25">
      <c r="A210" t="s">
        <v>80</v>
      </c>
      <c r="B210">
        <v>1.99</v>
      </c>
      <c r="C210">
        <v>0.59999999999999432</v>
      </c>
      <c r="D210">
        <v>1.4699999999999989</v>
      </c>
      <c r="E210">
        <v>68.190854870775524</v>
      </c>
      <c r="F210">
        <v>0.10375000000000689</v>
      </c>
      <c r="G210">
        <v>94.78643216080367</v>
      </c>
      <c r="H210" t="s">
        <v>45</v>
      </c>
      <c r="I210" s="5">
        <v>45481</v>
      </c>
    </row>
    <row r="211" spans="1:9" x14ac:dyDescent="0.25">
      <c r="A211" t="s">
        <v>80</v>
      </c>
      <c r="B211">
        <v>2.0099999999999998</v>
      </c>
      <c r="C211">
        <v>0.53000000000000114</v>
      </c>
      <c r="D211">
        <v>1.5700000000000074</v>
      </c>
      <c r="E211">
        <v>72.341813437703905</v>
      </c>
      <c r="F211">
        <v>9.374999999999134E-2</v>
      </c>
      <c r="G211">
        <v>95.335820895522815</v>
      </c>
      <c r="H211" t="s">
        <v>105</v>
      </c>
      <c r="I211" s="5">
        <v>45498</v>
      </c>
    </row>
    <row r="212" spans="1:9" x14ac:dyDescent="0.25">
      <c r="A212" t="s">
        <v>86</v>
      </c>
      <c r="B212">
        <v>2.04</v>
      </c>
      <c r="C212">
        <v>0.79999999999999716</v>
      </c>
      <c r="D212">
        <v>1.2399999999999949</v>
      </c>
      <c r="E212">
        <v>56.902356902356864</v>
      </c>
      <c r="F212">
        <v>0.18375000000000799</v>
      </c>
      <c r="G212">
        <v>90.992647058823124</v>
      </c>
      <c r="H212" t="s">
        <v>107</v>
      </c>
      <c r="I212" s="5">
        <v>45454</v>
      </c>
    </row>
    <row r="213" spans="1:9" x14ac:dyDescent="0.25">
      <c r="A213" t="s">
        <v>86</v>
      </c>
      <c r="B213">
        <v>1.96</v>
      </c>
      <c r="C213">
        <v>0.67999999999999261</v>
      </c>
      <c r="D213">
        <v>1.3699999999999903</v>
      </c>
      <c r="E213">
        <v>63.563295378432748</v>
      </c>
      <c r="F213">
        <v>9.3750000000017097E-2</v>
      </c>
      <c r="G213">
        <v>95.216836734693004</v>
      </c>
      <c r="H213" t="s">
        <v>45</v>
      </c>
      <c r="I213" s="5">
        <v>45481</v>
      </c>
    </row>
    <row r="214" spans="1:9" x14ac:dyDescent="0.25">
      <c r="A214" t="s">
        <v>86</v>
      </c>
      <c r="B214">
        <v>2.0299999999999998</v>
      </c>
      <c r="C214">
        <v>0.45000000000000284</v>
      </c>
      <c r="D214">
        <v>1.6700000000000017</v>
      </c>
      <c r="E214">
        <v>76.759199483537671</v>
      </c>
      <c r="F214">
        <v>9.3749999999995337E-2</v>
      </c>
      <c r="G214">
        <v>95.381773399015017</v>
      </c>
      <c r="H214" t="s">
        <v>105</v>
      </c>
      <c r="I214" s="5">
        <v>45489</v>
      </c>
    </row>
    <row r="215" spans="1:9" x14ac:dyDescent="0.25">
      <c r="A215" t="s">
        <v>50</v>
      </c>
      <c r="B215">
        <v>2.0099999999999998</v>
      </c>
      <c r="C215">
        <v>1.1499999999999915</v>
      </c>
      <c r="D215">
        <v>0.82999999999999829</v>
      </c>
      <c r="E215">
        <v>35.977731384829617</v>
      </c>
      <c r="F215">
        <v>0.21375000000001002</v>
      </c>
      <c r="G215">
        <v>89.365671641790541</v>
      </c>
      <c r="H215" t="s">
        <v>107</v>
      </c>
      <c r="I215" s="5">
        <v>45454</v>
      </c>
    </row>
    <row r="216" spans="1:9" x14ac:dyDescent="0.25">
      <c r="A216" t="s">
        <v>50</v>
      </c>
      <c r="B216">
        <v>2.0099999999999998</v>
      </c>
      <c r="C216">
        <v>0.97999999999998977</v>
      </c>
      <c r="D216">
        <v>1.1400000000000006</v>
      </c>
      <c r="E216">
        <v>49.386701097482529</v>
      </c>
      <c r="F216">
        <v>7.3750000000009419E-2</v>
      </c>
      <c r="G216">
        <v>96.3308457711438</v>
      </c>
      <c r="H216" t="s">
        <v>45</v>
      </c>
      <c r="I216" s="5">
        <v>45476</v>
      </c>
    </row>
    <row r="217" spans="1:9" x14ac:dyDescent="0.25">
      <c r="A217" t="s">
        <v>50</v>
      </c>
      <c r="B217">
        <v>1.99</v>
      </c>
      <c r="C217">
        <v>0.74000000000000909</v>
      </c>
      <c r="D217">
        <v>1.3200000000000074</v>
      </c>
      <c r="E217">
        <v>60.5596269153896</v>
      </c>
      <c r="F217">
        <v>0.11374999999998359</v>
      </c>
      <c r="G217">
        <v>94.283919597990774</v>
      </c>
      <c r="H217" t="s">
        <v>105</v>
      </c>
      <c r="I217" s="5">
        <v>45498</v>
      </c>
    </row>
    <row r="218" spans="1:9" x14ac:dyDescent="0.25">
      <c r="A218" t="s">
        <v>43</v>
      </c>
      <c r="B218">
        <v>1.99</v>
      </c>
      <c r="C218">
        <v>0.54999999999999716</v>
      </c>
      <c r="D218">
        <v>1.5400000000000063</v>
      </c>
      <c r="E218">
        <v>71.14754098360676</v>
      </c>
      <c r="F218">
        <v>8.374999999999666E-2</v>
      </c>
      <c r="G218">
        <v>95.791457286432319</v>
      </c>
      <c r="H218" t="s">
        <v>107</v>
      </c>
      <c r="I218" s="5">
        <v>45474</v>
      </c>
    </row>
    <row r="219" spans="1:9" x14ac:dyDescent="0.25">
      <c r="A219" t="s">
        <v>43</v>
      </c>
      <c r="B219">
        <v>2.02</v>
      </c>
      <c r="C219">
        <v>0.62000000000000455</v>
      </c>
      <c r="D219">
        <v>1.3299999999999983</v>
      </c>
      <c r="E219">
        <v>64.897381457890816</v>
      </c>
      <c r="F219">
        <v>0.25374999999999726</v>
      </c>
      <c r="G219">
        <v>87.438118811881324</v>
      </c>
      <c r="H219" t="s">
        <v>107</v>
      </c>
      <c r="I219" s="5">
        <v>45469</v>
      </c>
    </row>
    <row r="220" spans="1:9" x14ac:dyDescent="0.25">
      <c r="A220" t="s">
        <v>43</v>
      </c>
      <c r="B220">
        <v>2.0099999999999998</v>
      </c>
      <c r="C220">
        <v>0.54999999999999716</v>
      </c>
      <c r="D220">
        <v>1.5600000000000023</v>
      </c>
      <c r="E220">
        <v>71.447112264763277</v>
      </c>
      <c r="F220">
        <v>8.3750000000000435E-2</v>
      </c>
      <c r="G220">
        <v>95.833333333333314</v>
      </c>
      <c r="H220" t="s">
        <v>45</v>
      </c>
      <c r="I220" s="5">
        <v>45489</v>
      </c>
    </row>
    <row r="221" spans="1:9" x14ac:dyDescent="0.25">
      <c r="A221" t="s">
        <v>43</v>
      </c>
      <c r="B221">
        <v>2.02</v>
      </c>
      <c r="C221">
        <v>0.67000000000000171</v>
      </c>
      <c r="D221">
        <v>1.4299999999999926</v>
      </c>
      <c r="E221">
        <v>65.035877364644293</v>
      </c>
      <c r="F221">
        <v>0.10375000000000578</v>
      </c>
      <c r="G221">
        <v>94.863861386138325</v>
      </c>
      <c r="H221" t="s">
        <v>105</v>
      </c>
      <c r="I221" s="5">
        <v>45498</v>
      </c>
    </row>
    <row r="222" spans="1:9" x14ac:dyDescent="0.25">
      <c r="A222" t="s">
        <v>90</v>
      </c>
      <c r="B222">
        <v>2.0299999999999998</v>
      </c>
      <c r="C222">
        <v>0.61999999999999034</v>
      </c>
      <c r="D222">
        <v>1.5100000000000051</v>
      </c>
      <c r="E222">
        <v>68.143866409762794</v>
      </c>
      <c r="F222">
        <v>8.3750000000004432E-2</v>
      </c>
      <c r="G222">
        <v>95.874384236452983</v>
      </c>
      <c r="H222" t="s">
        <v>45</v>
      </c>
      <c r="I222" s="5">
        <v>45481</v>
      </c>
    </row>
    <row r="223" spans="1:9" x14ac:dyDescent="0.25">
      <c r="A223" t="s">
        <v>90</v>
      </c>
      <c r="B223">
        <v>1.98</v>
      </c>
      <c r="C223">
        <v>0.61999999999999034</v>
      </c>
      <c r="D223">
        <v>1.4299999999999926</v>
      </c>
      <c r="E223">
        <v>66.778298727394727</v>
      </c>
      <c r="F223">
        <v>0.11375000000001712</v>
      </c>
      <c r="G223">
        <v>94.255050505049638</v>
      </c>
      <c r="H223" t="s">
        <v>105</v>
      </c>
      <c r="I223" s="5">
        <v>45498</v>
      </c>
    </row>
    <row r="224" spans="1:9" x14ac:dyDescent="0.25">
      <c r="A224" t="s">
        <v>104</v>
      </c>
      <c r="B224">
        <v>2.04</v>
      </c>
      <c r="C224">
        <v>0.64000000000000057</v>
      </c>
      <c r="D224">
        <v>1.3499999999999943</v>
      </c>
      <c r="E224">
        <v>64.567474048442776</v>
      </c>
      <c r="F224">
        <v>0.23375000000000523</v>
      </c>
      <c r="G224">
        <v>88.541666666666401</v>
      </c>
      <c r="H224" t="s">
        <v>107</v>
      </c>
      <c r="I224" s="5">
        <v>45469</v>
      </c>
    </row>
    <row r="225" spans="1:9" x14ac:dyDescent="0.25">
      <c r="A225" t="s">
        <v>104</v>
      </c>
      <c r="B225">
        <v>1.99</v>
      </c>
      <c r="C225">
        <v>0.56000000000000227</v>
      </c>
      <c r="D225">
        <v>1.5300000000000011</v>
      </c>
      <c r="E225">
        <v>70.622950819672056</v>
      </c>
      <c r="F225">
        <v>8.374999999999666E-2</v>
      </c>
      <c r="G225">
        <v>95.791457286432319</v>
      </c>
      <c r="H225" t="s">
        <v>45</v>
      </c>
      <c r="I225" s="5">
        <v>45481</v>
      </c>
    </row>
    <row r="226" spans="1:9" x14ac:dyDescent="0.25">
      <c r="A226" t="s">
        <v>104</v>
      </c>
      <c r="B226">
        <v>1.98</v>
      </c>
      <c r="C226">
        <v>0.65999999999999659</v>
      </c>
      <c r="D226">
        <v>1.4099999999999966</v>
      </c>
      <c r="E226">
        <v>65.00994035785294</v>
      </c>
      <c r="F226">
        <v>9.3750000000006883E-2</v>
      </c>
      <c r="G226">
        <v>95.265151515151175</v>
      </c>
      <c r="H226" t="s">
        <v>105</v>
      </c>
      <c r="I226" s="5">
        <v>45491</v>
      </c>
    </row>
    <row r="227" spans="1:9" x14ac:dyDescent="0.25">
      <c r="A227" t="s">
        <v>103</v>
      </c>
      <c r="B227">
        <v>2.02</v>
      </c>
      <c r="C227">
        <v>0.76000000000000512</v>
      </c>
      <c r="D227">
        <v>1.230000000000004</v>
      </c>
      <c r="E227">
        <v>57.923875432525875</v>
      </c>
      <c r="F227">
        <v>0.213749999999991</v>
      </c>
      <c r="G227">
        <v>89.418316831683612</v>
      </c>
      <c r="H227" t="s">
        <v>107</v>
      </c>
      <c r="I227" s="5">
        <v>45469</v>
      </c>
    </row>
    <row r="228" spans="1:9" x14ac:dyDescent="0.25">
      <c r="A228" t="s">
        <v>103</v>
      </c>
      <c r="B228">
        <v>1.99</v>
      </c>
      <c r="C228">
        <v>0.71999999999999886</v>
      </c>
      <c r="D228">
        <v>1.4100000000000108</v>
      </c>
      <c r="E228">
        <v>63.005780346821048</v>
      </c>
      <c r="F228">
        <v>4.3749999999990408E-2</v>
      </c>
      <c r="G228">
        <v>97.80150753768892</v>
      </c>
      <c r="H228" t="s">
        <v>45</v>
      </c>
      <c r="I228" s="5">
        <v>45481</v>
      </c>
    </row>
    <row r="229" spans="1:9" x14ac:dyDescent="0.25">
      <c r="A229" t="s">
        <v>103</v>
      </c>
      <c r="B229">
        <v>1.98</v>
      </c>
      <c r="C229">
        <v>0.75</v>
      </c>
      <c r="D229">
        <v>1.3400000000000034</v>
      </c>
      <c r="E229">
        <v>60.655737704918103</v>
      </c>
      <c r="F229">
        <v>7.3749999999996652E-2</v>
      </c>
      <c r="G229">
        <v>96.275252525252697</v>
      </c>
      <c r="H229" t="s">
        <v>105</v>
      </c>
      <c r="I229" s="5">
        <v>45491</v>
      </c>
    </row>
    <row r="230" spans="1:9" x14ac:dyDescent="0.25">
      <c r="A230" t="s">
        <v>76</v>
      </c>
      <c r="B230">
        <v>2.0099999999999998</v>
      </c>
      <c r="C230">
        <v>0.51999999999999602</v>
      </c>
      <c r="D230">
        <v>1.4399999999999977</v>
      </c>
      <c r="E230">
        <v>70.724841660802369</v>
      </c>
      <c r="F230">
        <v>0.23375000000000604</v>
      </c>
      <c r="G230">
        <v>88.370646766168846</v>
      </c>
      <c r="H230" t="s">
        <v>107</v>
      </c>
      <c r="I230" s="5">
        <v>45454</v>
      </c>
    </row>
    <row r="231" spans="1:9" x14ac:dyDescent="0.25">
      <c r="A231" t="s">
        <v>76</v>
      </c>
      <c r="B231">
        <v>2</v>
      </c>
      <c r="C231">
        <v>0.5</v>
      </c>
      <c r="D231">
        <v>1.5900000000000034</v>
      </c>
      <c r="E231">
        <v>73.77049180327873</v>
      </c>
      <c r="F231">
        <v>9.3749999999996669E-2</v>
      </c>
      <c r="G231">
        <v>95.312500000000171</v>
      </c>
      <c r="H231" t="s">
        <v>45</v>
      </c>
      <c r="I231" s="5">
        <v>45481</v>
      </c>
    </row>
    <row r="232" spans="1:9" x14ac:dyDescent="0.25">
      <c r="A232" t="s">
        <v>76</v>
      </c>
      <c r="B232">
        <v>1.99</v>
      </c>
      <c r="C232">
        <v>0.56000000000000227</v>
      </c>
      <c r="D232">
        <v>1.5099999999999909</v>
      </c>
      <c r="E232">
        <v>70.311464546056769</v>
      </c>
      <c r="F232">
        <v>0.10375000000000689</v>
      </c>
      <c r="G232">
        <v>94.78643216080367</v>
      </c>
      <c r="H232" t="s">
        <v>105</v>
      </c>
      <c r="I232" s="5">
        <v>45498</v>
      </c>
    </row>
    <row r="233" spans="1:9" x14ac:dyDescent="0.25">
      <c r="A233" t="s">
        <v>96</v>
      </c>
      <c r="B233">
        <v>2.0499999999999998</v>
      </c>
      <c r="C233">
        <v>0.67000000000000171</v>
      </c>
      <c r="D233">
        <v>1.2599999999999909</v>
      </c>
      <c r="E233">
        <v>61.632068718682632</v>
      </c>
      <c r="F233">
        <v>0.30375000000000718</v>
      </c>
      <c r="G233">
        <v>85.182926829267942</v>
      </c>
      <c r="H233" t="s">
        <v>107</v>
      </c>
      <c r="I233" s="5">
        <v>45454</v>
      </c>
    </row>
    <row r="234" spans="1:9" x14ac:dyDescent="0.25">
      <c r="A234" t="s">
        <v>96</v>
      </c>
      <c r="B234">
        <v>2</v>
      </c>
      <c r="C234">
        <v>0.59000000000000341</v>
      </c>
      <c r="D234">
        <v>1.4899999999999949</v>
      </c>
      <c r="E234">
        <v>68.885959129861362</v>
      </c>
      <c r="F234">
        <v>0.10375000000000179</v>
      </c>
      <c r="G234">
        <v>94.812499999999915</v>
      </c>
      <c r="H234" t="s">
        <v>45</v>
      </c>
      <c r="I234" s="5">
        <v>45481</v>
      </c>
    </row>
    <row r="235" spans="1:9" x14ac:dyDescent="0.25">
      <c r="A235" t="s">
        <v>96</v>
      </c>
      <c r="B235">
        <v>2.0299999999999998</v>
      </c>
      <c r="C235">
        <v>0.62999999999999545</v>
      </c>
      <c r="D235">
        <v>1.4400000000000119</v>
      </c>
      <c r="E235">
        <v>66.600397614314488</v>
      </c>
      <c r="F235">
        <v>0.14374999999999249</v>
      </c>
      <c r="G235">
        <v>92.918719211823031</v>
      </c>
      <c r="H235" t="s">
        <v>105</v>
      </c>
      <c r="I235" s="5">
        <v>45498</v>
      </c>
    </row>
    <row r="236" spans="1:9" x14ac:dyDescent="0.25">
      <c r="A236" t="s">
        <v>95</v>
      </c>
      <c r="B236">
        <v>2.0099999999999998</v>
      </c>
      <c r="C236">
        <v>1.0099999999999909</v>
      </c>
      <c r="D236">
        <v>0.98000000000000398</v>
      </c>
      <c r="E236">
        <v>44.083044982699313</v>
      </c>
      <c r="F236">
        <v>0.20375000000000487</v>
      </c>
      <c r="G236">
        <v>89.863184079601737</v>
      </c>
      <c r="H236" t="s">
        <v>107</v>
      </c>
      <c r="I236" s="5">
        <v>45469</v>
      </c>
    </row>
    <row r="237" spans="1:9" x14ac:dyDescent="0.25">
      <c r="A237" t="s">
        <v>95</v>
      </c>
      <c r="B237">
        <v>2.0099999999999998</v>
      </c>
      <c r="C237">
        <v>0.96999999999999886</v>
      </c>
      <c r="D237">
        <v>1.1899999999999977</v>
      </c>
      <c r="E237">
        <v>50.91714104996835</v>
      </c>
      <c r="F237">
        <v>3.3750000000003277E-2</v>
      </c>
      <c r="G237">
        <v>98.3208955223879</v>
      </c>
      <c r="H237" t="s">
        <v>45</v>
      </c>
      <c r="I237" s="5">
        <v>45481</v>
      </c>
    </row>
    <row r="238" spans="1:9" x14ac:dyDescent="0.25">
      <c r="A238" t="s">
        <v>95</v>
      </c>
      <c r="B238">
        <v>1.99</v>
      </c>
      <c r="C238">
        <v>0.87000000000000455</v>
      </c>
      <c r="D238">
        <v>1.1800000000000068</v>
      </c>
      <c r="E238">
        <v>53.382451440053622</v>
      </c>
      <c r="F238">
        <v>0.12374999999998859</v>
      </c>
      <c r="G238">
        <v>93.781407035176443</v>
      </c>
      <c r="H238" t="s">
        <v>105</v>
      </c>
      <c r="I238" s="5">
        <v>45498</v>
      </c>
    </row>
    <row r="239" spans="1:9" x14ac:dyDescent="0.25">
      <c r="A239" t="s">
        <v>84</v>
      </c>
      <c r="B239">
        <v>2</v>
      </c>
      <c r="C239">
        <v>0.48999999999999488</v>
      </c>
      <c r="D239">
        <v>1.4599999999999937</v>
      </c>
      <c r="E239">
        <v>72.257607926397853</v>
      </c>
      <c r="F239">
        <v>0.23375000000001137</v>
      </c>
      <c r="G239">
        <v>88.312499999999432</v>
      </c>
      <c r="H239" t="s">
        <v>107</v>
      </c>
      <c r="I239" s="5">
        <v>45454</v>
      </c>
    </row>
    <row r="240" spans="1:9" x14ac:dyDescent="0.25">
      <c r="A240" t="s">
        <v>84</v>
      </c>
      <c r="B240">
        <v>1.97</v>
      </c>
      <c r="C240">
        <v>0.43000000000000682</v>
      </c>
      <c r="D240">
        <v>1.6500000000000057</v>
      </c>
      <c r="E240">
        <v>77.323665128542956</v>
      </c>
      <c r="F240">
        <v>7.3749999999987548E-2</v>
      </c>
      <c r="G240">
        <v>96.256345177665608</v>
      </c>
      <c r="H240" t="s">
        <v>45</v>
      </c>
      <c r="I240" s="5">
        <v>45481</v>
      </c>
    </row>
    <row r="241" spans="1:9" x14ac:dyDescent="0.25">
      <c r="A241" t="s">
        <v>84</v>
      </c>
      <c r="B241">
        <v>2.04</v>
      </c>
      <c r="C241">
        <v>0.45000000000000284</v>
      </c>
      <c r="D241">
        <v>1.6700000000000017</v>
      </c>
      <c r="E241">
        <v>76.759199483537671</v>
      </c>
      <c r="F241">
        <v>0.10374999999999557</v>
      </c>
      <c r="G241">
        <v>94.91421568627473</v>
      </c>
      <c r="H241" t="s">
        <v>105</v>
      </c>
      <c r="I241" s="5">
        <v>45498</v>
      </c>
    </row>
  </sheetData>
  <sortState xmlns:xlrd2="http://schemas.microsoft.com/office/spreadsheetml/2017/richdata2" ref="A2:I242">
    <sortCondition ref="A1:A24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Janda, Zarah</dc:creator>
  <cp:lastModifiedBy>Janda, Zarah</cp:lastModifiedBy>
  <dcterms:created xsi:type="dcterms:W3CDTF">2015-06-05T18:19:34Z</dcterms:created>
  <dcterms:modified xsi:type="dcterms:W3CDTF">2025-01-16T07:51:04Z</dcterms:modified>
</cp:coreProperties>
</file>