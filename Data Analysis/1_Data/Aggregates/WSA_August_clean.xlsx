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68tulo\Desktop\Jena Chapter\Data Analysis\1_Data\Aggregates\"/>
    </mc:Choice>
  </mc:AlternateContent>
  <xr:revisionPtr revIDLastSave="0" documentId="13_ncr:1_{D3DA1098-A808-4D6F-A688-EB6223F6B143}" xr6:coauthVersionLast="47" xr6:coauthVersionMax="47" xr10:uidLastSave="{00000000-0000-0000-0000-000000000000}"/>
  <bookViews>
    <workbookView xWindow="-120" yWindow="-120" windowWidth="29040" windowHeight="15720" xr2:uid="{BC0CCBAF-3D64-42AA-9871-21EBB1E9EF2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2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I20" i="1" l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H20" i="1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1" i="1"/>
  <c r="H22" i="1"/>
  <c r="H23" i="1"/>
  <c r="H24" i="1"/>
  <c r="H25" i="1"/>
  <c r="H2" i="1"/>
</calcChain>
</file>

<file path=xl/sharedStrings.xml><?xml version="1.0" encoding="utf-8"?>
<sst xmlns="http://schemas.openxmlformats.org/spreadsheetml/2006/main" count="91" uniqueCount="91">
  <si>
    <t>B1A01</t>
  </si>
  <si>
    <t>B1A02</t>
  </si>
  <si>
    <t>B1A03</t>
  </si>
  <si>
    <t>B1A04</t>
  </si>
  <si>
    <t>B1A05</t>
  </si>
  <si>
    <t>B1A06</t>
  </si>
  <si>
    <t>B1A07</t>
  </si>
  <si>
    <t>B1A08</t>
  </si>
  <si>
    <t>B1A11</t>
  </si>
  <si>
    <t>B1A12</t>
  </si>
  <si>
    <t>B1A13</t>
  </si>
  <si>
    <t>B1A14</t>
  </si>
  <si>
    <t>B1A15</t>
  </si>
  <si>
    <t>B1A16</t>
  </si>
  <si>
    <t>B1A17</t>
  </si>
  <si>
    <t>B1A18</t>
  </si>
  <si>
    <t>B1A19</t>
  </si>
  <si>
    <t>B1A20</t>
  </si>
  <si>
    <t>B1A21</t>
  </si>
  <si>
    <t>B1A22</t>
  </si>
  <si>
    <t>B2A01</t>
  </si>
  <si>
    <t>B2A02</t>
  </si>
  <si>
    <t>B2A03</t>
  </si>
  <si>
    <t>B2A04</t>
  </si>
  <si>
    <t>B2A05</t>
  </si>
  <si>
    <t>B2A06</t>
  </si>
  <si>
    <t>B2A08</t>
  </si>
  <si>
    <t>B2A09</t>
  </si>
  <si>
    <t>B2A10</t>
  </si>
  <si>
    <t>B2A12</t>
  </si>
  <si>
    <t>B2A13</t>
  </si>
  <si>
    <t>B2A14</t>
  </si>
  <si>
    <t>B2A15</t>
  </si>
  <si>
    <t>B2A16</t>
  </si>
  <si>
    <t>B2A17</t>
  </si>
  <si>
    <t>B2A18</t>
  </si>
  <si>
    <t>B2A19</t>
  </si>
  <si>
    <t>B2A20</t>
  </si>
  <si>
    <t>B2A21</t>
  </si>
  <si>
    <t>B2A22</t>
  </si>
  <si>
    <t>B3A01</t>
  </si>
  <si>
    <t>B3A02</t>
  </si>
  <si>
    <t>B3A03</t>
  </si>
  <si>
    <t>B3A04</t>
  </si>
  <si>
    <t>B3A05</t>
  </si>
  <si>
    <t>B3A06</t>
  </si>
  <si>
    <t>B3A07</t>
  </si>
  <si>
    <t>B3A08</t>
  </si>
  <si>
    <t>B3A09</t>
  </si>
  <si>
    <t>B3A11</t>
  </si>
  <si>
    <t>B3A12</t>
  </si>
  <si>
    <t>B3A13</t>
  </si>
  <si>
    <t>B3A14</t>
  </si>
  <si>
    <t>B3A16</t>
  </si>
  <si>
    <t>B3A17</t>
  </si>
  <si>
    <t>B3A19</t>
  </si>
  <si>
    <t>B3A20</t>
  </si>
  <si>
    <t>B3A21</t>
  </si>
  <si>
    <t>B3A22</t>
  </si>
  <si>
    <t>B3A23</t>
  </si>
  <si>
    <t>B3A24</t>
  </si>
  <si>
    <t>B4A01</t>
  </si>
  <si>
    <t>B4A02</t>
  </si>
  <si>
    <t>B4A04</t>
  </si>
  <si>
    <t>B4A06</t>
  </si>
  <si>
    <t>B4A07</t>
  </si>
  <si>
    <t>B4A08</t>
  </si>
  <si>
    <t>B4A09</t>
  </si>
  <si>
    <t>B4A10</t>
  </si>
  <si>
    <t>B4A11</t>
  </si>
  <si>
    <t>B4A12</t>
  </si>
  <si>
    <t>B4A13</t>
  </si>
  <si>
    <t>B4A14</t>
  </si>
  <si>
    <t>B4A16</t>
  </si>
  <si>
    <t>B4A17</t>
  </si>
  <si>
    <t>B4A18</t>
  </si>
  <si>
    <t>B4A20</t>
  </si>
  <si>
    <t>B4A21</t>
  </si>
  <si>
    <t>B4A22</t>
  </si>
  <si>
    <t>WSA (%) first run</t>
  </si>
  <si>
    <t>Aggregates overall (%) first run</t>
  </si>
  <si>
    <t>WSA (%) second run</t>
  </si>
  <si>
    <t>Aggregates overall (%) second run</t>
  </si>
  <si>
    <t>WSA (%) third run</t>
  </si>
  <si>
    <t>Aggregates overall (%) third run</t>
  </si>
  <si>
    <t>SpeciesRichness</t>
  </si>
  <si>
    <t>B4A15</t>
  </si>
  <si>
    <t>Mean_WSA</t>
  </si>
  <si>
    <t>WSA_sd</t>
  </si>
  <si>
    <t>Plotcode</t>
  </si>
  <si>
    <t>agg_overall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</si>
</sst>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Georgia"/>
      <family val="1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0" xfId="0"/>
    <xf numFmtId="0" fontId="1" fillId="0" borderId="2" xfId="0" applyFont="1" applyFill="1" applyBorder="1" applyAlignment="1">
      <alignment horizontal="center" vertical="center" wrapText="1"/>
    </xf>
    <xf numFmtId="0" fontId="2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87A7C-19B7-4DE5-8CAA-97D17BD78A89}">
  <dimension ref="A1:K96"/>
  <sheetViews>
    <sheetView tabSelected="1" zoomScale="90" zoomScaleNormal="90" workbookViewId="0">
      <selection activeCell="N6" sqref="N6"/>
    </sheetView>
  </sheetViews>
  <sheetFormatPr defaultColWidth="11.42578125" defaultRowHeight="15" x14ac:dyDescent="0.25"/>
  <sheetData>
    <row r="1" spans="1:11" ht="75" x14ac:dyDescent="0.25">
      <c r="A1" s="2" t="s">
        <v>89</v>
      </c>
      <c r="B1" s="4" t="s">
        <v>79</v>
      </c>
      <c r="C1" s="4" t="s">
        <v>80</v>
      </c>
      <c r="D1" s="4" t="s">
        <v>81</v>
      </c>
      <c r="E1" s="4" t="s">
        <v>82</v>
      </c>
      <c r="F1" s="4" t="s">
        <v>83</v>
      </c>
      <c r="G1" s="4" t="s">
        <v>84</v>
      </c>
      <c r="H1" s="5" t="s">
        <v>87</v>
      </c>
      <c r="I1" s="5" t="s">
        <v>90</v>
      </c>
      <c r="J1" s="7" t="s">
        <v>85</v>
      </c>
      <c r="K1" s="7" t="s">
        <v>88</v>
      </c>
    </row>
    <row r="2" spans="1:11" ht="23.25" x14ac:dyDescent="0.35">
      <c r="A2" s="3" t="s">
        <v>0</v>
      </c>
      <c r="B2" s="6">
        <v>90.250507786053134</v>
      </c>
      <c r="C2" s="6">
        <v>89.190821256038021</v>
      </c>
      <c r="D2" s="6">
        <v>93.356401384083568</v>
      </c>
      <c r="E2" s="6">
        <v>90.766331658291193</v>
      </c>
      <c r="F2" s="6">
        <v>91.962491627595838</v>
      </c>
      <c r="G2">
        <v>91.036585365852829</v>
      </c>
      <c r="H2">
        <f>AVERAGE(B2,D2,F2)</f>
        <v>91.856466932577518</v>
      </c>
      <c r="I2">
        <f>AVERAGE(C2,E2,G2)</f>
        <v>90.331246093394</v>
      </c>
      <c r="J2" s="6">
        <v>16</v>
      </c>
      <c r="K2">
        <f>_xlfn.STDEV.P(B2,D2,F2)</f>
        <v>1.2701901924611934</v>
      </c>
    </row>
    <row r="3" spans="1:11" ht="23.25" x14ac:dyDescent="0.35">
      <c r="A3" s="3" t="s">
        <v>1</v>
      </c>
      <c r="B3" s="6">
        <v>92.028469750889641</v>
      </c>
      <c r="C3" s="6">
        <v>89.149746192893289</v>
      </c>
      <c r="D3" s="6">
        <v>94.494150034411092</v>
      </c>
      <c r="E3" s="6">
        <v>90.360696517412947</v>
      </c>
      <c r="F3" s="6">
        <v>92.722183344996694</v>
      </c>
      <c r="G3" s="6">
        <v>90.214646464645682</v>
      </c>
      <c r="H3" s="6">
        <f t="shared" ref="H3:H66" si="0">AVERAGE(B3,D3,F3)</f>
        <v>93.081601043432485</v>
      </c>
      <c r="I3" s="6">
        <f t="shared" ref="I3:I18" si="1">AVERAGE(C3,E3,G3)</f>
        <v>89.908363058317306</v>
      </c>
      <c r="J3" s="9">
        <v>8</v>
      </c>
      <c r="K3" s="6">
        <f t="shared" ref="K3:K66" si="2">_xlfn.STDEV.P(B3,D3,F3)</f>
        <v>1.0381973565105564</v>
      </c>
    </row>
    <row r="4" spans="1:11" ht="23.25" x14ac:dyDescent="0.35">
      <c r="A4" s="3" t="s">
        <v>2</v>
      </c>
      <c r="B4" s="6">
        <v>84.236453201970448</v>
      </c>
      <c r="C4" s="6">
        <v>86.646341463415027</v>
      </c>
      <c r="D4" s="6">
        <v>84.583620096352305</v>
      </c>
      <c r="E4" s="6">
        <v>89.031862745098039</v>
      </c>
      <c r="F4" s="6">
        <v>82.741823242867653</v>
      </c>
      <c r="G4">
        <v>88.485221674876342</v>
      </c>
      <c r="H4" s="6">
        <f t="shared" si="0"/>
        <v>83.853965513730145</v>
      </c>
      <c r="I4" s="6">
        <f t="shared" si="1"/>
        <v>88.054475294463145</v>
      </c>
      <c r="J4" s="9">
        <v>8</v>
      </c>
      <c r="K4" s="6">
        <f t="shared" si="2"/>
        <v>0.79907301965800992</v>
      </c>
    </row>
    <row r="5" spans="1:11" ht="23.25" x14ac:dyDescent="0.35">
      <c r="A5" s="3" t="s">
        <v>3</v>
      </c>
      <c r="B5" s="6">
        <v>82.125930941096783</v>
      </c>
      <c r="C5" s="6">
        <v>94.196428571427901</v>
      </c>
      <c r="D5" s="6">
        <v>78.030810448760263</v>
      </c>
      <c r="E5" s="6">
        <v>92.848258706467519</v>
      </c>
      <c r="F5" s="6">
        <v>81.683501683502044</v>
      </c>
      <c r="G5">
        <v>92.350746268655612</v>
      </c>
      <c r="H5" s="6">
        <f t="shared" si="0"/>
        <v>80.613414357786368</v>
      </c>
      <c r="I5" s="6">
        <f t="shared" si="1"/>
        <v>93.131811182183682</v>
      </c>
      <c r="J5" s="6">
        <v>4</v>
      </c>
      <c r="K5" s="6">
        <f t="shared" si="2"/>
        <v>1.835087304949754</v>
      </c>
    </row>
    <row r="6" spans="1:11" ht="23.25" x14ac:dyDescent="0.35">
      <c r="A6" s="3" t="s">
        <v>4</v>
      </c>
      <c r="B6" s="6">
        <v>85.45454545454561</v>
      </c>
      <c r="C6" s="6">
        <v>90.548780487804493</v>
      </c>
      <c r="D6" s="6">
        <v>82.760942760942427</v>
      </c>
      <c r="E6" s="6">
        <v>91.440886699507701</v>
      </c>
      <c r="F6" s="6">
        <v>83.482450103234839</v>
      </c>
      <c r="G6">
        <v>89.913366336633658</v>
      </c>
      <c r="H6" s="6">
        <f t="shared" si="0"/>
        <v>83.899312772907635</v>
      </c>
      <c r="I6" s="6">
        <f t="shared" si="1"/>
        <v>90.63434450798195</v>
      </c>
      <c r="J6" s="9">
        <v>2</v>
      </c>
      <c r="K6" s="6">
        <f t="shared" si="2"/>
        <v>1.1384799022590375</v>
      </c>
    </row>
    <row r="7" spans="1:11" ht="23.25" x14ac:dyDescent="0.35">
      <c r="A7" s="3" t="s">
        <v>5</v>
      </c>
      <c r="B7" s="6">
        <v>93.535353535353323</v>
      </c>
      <c r="C7" s="6">
        <v>90.992647058823835</v>
      </c>
      <c r="D7" s="6">
        <v>92.538307794803444</v>
      </c>
      <c r="E7" s="6">
        <v>91.973039215686384</v>
      </c>
      <c r="F7" s="6">
        <v>95.59532002752934</v>
      </c>
      <c r="G7" s="6">
        <v>90.360696517412947</v>
      </c>
      <c r="H7" s="6">
        <f t="shared" si="0"/>
        <v>93.88966045256204</v>
      </c>
      <c r="I7" s="6">
        <f t="shared" si="1"/>
        <v>91.108794263974389</v>
      </c>
      <c r="J7" s="6">
        <v>16</v>
      </c>
      <c r="K7" s="6">
        <f t="shared" si="2"/>
        <v>1.2729181674261698</v>
      </c>
    </row>
    <row r="8" spans="1:11" ht="23.25" x14ac:dyDescent="0.35">
      <c r="A8" s="3" t="s">
        <v>6</v>
      </c>
      <c r="B8" s="6">
        <v>83.47768154563677</v>
      </c>
      <c r="C8" s="6">
        <v>91.524390243901863</v>
      </c>
      <c r="D8" s="6">
        <v>85.279547062986282</v>
      </c>
      <c r="E8" s="6">
        <v>90.576923076923222</v>
      </c>
      <c r="F8" s="6">
        <v>81.730103806228414</v>
      </c>
      <c r="G8">
        <v>89.863184079601737</v>
      </c>
      <c r="H8" s="6">
        <f t="shared" si="0"/>
        <v>83.49577747161716</v>
      </c>
      <c r="I8" s="6">
        <f t="shared" si="1"/>
        <v>90.654832466808941</v>
      </c>
      <c r="J8" s="9">
        <v>2</v>
      </c>
      <c r="K8" s="6">
        <f t="shared" si="2"/>
        <v>1.4491106364799047</v>
      </c>
    </row>
    <row r="9" spans="1:11" ht="23.25" x14ac:dyDescent="0.35">
      <c r="A9" s="3" t="s">
        <v>7</v>
      </c>
      <c r="B9" s="6">
        <v>83.873290136789009</v>
      </c>
      <c r="C9" s="6">
        <v>88.584183673469468</v>
      </c>
      <c r="D9" s="6">
        <v>83.389149363697868</v>
      </c>
      <c r="E9" s="6">
        <v>92.848258706467519</v>
      </c>
      <c r="F9" s="6">
        <v>81.071677105080525</v>
      </c>
      <c r="G9">
        <v>89.812499999999488</v>
      </c>
      <c r="H9" s="6">
        <f t="shared" si="0"/>
        <v>82.778038868522472</v>
      </c>
      <c r="I9" s="6">
        <f t="shared" si="1"/>
        <v>90.414980793312154</v>
      </c>
      <c r="J9" s="6">
        <v>1</v>
      </c>
      <c r="K9" s="6">
        <f t="shared" si="2"/>
        <v>1.2226612839334923</v>
      </c>
    </row>
    <row r="10" spans="1:11" ht="23.25" x14ac:dyDescent="0.35">
      <c r="A10" s="3" t="s">
        <v>8</v>
      </c>
      <c r="B10" s="6">
        <v>93.285990961910429</v>
      </c>
      <c r="C10" s="6">
        <v>95.381773399015017</v>
      </c>
      <c r="D10" s="6">
        <v>92.694063926940643</v>
      </c>
      <c r="E10" s="6">
        <v>94.863861386139021</v>
      </c>
      <c r="F10" s="6">
        <v>94.168323392975523</v>
      </c>
      <c r="G10" s="6">
        <v>92.918719211823031</v>
      </c>
      <c r="H10" s="6">
        <f t="shared" si="0"/>
        <v>93.382792760608865</v>
      </c>
      <c r="I10" s="6">
        <f t="shared" si="1"/>
        <v>94.388117998992357</v>
      </c>
      <c r="J10" s="6">
        <v>16</v>
      </c>
      <c r="K10" s="6">
        <f t="shared" si="2"/>
        <v>0.60574372164681534</v>
      </c>
    </row>
    <row r="11" spans="1:11" ht="23.25" x14ac:dyDescent="0.35">
      <c r="A11" s="3" t="s">
        <v>9</v>
      </c>
      <c r="B11" s="6">
        <v>87.8871300757054</v>
      </c>
      <c r="C11" s="6">
        <v>91.729797979797254</v>
      </c>
      <c r="D11" s="6">
        <v>89.98022412656502</v>
      </c>
      <c r="E11" s="6">
        <v>92.500000000000611</v>
      </c>
      <c r="F11" s="6">
        <v>92.290585618977246</v>
      </c>
      <c r="G11">
        <v>87.370466321243029</v>
      </c>
      <c r="H11" s="6">
        <f t="shared" si="0"/>
        <v>90.052646607082536</v>
      </c>
      <c r="I11" s="6">
        <f t="shared" si="1"/>
        <v>90.533421433680303</v>
      </c>
      <c r="J11" s="9">
        <v>8</v>
      </c>
      <c r="K11" s="6">
        <f t="shared" si="2"/>
        <v>1.7984324548814026</v>
      </c>
    </row>
    <row r="12" spans="1:11" ht="23.25" x14ac:dyDescent="0.35">
      <c r="A12" s="3" t="s">
        <v>10</v>
      </c>
      <c r="B12" s="6">
        <v>78.776713338246282</v>
      </c>
      <c r="C12" s="6">
        <v>86.987179487179972</v>
      </c>
      <c r="D12" s="6">
        <v>79.528619528619686</v>
      </c>
      <c r="E12" s="6">
        <v>93.749999999999602</v>
      </c>
      <c r="F12" s="6">
        <v>80.287474332648799</v>
      </c>
      <c r="G12" s="6">
        <v>91.312499999999545</v>
      </c>
      <c r="H12" s="6">
        <f t="shared" si="0"/>
        <v>79.530935733171589</v>
      </c>
      <c r="I12" s="6">
        <f t="shared" si="1"/>
        <v>90.683226495726373</v>
      </c>
      <c r="J12" s="6">
        <v>4</v>
      </c>
      <c r="K12" s="6">
        <f t="shared" si="2"/>
        <v>0.61676776783198028</v>
      </c>
    </row>
    <row r="13" spans="1:11" ht="23.25" x14ac:dyDescent="0.35">
      <c r="A13" s="3" t="s">
        <v>11</v>
      </c>
      <c r="B13" s="6">
        <v>94.034302759135258</v>
      </c>
      <c r="C13" s="6">
        <v>82.982673267326007</v>
      </c>
      <c r="D13" s="6">
        <v>93.167259786476592</v>
      </c>
      <c r="E13" s="6">
        <v>86.514778325123046</v>
      </c>
      <c r="F13" s="6">
        <v>94.27344309234104</v>
      </c>
      <c r="G13">
        <v>85.600490196078056</v>
      </c>
      <c r="H13" s="6">
        <f t="shared" si="0"/>
        <v>93.825001879317639</v>
      </c>
      <c r="I13" s="6">
        <f t="shared" si="1"/>
        <v>85.032647262842374</v>
      </c>
      <c r="J13" s="9">
        <v>8</v>
      </c>
      <c r="K13" s="6">
        <f t="shared" si="2"/>
        <v>0.47523013390891272</v>
      </c>
    </row>
    <row r="14" spans="1:11" ht="23.25" x14ac:dyDescent="0.35">
      <c r="A14" s="3" t="s">
        <v>12</v>
      </c>
      <c r="B14" s="6">
        <v>75.472928897586428</v>
      </c>
      <c r="C14" s="6">
        <v>96.29396984924594</v>
      </c>
      <c r="D14" s="6">
        <v>76.167907921462557</v>
      </c>
      <c r="E14" s="6">
        <v>94.196428571428626</v>
      </c>
      <c r="F14" s="6">
        <v>75.887474882786336</v>
      </c>
      <c r="G14">
        <v>92.848258706468229</v>
      </c>
      <c r="H14" s="6">
        <f t="shared" si="0"/>
        <v>75.842770567278436</v>
      </c>
      <c r="I14" s="6">
        <f t="shared" si="1"/>
        <v>94.446219042380946</v>
      </c>
      <c r="J14" s="6">
        <v>1</v>
      </c>
      <c r="K14" s="6">
        <f t="shared" si="2"/>
        <v>0.28547950046162279</v>
      </c>
    </row>
    <row r="15" spans="1:11" ht="23.25" x14ac:dyDescent="0.35">
      <c r="A15" s="3" t="s">
        <v>13</v>
      </c>
      <c r="B15" s="6">
        <v>90.841750841751406</v>
      </c>
      <c r="C15" s="6">
        <v>90.992647058822442</v>
      </c>
      <c r="D15" s="6">
        <v>90.406395736176222</v>
      </c>
      <c r="E15" s="6">
        <v>92.883663366336037</v>
      </c>
      <c r="F15" s="6">
        <v>91.034937376400691</v>
      </c>
      <c r="G15">
        <v>92.953431372548934</v>
      </c>
      <c r="H15" s="6">
        <f t="shared" si="0"/>
        <v>90.761027984776106</v>
      </c>
      <c r="I15" s="6">
        <f t="shared" si="1"/>
        <v>92.2765805992358</v>
      </c>
      <c r="J15" s="9">
        <v>2</v>
      </c>
      <c r="K15" s="6">
        <f t="shared" si="2"/>
        <v>0.26287295169936814</v>
      </c>
    </row>
    <row r="16" spans="1:11" ht="23.25" x14ac:dyDescent="0.35">
      <c r="A16" s="3" t="s">
        <v>14</v>
      </c>
      <c r="B16" s="6">
        <v>84.9966510381782</v>
      </c>
      <c r="C16" s="6">
        <v>92.388613861386688</v>
      </c>
      <c r="D16" s="6">
        <v>83.035122597746522</v>
      </c>
      <c r="E16" s="6">
        <v>93.37871287128749</v>
      </c>
      <c r="F16" s="6">
        <v>90.197413206262439</v>
      </c>
      <c r="G16" s="6">
        <v>92.273869346734188</v>
      </c>
      <c r="H16" s="6">
        <f t="shared" si="0"/>
        <v>86.076395614062378</v>
      </c>
      <c r="I16" s="6">
        <f t="shared" si="1"/>
        <v>92.680398693136112</v>
      </c>
      <c r="J16" s="9">
        <v>2</v>
      </c>
      <c r="K16" s="6">
        <f t="shared" si="2"/>
        <v>3.0220288937591047</v>
      </c>
    </row>
    <row r="17" spans="1:11" ht="23.25" x14ac:dyDescent="0.35">
      <c r="A17" s="3" t="s">
        <v>15</v>
      </c>
      <c r="B17" s="6">
        <v>84.996651038178086</v>
      </c>
      <c r="C17" s="6">
        <v>92.848258706467519</v>
      </c>
      <c r="D17" s="6">
        <v>90.406395736175526</v>
      </c>
      <c r="E17" s="6">
        <v>91.524390243902559</v>
      </c>
      <c r="F17" s="6">
        <v>85.609593604264063</v>
      </c>
      <c r="G17">
        <v>92.883663366336748</v>
      </c>
      <c r="H17" s="6">
        <f t="shared" si="0"/>
        <v>87.00421345953923</v>
      </c>
      <c r="I17" s="6">
        <f t="shared" si="1"/>
        <v>92.418770772235618</v>
      </c>
      <c r="J17" s="6">
        <v>1</v>
      </c>
      <c r="K17" s="6">
        <f t="shared" si="2"/>
        <v>2.4186852943866888</v>
      </c>
    </row>
    <row r="18" spans="1:11" ht="23.25" x14ac:dyDescent="0.35">
      <c r="A18" s="3" t="s">
        <v>16</v>
      </c>
      <c r="B18" s="6">
        <v>95.619438740588748</v>
      </c>
      <c r="C18" s="6">
        <v>90.858208955224143</v>
      </c>
      <c r="D18" s="6">
        <v>89.53888506538209</v>
      </c>
      <c r="E18" s="6">
        <v>91.729797979797979</v>
      </c>
      <c r="F18" s="6">
        <v>91.190640055058694</v>
      </c>
      <c r="G18">
        <v>91.268844221105525</v>
      </c>
      <c r="H18" s="6">
        <f t="shared" si="0"/>
        <v>92.116321287009839</v>
      </c>
      <c r="I18" s="6">
        <f t="shared" si="1"/>
        <v>91.285617052042539</v>
      </c>
      <c r="J18" s="6">
        <v>4</v>
      </c>
      <c r="K18" s="6">
        <f t="shared" si="2"/>
        <v>2.5672225662061652</v>
      </c>
    </row>
    <row r="19" spans="1:11" ht="23.25" x14ac:dyDescent="0.35">
      <c r="A19" s="3" t="s">
        <v>17</v>
      </c>
      <c r="B19" s="6">
        <v>95.690235690235795</v>
      </c>
      <c r="C19" s="6">
        <v>90.548780487805189</v>
      </c>
      <c r="D19" s="6">
        <v>92.99663299663321</v>
      </c>
      <c r="E19" s="6">
        <v>92.350746268656323</v>
      </c>
      <c r="F19" s="6">
        <v>94.554118447924054</v>
      </c>
      <c r="G19">
        <v>91.355721393034642</v>
      </c>
      <c r="H19" s="6">
        <f>AVERAGE(B19,E20,F19)</f>
        <v>95.216255300955183</v>
      </c>
      <c r="I19" s="6">
        <f>AVERAGE(C19,F20,G19)</f>
        <v>88.703815126606116</v>
      </c>
      <c r="J19" s="6">
        <v>16</v>
      </c>
      <c r="K19" s="6">
        <f t="shared" si="2"/>
        <v>1.1041345927539703</v>
      </c>
    </row>
    <row r="20" spans="1:11" ht="23.25" x14ac:dyDescent="0.35">
      <c r="A20" s="3" t="s">
        <v>18</v>
      </c>
      <c r="B20" s="6">
        <v>82.778864970645827</v>
      </c>
      <c r="C20" s="6">
        <v>94.863861386138325</v>
      </c>
      <c r="D20" s="6">
        <v>84.585741811175438</v>
      </c>
      <c r="E20" s="6">
        <v>95.404411764705657</v>
      </c>
      <c r="F20" s="6">
        <v>84.206943498978532</v>
      </c>
      <c r="G20">
        <v>93.686224489795705</v>
      </c>
      <c r="H20" s="6">
        <f>AVERAGE(B20,E21,F20)</f>
        <v>86.83103000767413</v>
      </c>
      <c r="I20" s="6">
        <f t="shared" ref="I20:I81" si="3">AVERAGE(C20,F21,G20)</f>
        <v>95.123057121003811</v>
      </c>
      <c r="J20" s="6">
        <v>4</v>
      </c>
      <c r="K20" s="6">
        <f t="shared" si="2"/>
        <v>0.77801030850428532</v>
      </c>
    </row>
    <row r="21" spans="1:11" ht="23.25" x14ac:dyDescent="0.35">
      <c r="A21" s="3" t="s">
        <v>19</v>
      </c>
      <c r="B21" s="6">
        <v>96.34703196347067</v>
      </c>
      <c r="C21" s="6">
        <v>94.396551724137652</v>
      </c>
      <c r="D21" s="6">
        <v>96.36599610642476</v>
      </c>
      <c r="E21" s="6">
        <v>93.50728155339803</v>
      </c>
      <c r="F21" s="6">
        <v>96.819085487077402</v>
      </c>
      <c r="G21">
        <v>93.843283582089214</v>
      </c>
      <c r="H21" s="6">
        <f>AVERAGE(B21,D21,F21)</f>
        <v>96.510704518990948</v>
      </c>
      <c r="I21" s="6">
        <f t="shared" si="3"/>
        <v>92.99394555589906</v>
      </c>
      <c r="J21" s="9">
        <v>60</v>
      </c>
      <c r="K21" s="6">
        <f t="shared" si="2"/>
        <v>0.21819567027166478</v>
      </c>
    </row>
    <row r="22" spans="1:11" ht="23.25" x14ac:dyDescent="0.35">
      <c r="A22" s="3" t="s">
        <v>20</v>
      </c>
      <c r="B22" s="6">
        <v>91.238877481177482</v>
      </c>
      <c r="C22" s="6">
        <v>91.771356783919856</v>
      </c>
      <c r="D22" s="6">
        <v>93.604263824117012</v>
      </c>
      <c r="E22" s="6">
        <v>91.524390243902559</v>
      </c>
      <c r="F22" s="6">
        <v>90.742001361470273</v>
      </c>
      <c r="G22">
        <v>90.455665024630349</v>
      </c>
      <c r="H22" s="6">
        <f t="shared" si="0"/>
        <v>91.861714222254932</v>
      </c>
      <c r="I22" s="6">
        <f t="shared" si="3"/>
        <v>90.263556849730136</v>
      </c>
      <c r="J22" s="6">
        <v>4</v>
      </c>
      <c r="K22" s="6">
        <f t="shared" si="2"/>
        <v>1.2487542607991693</v>
      </c>
    </row>
    <row r="23" spans="1:11" ht="23.25" x14ac:dyDescent="0.35">
      <c r="A23" s="3" t="s">
        <v>21</v>
      </c>
      <c r="B23" s="6">
        <v>91.831177671886081</v>
      </c>
      <c r="C23" s="6">
        <v>93.686224489795705</v>
      </c>
      <c r="D23" s="6">
        <v>88.148148148148152</v>
      </c>
      <c r="E23" s="6">
        <v>92.812499999999602</v>
      </c>
      <c r="F23" s="6">
        <v>88.563648740640204</v>
      </c>
      <c r="G23">
        <v>93.210659898476962</v>
      </c>
      <c r="H23" s="6">
        <f t="shared" si="0"/>
        <v>89.514324853558151</v>
      </c>
      <c r="I23" s="6">
        <f t="shared" si="3"/>
        <v>93.667570527280887</v>
      </c>
      <c r="J23" s="9">
        <v>2</v>
      </c>
      <c r="K23" s="6">
        <f t="shared" si="2"/>
        <v>1.6470206276659853</v>
      </c>
    </row>
    <row r="24" spans="1:11" ht="23.25" x14ac:dyDescent="0.35">
      <c r="A24" s="3" t="s">
        <v>22</v>
      </c>
      <c r="B24" s="6">
        <v>95.758780649436829</v>
      </c>
      <c r="C24" s="6">
        <v>94.786432160804395</v>
      </c>
      <c r="D24" s="6">
        <v>94.641661085063888</v>
      </c>
      <c r="E24" s="6">
        <v>91.933497536944969</v>
      </c>
      <c r="F24" s="6">
        <v>94.105827193570008</v>
      </c>
      <c r="G24" s="6">
        <v>92.388613861385991</v>
      </c>
      <c r="H24" s="6">
        <f t="shared" si="0"/>
        <v>94.835422976023565</v>
      </c>
      <c r="I24" s="6">
        <f t="shared" si="3"/>
        <v>85.809816384435365</v>
      </c>
      <c r="J24" s="9">
        <v>60</v>
      </c>
      <c r="K24" s="6">
        <f t="shared" si="2"/>
        <v>0.68858382912889771</v>
      </c>
    </row>
    <row r="25" spans="1:11" ht="23.25" x14ac:dyDescent="0.35">
      <c r="A25" s="3" t="s">
        <v>23</v>
      </c>
      <c r="B25" s="6">
        <v>79.961464354528005</v>
      </c>
      <c r="C25" s="6">
        <v>96.349009900990566</v>
      </c>
      <c r="D25" s="6">
        <v>70.468029004614223</v>
      </c>
      <c r="E25" s="6">
        <v>94.812499999999915</v>
      </c>
      <c r="F25" s="6">
        <v>70.254403131115723</v>
      </c>
      <c r="G25" s="6">
        <v>93.93382352941147</v>
      </c>
      <c r="H25" s="6">
        <f t="shared" si="0"/>
        <v>73.561298830085988</v>
      </c>
      <c r="I25" s="6">
        <f>AVERAGE(C25,B27,G25)</f>
        <v>94.579278859011808</v>
      </c>
      <c r="J25" s="6">
        <v>1</v>
      </c>
      <c r="K25" s="6">
        <f t="shared" si="2"/>
        <v>4.5264406957821475</v>
      </c>
    </row>
    <row r="26" spans="1:11" ht="23.25" x14ac:dyDescent="0.35">
      <c r="A26" s="3" t="s">
        <v>24</v>
      </c>
      <c r="B26" s="6">
        <v>80.063897763578254</v>
      </c>
      <c r="C26" s="6">
        <v>94.963592233009734</v>
      </c>
      <c r="D26" s="6">
        <v>81.213307240704466</v>
      </c>
      <c r="E26" s="6">
        <v>93.93382352941147</v>
      </c>
      <c r="F26">
        <v>79.854208084823952</v>
      </c>
      <c r="G26">
        <v>92.463235294118007</v>
      </c>
      <c r="H26" s="6">
        <f t="shared" si="0"/>
        <v>80.377137696368891</v>
      </c>
      <c r="I26" s="6">
        <f>AVERAGE(C26,F27,C27)</f>
        <v>94.63811050327854</v>
      </c>
      <c r="J26" s="6">
        <v>1</v>
      </c>
      <c r="K26" s="6">
        <f t="shared" si="2"/>
        <v>0.59742618539854986</v>
      </c>
    </row>
    <row r="27" spans="1:11" ht="23.25" x14ac:dyDescent="0.35">
      <c r="A27" s="3" t="s">
        <v>25</v>
      </c>
      <c r="B27" s="6">
        <v>93.455003146633345</v>
      </c>
      <c r="C27" s="6">
        <v>95.954106280193315</v>
      </c>
      <c r="D27" s="6">
        <v>91.128506196999297</v>
      </c>
      <c r="E27" s="6">
        <v>94.863861386139021</v>
      </c>
      <c r="F27" s="6">
        <v>92.996632996632556</v>
      </c>
      <c r="G27">
        <v>92.812500000001023</v>
      </c>
      <c r="H27" s="6">
        <f t="shared" si="0"/>
        <v>92.526714113421733</v>
      </c>
      <c r="I27" s="6" t="e">
        <f>AVERAGE(#REF!,F28,G27)</f>
        <v>#REF!</v>
      </c>
      <c r="J27" s="6">
        <v>4</v>
      </c>
      <c r="K27" s="6">
        <f t="shared" si="2"/>
        <v>1.0062355031710066</v>
      </c>
    </row>
    <row r="28" spans="1:11" ht="23.25" x14ac:dyDescent="0.35">
      <c r="A28" s="3" t="s">
        <v>26</v>
      </c>
      <c r="B28" s="6">
        <v>87.000677048069932</v>
      </c>
      <c r="C28" s="6">
        <v>94.679487179487225</v>
      </c>
      <c r="D28" s="6">
        <v>85.32574320050567</v>
      </c>
      <c r="E28" s="6">
        <v>96.874999999999829</v>
      </c>
      <c r="F28" s="6">
        <v>88.121368624919768</v>
      </c>
      <c r="G28">
        <v>95.381773399014307</v>
      </c>
      <c r="H28" s="6">
        <f t="shared" si="0"/>
        <v>86.815929624498452</v>
      </c>
      <c r="I28" s="6">
        <f t="shared" si="3"/>
        <v>94.496806229794757</v>
      </c>
      <c r="J28" s="9">
        <v>2</v>
      </c>
      <c r="K28" s="6">
        <f t="shared" si="2"/>
        <v>1.1487613869714488</v>
      </c>
    </row>
    <row r="29" spans="1:11" ht="23.25" x14ac:dyDescent="0.35">
      <c r="A29" s="3" t="s">
        <v>27</v>
      </c>
      <c r="B29" s="6">
        <v>92.996632996632499</v>
      </c>
      <c r="C29" s="6">
        <v>94.225888324873409</v>
      </c>
      <c r="D29" s="6">
        <v>93.144363876071424</v>
      </c>
      <c r="E29" s="6">
        <v>93.873762376237536</v>
      </c>
      <c r="F29" s="6">
        <v>93.429158110882724</v>
      </c>
      <c r="G29">
        <v>92.23484848484874</v>
      </c>
      <c r="H29" s="6">
        <f t="shared" si="0"/>
        <v>93.19005166119554</v>
      </c>
      <c r="I29" s="6">
        <f t="shared" si="3"/>
        <v>93.101395762985121</v>
      </c>
      <c r="J29" s="6">
        <v>4</v>
      </c>
      <c r="K29" s="6">
        <f t="shared" si="2"/>
        <v>0.17950863284060337</v>
      </c>
    </row>
    <row r="30" spans="1:11" ht="23.25" x14ac:dyDescent="0.35">
      <c r="A30" s="3" t="s">
        <v>28</v>
      </c>
      <c r="B30" s="6">
        <v>93.144363876071424</v>
      </c>
      <c r="C30" s="6">
        <v>94.340796019900424</v>
      </c>
      <c r="D30" s="6">
        <v>92.65573770491801</v>
      </c>
      <c r="E30" s="6">
        <v>94.368811881188293</v>
      </c>
      <c r="F30" s="6">
        <v>92.843450479233198</v>
      </c>
      <c r="G30">
        <v>95.89460784313728</v>
      </c>
      <c r="H30" s="6">
        <f t="shared" si="0"/>
        <v>92.881184020074215</v>
      </c>
      <c r="I30" s="6">
        <f t="shared" si="3"/>
        <v>95.47442892552823</v>
      </c>
      <c r="J30" s="6">
        <v>16</v>
      </c>
      <c r="K30" s="6">
        <f t="shared" si="2"/>
        <v>0.20125729612001889</v>
      </c>
    </row>
    <row r="31" spans="1:11" ht="23.25" x14ac:dyDescent="0.35">
      <c r="A31" s="3" t="s">
        <v>29</v>
      </c>
      <c r="B31" s="6">
        <v>94.612794612794175</v>
      </c>
      <c r="C31" s="6">
        <v>92.812500000000313</v>
      </c>
      <c r="D31" s="6">
        <v>96.288933068256739</v>
      </c>
      <c r="E31" s="6">
        <v>92.918719211823031</v>
      </c>
      <c r="F31" s="6">
        <v>96.187882913546957</v>
      </c>
      <c r="G31">
        <v>90.90346534653375</v>
      </c>
      <c r="H31" s="6">
        <f t="shared" si="0"/>
        <v>95.696536864865948</v>
      </c>
      <c r="I31" s="6">
        <f t="shared" si="3"/>
        <v>92.03057705787576</v>
      </c>
      <c r="J31" s="9">
        <v>8</v>
      </c>
      <c r="K31" s="6">
        <f t="shared" si="2"/>
        <v>0.76743109794340525</v>
      </c>
    </row>
    <row r="32" spans="1:11" ht="23.25" x14ac:dyDescent="0.35">
      <c r="A32" s="3" t="s">
        <v>30</v>
      </c>
      <c r="B32" s="6">
        <v>91.092553931802499</v>
      </c>
      <c r="C32" s="6">
        <v>91.180203045684763</v>
      </c>
      <c r="D32" s="6">
        <v>91.962491627595881</v>
      </c>
      <c r="E32" s="6">
        <v>94.255050505050349</v>
      </c>
      <c r="F32" s="6">
        <v>92.375765827093218</v>
      </c>
      <c r="G32" s="6">
        <v>92.273869346733463</v>
      </c>
      <c r="H32" s="6">
        <f t="shared" si="0"/>
        <v>91.810270462163871</v>
      </c>
      <c r="I32" s="6">
        <f t="shared" si="3"/>
        <v>92.530438077064147</v>
      </c>
      <c r="J32" s="6">
        <v>1</v>
      </c>
      <c r="K32" s="6">
        <f t="shared" si="2"/>
        <v>0.53481252444696969</v>
      </c>
    </row>
    <row r="33" spans="1:11" ht="23.25" x14ac:dyDescent="0.35">
      <c r="A33" s="3" t="s">
        <v>31</v>
      </c>
      <c r="B33" s="6">
        <v>93.737769080234628</v>
      </c>
      <c r="C33" s="6">
        <v>94.863861386139021</v>
      </c>
      <c r="D33" s="6">
        <v>92.172211350293281</v>
      </c>
      <c r="E33" s="6">
        <v>92.57246376811635</v>
      </c>
      <c r="F33" s="6">
        <v>94.137241838774187</v>
      </c>
      <c r="G33">
        <v>93.812500000000114</v>
      </c>
      <c r="H33" s="6">
        <f t="shared" si="0"/>
        <v>93.34907408976737</v>
      </c>
      <c r="I33" s="6">
        <f t="shared" si="3"/>
        <v>90.217059715415019</v>
      </c>
      <c r="J33" s="9">
        <v>8</v>
      </c>
      <c r="K33" s="6">
        <f t="shared" si="2"/>
        <v>0.8479972688146411</v>
      </c>
    </row>
    <row r="34" spans="1:11" ht="23.25" x14ac:dyDescent="0.35">
      <c r="A34" s="3" t="s">
        <v>32</v>
      </c>
      <c r="B34" s="6">
        <v>86.571981923822221</v>
      </c>
      <c r="C34" s="6">
        <v>95.853960396039113</v>
      </c>
      <c r="D34" s="6">
        <v>83.477681545636145</v>
      </c>
      <c r="E34" s="6">
        <v>96.217948717948829</v>
      </c>
      <c r="F34" s="6">
        <v>81.974817760105921</v>
      </c>
      <c r="G34">
        <v>94.312500000000369</v>
      </c>
      <c r="H34" s="6">
        <f t="shared" si="0"/>
        <v>84.008160409854767</v>
      </c>
      <c r="I34" s="6">
        <f t="shared" si="3"/>
        <v>93.130683207209529</v>
      </c>
      <c r="J34" s="6">
        <v>1</v>
      </c>
      <c r="K34" s="6">
        <f t="shared" si="2"/>
        <v>1.9139027241174604</v>
      </c>
    </row>
    <row r="35" spans="1:11" ht="23.25" x14ac:dyDescent="0.35">
      <c r="A35" s="3" t="s">
        <v>33</v>
      </c>
      <c r="B35" s="6">
        <v>90.891840607210327</v>
      </c>
      <c r="C35" s="6">
        <v>95.934466019417997</v>
      </c>
      <c r="D35" s="6">
        <v>89.723827874117461</v>
      </c>
      <c r="E35" s="6">
        <v>95.404411764705657</v>
      </c>
      <c r="F35" s="6">
        <v>89.225589225589104</v>
      </c>
      <c r="G35">
        <v>92.350746268657034</v>
      </c>
      <c r="H35" s="6">
        <f t="shared" si="0"/>
        <v>89.947085902305631</v>
      </c>
      <c r="I35" s="6">
        <f t="shared" si="3"/>
        <v>93.198372147143189</v>
      </c>
      <c r="J35" s="6">
        <v>4</v>
      </c>
      <c r="K35" s="6">
        <f t="shared" si="2"/>
        <v>0.69832252675083706</v>
      </c>
    </row>
    <row r="36" spans="1:11" ht="23.25" x14ac:dyDescent="0.35">
      <c r="A36" s="3" t="s">
        <v>34</v>
      </c>
      <c r="B36" s="6">
        <v>93.167259786477359</v>
      </c>
      <c r="C36" s="6">
        <v>88.253768844220275</v>
      </c>
      <c r="D36" s="6">
        <v>91.821086261980341</v>
      </c>
      <c r="E36" s="6">
        <v>95.426829268293417</v>
      </c>
      <c r="F36" s="6">
        <v>91.309904153354552</v>
      </c>
      <c r="G36" s="6">
        <v>95.89460784313728</v>
      </c>
      <c r="H36" s="6">
        <f t="shared" si="0"/>
        <v>92.099416733937417</v>
      </c>
      <c r="I36" s="6">
        <f t="shared" si="3"/>
        <v>92.910664041351026</v>
      </c>
      <c r="J36" s="9">
        <v>8</v>
      </c>
      <c r="K36" s="6">
        <f t="shared" si="2"/>
        <v>0.78338725021032574</v>
      </c>
    </row>
    <row r="37" spans="1:11" ht="23.25" x14ac:dyDescent="0.35">
      <c r="A37" s="3" t="s">
        <v>35</v>
      </c>
      <c r="B37" s="6">
        <v>94.754098360656045</v>
      </c>
      <c r="C37" s="6">
        <v>96.275252525252697</v>
      </c>
      <c r="D37" s="6">
        <v>96.269153897402077</v>
      </c>
      <c r="E37" s="6">
        <v>95.727040816325911</v>
      </c>
      <c r="F37" s="6">
        <v>94.583615436695538</v>
      </c>
      <c r="G37">
        <v>90.502450980392197</v>
      </c>
      <c r="H37" s="6">
        <f t="shared" si="0"/>
        <v>95.202289231584544</v>
      </c>
      <c r="I37" s="6">
        <f>AVERAGE(C37,F38,G37)</f>
        <v>91.174631011711554</v>
      </c>
      <c r="J37" s="6">
        <v>16</v>
      </c>
      <c r="K37" s="6">
        <f t="shared" si="2"/>
        <v>0.7575910366497145</v>
      </c>
    </row>
    <row r="38" spans="1:11" ht="23.25" x14ac:dyDescent="0.35">
      <c r="A38" s="3" t="s">
        <v>36</v>
      </c>
      <c r="B38" s="6">
        <v>84.233947870311425</v>
      </c>
      <c r="C38" s="6">
        <v>95.914634146341754</v>
      </c>
      <c r="D38" s="6">
        <v>83.025325119780888</v>
      </c>
      <c r="E38" s="6">
        <v>92.23484848484874</v>
      </c>
      <c r="F38" s="6">
        <v>86.746189529489783</v>
      </c>
      <c r="G38">
        <v>92.918719211823031</v>
      </c>
      <c r="H38" s="6">
        <f t="shared" si="0"/>
        <v>84.66848750652737</v>
      </c>
      <c r="I38" s="6" t="e">
        <f>AVERAGE(C38,#REF!,G38)</f>
        <v>#REF!</v>
      </c>
      <c r="J38" s="9">
        <v>2</v>
      </c>
      <c r="K38" s="6">
        <f t="shared" si="2"/>
        <v>1.5498013873701348</v>
      </c>
    </row>
    <row r="39" spans="1:11" ht="23.25" x14ac:dyDescent="0.35">
      <c r="A39" s="3" t="s">
        <v>37</v>
      </c>
      <c r="B39" s="6">
        <v>90.640055058499556</v>
      </c>
      <c r="C39" s="6">
        <v>91.729797979797979</v>
      </c>
      <c r="D39" s="6">
        <v>92.375765827093275</v>
      </c>
      <c r="E39" s="6">
        <v>92.273869346734188</v>
      </c>
      <c r="F39" s="6">
        <v>91.472351765489861</v>
      </c>
      <c r="G39" s="6">
        <v>93.812500000000114</v>
      </c>
      <c r="H39" s="6">
        <f t="shared" si="0"/>
        <v>91.496057550360888</v>
      </c>
      <c r="I39" s="6" t="e">
        <f>AVERAGE(C39,F40,#REF!)</f>
        <v>#REF!</v>
      </c>
      <c r="J39" s="9">
        <v>2</v>
      </c>
      <c r="K39" s="6">
        <f t="shared" si="2"/>
        <v>0.70879919169927286</v>
      </c>
    </row>
    <row r="40" spans="1:11" ht="23.25" x14ac:dyDescent="0.35">
      <c r="A40" s="3" t="s">
        <v>38</v>
      </c>
      <c r="B40" s="6">
        <v>93.319415448851544</v>
      </c>
      <c r="C40" s="6">
        <v>90.263819095477587</v>
      </c>
      <c r="D40" s="6">
        <v>92.99663299663321</v>
      </c>
      <c r="E40" s="6">
        <v>90.992647058823124</v>
      </c>
      <c r="F40" s="6">
        <v>92.205984690327057</v>
      </c>
      <c r="G40">
        <v>88.923267326732869</v>
      </c>
      <c r="H40" s="6">
        <f t="shared" si="0"/>
        <v>92.840677711937261</v>
      </c>
      <c r="I40" s="6">
        <f>AVERAGE(G39,F41,G40)</f>
        <v>92.875099492126608</v>
      </c>
      <c r="J40" s="9">
        <v>8</v>
      </c>
      <c r="K40" s="6">
        <f t="shared" si="2"/>
        <v>0.46774177464747024</v>
      </c>
    </row>
    <row r="41" spans="1:11" ht="23.25" x14ac:dyDescent="0.35">
      <c r="A41" s="3" t="s">
        <v>39</v>
      </c>
      <c r="B41" s="6">
        <v>97.349237905898107</v>
      </c>
      <c r="C41" s="6">
        <v>92.918719211823031</v>
      </c>
      <c r="D41" s="6">
        <v>95.825179386823294</v>
      </c>
      <c r="E41" s="6">
        <v>94.396551724137652</v>
      </c>
      <c r="F41" s="6">
        <v>95.889531149646871</v>
      </c>
      <c r="G41">
        <v>94.93902439024437</v>
      </c>
      <c r="H41" s="6">
        <f t="shared" si="0"/>
        <v>96.354649480789419</v>
      </c>
      <c r="I41" s="6">
        <f t="shared" si="3"/>
        <v>93.566712882267538</v>
      </c>
      <c r="J41" s="6">
        <v>16</v>
      </c>
      <c r="K41" s="6">
        <f t="shared" si="2"/>
        <v>0.70377074338392986</v>
      </c>
    </row>
    <row r="42" spans="1:11" ht="23.25" x14ac:dyDescent="0.35">
      <c r="A42" s="3" t="s">
        <v>40</v>
      </c>
      <c r="B42" s="6">
        <v>91.092553931802584</v>
      </c>
      <c r="C42" s="6">
        <v>90.719696969697168</v>
      </c>
      <c r="D42" s="6">
        <v>92.118226600985224</v>
      </c>
      <c r="E42" s="6">
        <v>91.089743589744003</v>
      </c>
      <c r="F42" s="6">
        <v>92.842395044735227</v>
      </c>
      <c r="G42" s="6">
        <v>89.913366336632961</v>
      </c>
      <c r="H42" s="6">
        <f t="shared" si="0"/>
        <v>92.017725192507669</v>
      </c>
      <c r="I42" s="6">
        <f t="shared" si="3"/>
        <v>88.569892965312349</v>
      </c>
      <c r="J42" s="6">
        <v>1</v>
      </c>
      <c r="K42" s="6">
        <f t="shared" si="2"/>
        <v>0.71789571199760172</v>
      </c>
    </row>
    <row r="43" spans="1:11" ht="23.25" x14ac:dyDescent="0.35">
      <c r="A43" s="3" t="s">
        <v>41</v>
      </c>
      <c r="B43" s="6">
        <v>83.632982021078234</v>
      </c>
      <c r="C43" s="6">
        <v>97.403381642512926</v>
      </c>
      <c r="D43" s="6">
        <v>84.543637574950353</v>
      </c>
      <c r="E43" s="6">
        <v>91.973039215685688</v>
      </c>
      <c r="F43" s="6">
        <v>85.076615589606888</v>
      </c>
      <c r="G43">
        <v>92.426108374384356</v>
      </c>
      <c r="H43" s="6">
        <f t="shared" si="0"/>
        <v>84.417745061878492</v>
      </c>
      <c r="I43" s="6">
        <f t="shared" si="3"/>
        <v>91.965936279354139</v>
      </c>
      <c r="J43" s="9">
        <v>2</v>
      </c>
      <c r="K43" s="6">
        <f t="shared" si="2"/>
        <v>0.59604595107052794</v>
      </c>
    </row>
    <row r="44" spans="1:11" ht="23.25" x14ac:dyDescent="0.35">
      <c r="A44" s="3" t="s">
        <v>42</v>
      </c>
      <c r="B44" s="6">
        <v>84.819734345351165</v>
      </c>
      <c r="C44" s="6">
        <v>97.352216748768299</v>
      </c>
      <c r="D44" s="6">
        <v>83.83838383838328</v>
      </c>
      <c r="E44" s="6">
        <v>93.750000000000313</v>
      </c>
      <c r="F44" s="6">
        <v>86.06831882116515</v>
      </c>
      <c r="G44" s="6">
        <v>93.781407035175732</v>
      </c>
      <c r="H44" s="6">
        <f t="shared" si="0"/>
        <v>84.908812334966527</v>
      </c>
      <c r="I44" s="6">
        <f t="shared" si="3"/>
        <v>94.722594398175417</v>
      </c>
      <c r="J44" s="6">
        <v>4</v>
      </c>
      <c r="K44" s="6">
        <f t="shared" si="2"/>
        <v>0.91254357814993559</v>
      </c>
    </row>
    <row r="45" spans="1:11" ht="23.25" x14ac:dyDescent="0.35">
      <c r="A45" s="3" t="s">
        <v>43</v>
      </c>
      <c r="B45" s="6">
        <v>95.15151515151571</v>
      </c>
      <c r="C45" s="6">
        <v>95.192307692307281</v>
      </c>
      <c r="D45" s="6">
        <v>94.318915429309243</v>
      </c>
      <c r="E45" s="6">
        <v>94.451219512194655</v>
      </c>
      <c r="F45" s="6">
        <v>93.034159410582234</v>
      </c>
      <c r="G45">
        <v>94.255050505051074</v>
      </c>
      <c r="H45" s="6">
        <f t="shared" si="0"/>
        <v>94.168196663802391</v>
      </c>
      <c r="I45" s="6">
        <f t="shared" si="3"/>
        <v>95.083545628627675</v>
      </c>
      <c r="J45" s="9">
        <v>8</v>
      </c>
      <c r="K45" s="6">
        <f t="shared" si="2"/>
        <v>0.87095194782219709</v>
      </c>
    </row>
    <row r="46" spans="1:11" ht="23.25" x14ac:dyDescent="0.35">
      <c r="A46" s="3" t="s">
        <v>44</v>
      </c>
      <c r="B46" s="6">
        <v>94.28942245295265</v>
      </c>
      <c r="C46" s="6">
        <v>98.278061224489761</v>
      </c>
      <c r="D46" s="6">
        <v>94.074074074074076</v>
      </c>
      <c r="E46" s="6">
        <v>95.192307692307281</v>
      </c>
      <c r="F46" s="6">
        <v>95.803278688524657</v>
      </c>
      <c r="G46">
        <v>94.838308457710909</v>
      </c>
      <c r="H46" s="6">
        <f t="shared" si="0"/>
        <v>94.72225840518378</v>
      </c>
      <c r="I46" s="6">
        <f t="shared" si="3"/>
        <v>94.922242818615757</v>
      </c>
      <c r="J46" s="9">
        <v>8</v>
      </c>
      <c r="K46" s="6">
        <f t="shared" si="2"/>
        <v>0.76943588462248369</v>
      </c>
    </row>
    <row r="47" spans="1:11" ht="23.25" x14ac:dyDescent="0.35">
      <c r="A47" s="3" t="s">
        <v>45</v>
      </c>
      <c r="B47" s="6">
        <v>86.746189529489783</v>
      </c>
      <c r="C47" s="6">
        <v>95.265151515151885</v>
      </c>
      <c r="D47" s="6">
        <v>93.604263824117723</v>
      </c>
      <c r="E47" s="6">
        <v>93.812499999999403</v>
      </c>
      <c r="F47" s="6">
        <v>91.650358773646602</v>
      </c>
      <c r="G47">
        <v>94.863861386138325</v>
      </c>
      <c r="H47" s="6">
        <f t="shared" si="0"/>
        <v>90.666937375751374</v>
      </c>
      <c r="I47" s="6">
        <f t="shared" si="3"/>
        <v>94.961037087315162</v>
      </c>
      <c r="J47" s="6">
        <v>1</v>
      </c>
      <c r="K47" s="6">
        <f t="shared" si="2"/>
        <v>2.8848609431580106</v>
      </c>
    </row>
    <row r="48" spans="1:11" ht="23.25" x14ac:dyDescent="0.35">
      <c r="A48" s="3" t="s">
        <v>46</v>
      </c>
      <c r="B48" s="6">
        <v>95.228628230616138</v>
      </c>
      <c r="C48" s="6">
        <v>94.786432160804395</v>
      </c>
      <c r="D48" s="6">
        <v>95.781147000659288</v>
      </c>
      <c r="E48" s="6">
        <v>94.812499999999915</v>
      </c>
      <c r="F48" s="6">
        <v>94.754098360655306</v>
      </c>
      <c r="G48">
        <v>93.903940886699672</v>
      </c>
      <c r="H48" s="6">
        <f t="shared" si="0"/>
        <v>95.254624530643582</v>
      </c>
      <c r="I48" s="6">
        <f t="shared" si="3"/>
        <v>88.508463294173737</v>
      </c>
      <c r="J48" s="9">
        <v>8</v>
      </c>
      <c r="K48" s="6">
        <f t="shared" si="2"/>
        <v>0.4196936048633933</v>
      </c>
    </row>
    <row r="49" spans="1:11" ht="23.25" x14ac:dyDescent="0.35">
      <c r="A49" s="3" t="s">
        <v>47</v>
      </c>
      <c r="B49" s="6">
        <v>79.753406878650196</v>
      </c>
      <c r="C49" s="6">
        <v>94.424019607843107</v>
      </c>
      <c r="D49" s="6">
        <v>77.08194536975374</v>
      </c>
      <c r="E49" s="6">
        <v>93.812499999999403</v>
      </c>
      <c r="F49" s="6">
        <v>76.835016835017129</v>
      </c>
      <c r="G49" s="6">
        <v>93.278894472361401</v>
      </c>
      <c r="H49" s="6">
        <f t="shared" si="0"/>
        <v>77.890123027807022</v>
      </c>
      <c r="I49" s="6">
        <f t="shared" si="3"/>
        <v>95.026654420177508</v>
      </c>
      <c r="J49" s="9">
        <v>2</v>
      </c>
      <c r="K49" s="6">
        <f t="shared" si="2"/>
        <v>1.3213915536096834</v>
      </c>
    </row>
    <row r="50" spans="1:11" ht="23.25" x14ac:dyDescent="0.35">
      <c r="A50" s="3" t="s">
        <v>48</v>
      </c>
      <c r="B50" s="6">
        <v>97.912589693412016</v>
      </c>
      <c r="C50" s="6">
        <v>92.572463768115682</v>
      </c>
      <c r="D50" s="6">
        <v>96.228956228955838</v>
      </c>
      <c r="E50" s="6">
        <v>93.278894472362111</v>
      </c>
      <c r="F50" s="6">
        <v>97.377049180328029</v>
      </c>
      <c r="G50">
        <v>92.987804878048948</v>
      </c>
      <c r="H50" s="6">
        <f t="shared" si="0"/>
        <v>97.172865034231961</v>
      </c>
      <c r="I50" s="6">
        <f t="shared" si="3"/>
        <v>94.650922323894562</v>
      </c>
      <c r="J50" s="6">
        <v>16</v>
      </c>
      <c r="K50" s="6">
        <f t="shared" si="2"/>
        <v>0.70234074579077554</v>
      </c>
    </row>
    <row r="51" spans="1:11" ht="23.25" x14ac:dyDescent="0.35">
      <c r="A51" s="3" t="s">
        <v>49</v>
      </c>
      <c r="B51" s="6">
        <v>97.87939032471877</v>
      </c>
      <c r="C51" s="6">
        <v>92.918719211822335</v>
      </c>
      <c r="D51" s="6">
        <v>96.784996651038085</v>
      </c>
      <c r="E51" s="6">
        <v>94.255050505051074</v>
      </c>
      <c r="F51" s="6">
        <v>98.392498325519028</v>
      </c>
      <c r="G51" s="6">
        <v>91.93349753694568</v>
      </c>
      <c r="H51" s="6">
        <f t="shared" si="0"/>
        <v>97.685628433758623</v>
      </c>
      <c r="I51" s="6">
        <f t="shared" si="3"/>
        <v>91.378512972965083</v>
      </c>
      <c r="J51" s="6">
        <v>4</v>
      </c>
      <c r="K51" s="6">
        <f t="shared" si="2"/>
        <v>0.67040940782783198</v>
      </c>
    </row>
    <row r="52" spans="1:11" ht="23.25" x14ac:dyDescent="0.35">
      <c r="A52" s="3" t="s">
        <v>50</v>
      </c>
      <c r="B52" s="6">
        <v>90.535838552539943</v>
      </c>
      <c r="C52" s="6">
        <v>92.115384615384826</v>
      </c>
      <c r="D52" s="6">
        <v>91.919191919191647</v>
      </c>
      <c r="E52" s="6">
        <v>92.350746268657034</v>
      </c>
      <c r="F52" s="6">
        <v>89.283322170127178</v>
      </c>
      <c r="G52" s="6">
        <v>92.388613861386688</v>
      </c>
      <c r="H52" s="6">
        <f t="shared" si="0"/>
        <v>90.579450880619603</v>
      </c>
      <c r="I52" s="6">
        <f t="shared" si="3"/>
        <v>93.155170007769129</v>
      </c>
      <c r="J52" s="6">
        <v>1</v>
      </c>
      <c r="K52" s="6">
        <f t="shared" si="2"/>
        <v>1.0765311142364291</v>
      </c>
    </row>
    <row r="53" spans="1:11" ht="23.25" x14ac:dyDescent="0.35">
      <c r="A53" s="3" t="s">
        <v>51</v>
      </c>
      <c r="B53" s="6">
        <v>94.554118447924054</v>
      </c>
      <c r="C53" s="6">
        <v>94.166666666666458</v>
      </c>
      <c r="D53" s="6">
        <v>95.203197868088481</v>
      </c>
      <c r="E53" s="6">
        <v>91.973039215685688</v>
      </c>
      <c r="F53" s="6">
        <v>94.961511546535846</v>
      </c>
      <c r="G53">
        <v>92.074742268041177</v>
      </c>
      <c r="H53" s="6">
        <f t="shared" si="0"/>
        <v>94.906275954182789</v>
      </c>
      <c r="I53" s="6">
        <f t="shared" si="3"/>
        <v>93.89541626411966</v>
      </c>
      <c r="J53" s="6">
        <v>4</v>
      </c>
      <c r="K53" s="6">
        <f t="shared" si="2"/>
        <v>0.26784852860922642</v>
      </c>
    </row>
    <row r="54" spans="1:11" ht="23.25" x14ac:dyDescent="0.35">
      <c r="A54" s="3" t="s">
        <v>52</v>
      </c>
      <c r="B54" s="6">
        <v>93.282015395381123</v>
      </c>
      <c r="C54" s="6">
        <v>91.602564102564045</v>
      </c>
      <c r="D54" s="6">
        <v>95.595320027528601</v>
      </c>
      <c r="E54" s="6">
        <v>91.729797979798704</v>
      </c>
      <c r="F54" s="6">
        <v>95.444839857651331</v>
      </c>
      <c r="G54">
        <v>86.090686274509693</v>
      </c>
      <c r="H54" s="6">
        <f t="shared" si="0"/>
        <v>94.774058426853685</v>
      </c>
      <c r="I54" s="6">
        <f t="shared" si="3"/>
        <v>87.81820716809959</v>
      </c>
      <c r="J54" s="9">
        <v>60</v>
      </c>
      <c r="K54" s="6">
        <f t="shared" si="2"/>
        <v>1.0568208224689581</v>
      </c>
    </row>
    <row r="55" spans="1:11" ht="23.25" x14ac:dyDescent="0.35">
      <c r="A55" s="3" t="s">
        <v>53</v>
      </c>
      <c r="B55" s="6">
        <v>86.216037110669092</v>
      </c>
      <c r="C55" s="6">
        <v>95.74873096446737</v>
      </c>
      <c r="D55" s="6">
        <v>88.686868686868962</v>
      </c>
      <c r="E55" s="6">
        <v>92.812499999999602</v>
      </c>
      <c r="F55" s="6">
        <v>85.76137112722499</v>
      </c>
      <c r="G55">
        <v>93.873762376237536</v>
      </c>
      <c r="H55" s="6">
        <f t="shared" si="0"/>
        <v>86.888092308254343</v>
      </c>
      <c r="I55" s="6">
        <f t="shared" si="3"/>
        <v>89.234895040508945</v>
      </c>
      <c r="J55" s="6">
        <v>16</v>
      </c>
      <c r="K55" s="6">
        <f t="shared" si="2"/>
        <v>1.2853994539498159</v>
      </c>
    </row>
    <row r="56" spans="1:11" ht="23.25" x14ac:dyDescent="0.35">
      <c r="A56" s="3" t="s">
        <v>54</v>
      </c>
      <c r="B56" s="6">
        <v>81.639344262294799</v>
      </c>
      <c r="C56" s="6">
        <v>95.312500000000881</v>
      </c>
      <c r="D56" s="6">
        <v>79.850238257317756</v>
      </c>
      <c r="E56" s="6">
        <v>92.739898989899501</v>
      </c>
      <c r="F56" s="6">
        <v>78.08219178082193</v>
      </c>
      <c r="G56">
        <v>93.475609756097981</v>
      </c>
      <c r="H56" s="6">
        <f t="shared" si="0"/>
        <v>79.857258100144819</v>
      </c>
      <c r="I56" s="6">
        <f t="shared" si="3"/>
        <v>92.651780209830235</v>
      </c>
      <c r="J56" s="6">
        <v>1</v>
      </c>
      <c r="K56" s="6">
        <f t="shared" si="2"/>
        <v>1.4522099028164248</v>
      </c>
    </row>
    <row r="57" spans="1:11" ht="23.25" x14ac:dyDescent="0.35">
      <c r="A57" s="3" t="s">
        <v>55</v>
      </c>
      <c r="B57" s="6">
        <v>87.542315504401273</v>
      </c>
      <c r="C57" s="6">
        <v>94.196428571427901</v>
      </c>
      <c r="D57" s="6">
        <v>87.7415056628912</v>
      </c>
      <c r="E57" s="6">
        <v>93.812500000000114</v>
      </c>
      <c r="F57" s="6">
        <v>89.167230873391873</v>
      </c>
      <c r="G57">
        <v>93.718274111675186</v>
      </c>
      <c r="H57" s="6">
        <f t="shared" si="0"/>
        <v>88.150350680228101</v>
      </c>
      <c r="I57" s="6">
        <f t="shared" si="3"/>
        <v>93.839655502406956</v>
      </c>
      <c r="J57" s="9">
        <v>2</v>
      </c>
      <c r="K57" s="6">
        <f t="shared" si="2"/>
        <v>0.72362659581047328</v>
      </c>
    </row>
    <row r="58" spans="1:11" ht="23.25" x14ac:dyDescent="0.35">
      <c r="A58" s="3" t="s">
        <v>56</v>
      </c>
      <c r="B58" s="6">
        <v>95.071868583162043</v>
      </c>
      <c r="C58" s="6">
        <v>93.176020408163524</v>
      </c>
      <c r="D58" s="6">
        <v>93.071285809459908</v>
      </c>
      <c r="E58" s="6">
        <v>92.883663366337444</v>
      </c>
      <c r="F58" s="6">
        <v>93.604263824117723</v>
      </c>
      <c r="G58">
        <v>94.283919597989339</v>
      </c>
      <c r="H58" s="6">
        <f t="shared" si="0"/>
        <v>93.915806072246554</v>
      </c>
      <c r="I58" s="6">
        <f t="shared" si="3"/>
        <v>90.940786945517914</v>
      </c>
      <c r="J58" s="9">
        <v>8</v>
      </c>
      <c r="K58" s="6">
        <f t="shared" si="2"/>
        <v>0.84592229268229613</v>
      </c>
    </row>
    <row r="59" spans="1:11" ht="23.25" x14ac:dyDescent="0.35">
      <c r="A59" s="3" t="s">
        <v>57</v>
      </c>
      <c r="B59" s="6">
        <v>87.609427609427442</v>
      </c>
      <c r="C59" s="6">
        <v>93.750000000000313</v>
      </c>
      <c r="D59" s="6">
        <v>85.175718849839939</v>
      </c>
      <c r="E59" s="6">
        <v>95.89460784313728</v>
      </c>
      <c r="F59" s="6">
        <v>85.362420830400893</v>
      </c>
      <c r="G59">
        <v>87.933168316832081</v>
      </c>
      <c r="H59" s="6">
        <f t="shared" si="0"/>
        <v>86.049189096556077</v>
      </c>
      <c r="I59" s="6">
        <f t="shared" si="3"/>
        <v>92.580760539108454</v>
      </c>
      <c r="J59" s="9">
        <v>2</v>
      </c>
      <c r="K59" s="6">
        <f t="shared" si="2"/>
        <v>1.1058850362708288</v>
      </c>
    </row>
    <row r="60" spans="1:11" ht="23.25" x14ac:dyDescent="0.35">
      <c r="A60" s="3" t="s">
        <v>58</v>
      </c>
      <c r="B60" s="6">
        <v>97.785467128028102</v>
      </c>
      <c r="C60" s="6">
        <v>91.224747474746493</v>
      </c>
      <c r="D60" s="6">
        <v>96.208530805686834</v>
      </c>
      <c r="E60" s="6">
        <v>90.060975609756852</v>
      </c>
      <c r="F60" s="6">
        <v>96.059113300492982</v>
      </c>
      <c r="G60" s="6">
        <v>88.370646766168846</v>
      </c>
      <c r="H60" s="6">
        <f t="shared" si="0"/>
        <v>96.684370411402639</v>
      </c>
      <c r="I60" s="6">
        <f t="shared" si="3"/>
        <v>91.564700281348863</v>
      </c>
      <c r="J60" s="6">
        <v>16</v>
      </c>
      <c r="K60" s="6">
        <f t="shared" si="2"/>
        <v>0.78097882269073937</v>
      </c>
    </row>
    <row r="61" spans="1:11" ht="23.25" x14ac:dyDescent="0.35">
      <c r="A61" s="3" t="s">
        <v>59</v>
      </c>
      <c r="B61" s="6">
        <v>96.10299234516313</v>
      </c>
      <c r="C61" s="6">
        <v>91.6454081632655</v>
      </c>
      <c r="D61" s="6">
        <v>95.803278688524657</v>
      </c>
      <c r="E61" s="6">
        <v>93.443627450979861</v>
      </c>
      <c r="F61" s="6">
        <v>95.09870660313122</v>
      </c>
      <c r="G61">
        <v>91.355721393035338</v>
      </c>
      <c r="H61" s="6">
        <f t="shared" si="0"/>
        <v>95.668325878939683</v>
      </c>
      <c r="I61" s="6">
        <f t="shared" si="3"/>
        <v>93.770726037884927</v>
      </c>
      <c r="J61" s="6">
        <v>4</v>
      </c>
      <c r="K61" s="6">
        <f t="shared" si="2"/>
        <v>0.42095657616378751</v>
      </c>
    </row>
    <row r="62" spans="1:11" ht="23.25" x14ac:dyDescent="0.35">
      <c r="A62" s="8" t="s">
        <v>60</v>
      </c>
      <c r="B62" s="6">
        <v>97.833446174678059</v>
      </c>
      <c r="C62" s="6">
        <v>91.398514851485203</v>
      </c>
      <c r="D62" s="6">
        <v>97.306397306396704</v>
      </c>
      <c r="E62" s="6">
        <v>91.440886699507701</v>
      </c>
      <c r="F62" s="6">
        <v>98.311048557353914</v>
      </c>
      <c r="G62">
        <v>88.370646766169557</v>
      </c>
      <c r="H62" s="6">
        <f t="shared" si="0"/>
        <v>97.816964012809549</v>
      </c>
      <c r="I62" s="6">
        <f t="shared" si="3"/>
        <v>92.891340434267121</v>
      </c>
      <c r="J62" s="6">
        <v>16</v>
      </c>
      <c r="K62" s="6">
        <f t="shared" si="2"/>
        <v>0.41031271022425986</v>
      </c>
    </row>
    <row r="63" spans="1:11" x14ac:dyDescent="0.25">
      <c r="A63" s="2" t="s">
        <v>61</v>
      </c>
      <c r="B63" s="6">
        <v>97.231833910034752</v>
      </c>
      <c r="C63" s="6">
        <v>91.687817258882987</v>
      </c>
      <c r="D63" s="6">
        <v>97.760671798460109</v>
      </c>
      <c r="E63" s="6">
        <v>87.992610837438363</v>
      </c>
      <c r="F63" s="6">
        <v>98.904859685146604</v>
      </c>
      <c r="G63" s="6">
        <v>91.312500000000256</v>
      </c>
      <c r="H63" s="6">
        <f t="shared" si="0"/>
        <v>97.965788464547146</v>
      </c>
      <c r="I63" s="6">
        <f t="shared" si="3"/>
        <v>92.788664768167493</v>
      </c>
      <c r="J63" s="9">
        <v>60</v>
      </c>
      <c r="K63" s="6">
        <f t="shared" si="2"/>
        <v>0.69823990436771455</v>
      </c>
    </row>
    <row r="64" spans="1:11" ht="23.25" x14ac:dyDescent="0.35">
      <c r="A64" s="3" t="s">
        <v>62</v>
      </c>
      <c r="B64" s="6">
        <v>96.036801132342902</v>
      </c>
      <c r="C64" s="6">
        <v>88.312499999999432</v>
      </c>
      <c r="D64" s="6">
        <v>97.086671522214289</v>
      </c>
      <c r="E64" s="6">
        <v>86.243718592964385</v>
      </c>
      <c r="F64" s="6">
        <v>95.365677045619208</v>
      </c>
      <c r="G64">
        <v>85.036945812807716</v>
      </c>
      <c r="H64" s="6">
        <f t="shared" si="0"/>
        <v>96.163049900058809</v>
      </c>
      <c r="I64" s="6">
        <f t="shared" si="3"/>
        <v>89.90514730641064</v>
      </c>
      <c r="J64" s="6">
        <v>16</v>
      </c>
      <c r="K64" s="6">
        <f t="shared" si="2"/>
        <v>0.70824174810113683</v>
      </c>
    </row>
    <row r="65" spans="1:11" ht="23.25" x14ac:dyDescent="0.35">
      <c r="A65" s="3" t="s">
        <v>63</v>
      </c>
      <c r="B65" s="6">
        <v>96.802131912059238</v>
      </c>
      <c r="C65" s="6">
        <v>92.883663366336037</v>
      </c>
      <c r="D65" s="6">
        <v>95.278688524589995</v>
      </c>
      <c r="E65" s="6">
        <v>93.903940886699672</v>
      </c>
      <c r="F65" s="6">
        <v>96.36599610642476</v>
      </c>
      <c r="G65">
        <v>94.424019607843107</v>
      </c>
      <c r="H65" s="6">
        <f t="shared" si="0"/>
        <v>96.148938847691326</v>
      </c>
      <c r="I65" s="6">
        <f t="shared" si="3"/>
        <v>93.255198477363834</v>
      </c>
      <c r="J65" s="6">
        <v>4</v>
      </c>
      <c r="K65" s="6">
        <f t="shared" si="2"/>
        <v>0.64060145118089007</v>
      </c>
    </row>
    <row r="66" spans="1:11" ht="23.25" x14ac:dyDescent="0.35">
      <c r="A66" s="3" t="s">
        <v>64</v>
      </c>
      <c r="B66" s="6">
        <v>90.792146242383126</v>
      </c>
      <c r="C66" s="6">
        <v>92.776381909547794</v>
      </c>
      <c r="D66" s="6">
        <v>94.105827193570008</v>
      </c>
      <c r="E66" s="6">
        <v>92.388613861385991</v>
      </c>
      <c r="F66" s="6">
        <v>92.4579124579124</v>
      </c>
      <c r="G66" s="6">
        <v>91.893564356435249</v>
      </c>
      <c r="H66" s="6">
        <f t="shared" si="0"/>
        <v>92.451961964621844</v>
      </c>
      <c r="I66" s="6">
        <f t="shared" si="3"/>
        <v>89.497505463307618</v>
      </c>
      <c r="J66" s="9">
        <v>8</v>
      </c>
      <c r="K66" s="6">
        <f t="shared" si="2"/>
        <v>1.3528111269605725</v>
      </c>
    </row>
    <row r="67" spans="1:11" ht="23.25" x14ac:dyDescent="0.35">
      <c r="A67" s="3" t="s">
        <v>65</v>
      </c>
      <c r="B67" s="6">
        <v>86.604152712659058</v>
      </c>
      <c r="C67" s="6">
        <v>92.848258706467519</v>
      </c>
      <c r="D67" s="6">
        <v>86.337760910816115</v>
      </c>
      <c r="E67" s="6">
        <v>95.934466019417314</v>
      </c>
      <c r="F67" s="6">
        <v>83.822570123939826</v>
      </c>
      <c r="G67">
        <v>95.335820895522119</v>
      </c>
      <c r="H67" s="6">
        <f t="shared" ref="H67:H81" si="4">AVERAGE(B67,D67,F67)</f>
        <v>85.588161249138338</v>
      </c>
      <c r="I67" s="6">
        <f t="shared" si="3"/>
        <v>93.91802430135526</v>
      </c>
      <c r="J67" s="6">
        <v>4</v>
      </c>
      <c r="K67" s="6">
        <f t="shared" ref="K67:K81" si="5">_xlfn.STDEV.P(B67,D67,F67)</f>
        <v>1.2531893084066428</v>
      </c>
    </row>
    <row r="68" spans="1:11" ht="23.25" x14ac:dyDescent="0.35">
      <c r="A68" s="3" t="s">
        <v>66</v>
      </c>
      <c r="B68" s="6">
        <v>94.137241838774187</v>
      </c>
      <c r="C68" s="6">
        <v>91.973039215686384</v>
      </c>
      <c r="D68" s="6">
        <v>92.249134948096838</v>
      </c>
      <c r="E68" s="6">
        <v>90.312499999999744</v>
      </c>
      <c r="F68" s="6">
        <v>93.569993302076099</v>
      </c>
      <c r="G68">
        <v>91.93349753694568</v>
      </c>
      <c r="H68" s="6">
        <f t="shared" si="4"/>
        <v>93.318790029649051</v>
      </c>
      <c r="I68" s="6">
        <f t="shared" si="3"/>
        <v>82.522165938958636</v>
      </c>
      <c r="J68" s="9">
        <v>8</v>
      </c>
      <c r="K68" s="6">
        <f t="shared" si="5"/>
        <v>0.79101800262462163</v>
      </c>
    </row>
    <row r="69" spans="1:11" ht="23.25" x14ac:dyDescent="0.35">
      <c r="A69" s="3" t="s">
        <v>67</v>
      </c>
      <c r="B69" s="6">
        <v>57.811470006592067</v>
      </c>
      <c r="C69" s="6">
        <v>94.340796019900424</v>
      </c>
      <c r="D69" s="6">
        <v>58.922980588603401</v>
      </c>
      <c r="E69" s="6">
        <v>96.905339805825562</v>
      </c>
      <c r="F69" s="6">
        <v>63.659961064243845</v>
      </c>
      <c r="G69">
        <v>94.889162561576342</v>
      </c>
      <c r="H69" s="6">
        <f t="shared" si="4"/>
        <v>60.131470553146436</v>
      </c>
      <c r="I69" s="6">
        <f t="shared" si="3"/>
        <v>95.526398829124958</v>
      </c>
      <c r="J69" s="6">
        <v>1</v>
      </c>
      <c r="K69" s="6">
        <f t="shared" si="5"/>
        <v>2.5359479369864997</v>
      </c>
    </row>
    <row r="70" spans="1:11" ht="23.25" x14ac:dyDescent="0.35">
      <c r="A70" s="3" t="s">
        <v>68</v>
      </c>
      <c r="B70" s="6">
        <v>96.948506039415008</v>
      </c>
      <c r="C70" s="6">
        <v>94.987922705313593</v>
      </c>
      <c r="D70" s="6">
        <v>96.403339755940522</v>
      </c>
      <c r="E70" s="6">
        <v>94.939024390243688</v>
      </c>
      <c r="F70" s="6">
        <v>97.349237905898107</v>
      </c>
      <c r="G70">
        <v>94.312500000000369</v>
      </c>
      <c r="H70" s="6">
        <f t="shared" si="4"/>
        <v>96.900361233751212</v>
      </c>
      <c r="I70" s="6">
        <f t="shared" si="3"/>
        <v>91.588135710337156</v>
      </c>
      <c r="J70" s="9">
        <v>8</v>
      </c>
      <c r="K70" s="6">
        <f t="shared" si="5"/>
        <v>0.38765901619644999</v>
      </c>
    </row>
    <row r="71" spans="1:11" ht="23.25" x14ac:dyDescent="0.35">
      <c r="A71" s="3" t="s">
        <v>69</v>
      </c>
      <c r="B71" s="6">
        <v>89.167230873391873</v>
      </c>
      <c r="C71" s="6">
        <v>93.718274111675186</v>
      </c>
      <c r="D71" s="6">
        <v>90.457256461232959</v>
      </c>
      <c r="E71" s="6">
        <v>95.265151515151175</v>
      </c>
      <c r="F71" s="6">
        <v>85.463984425697532</v>
      </c>
      <c r="G71" s="6">
        <v>95.833333333333314</v>
      </c>
      <c r="H71" s="6">
        <f t="shared" si="4"/>
        <v>88.362823920107459</v>
      </c>
      <c r="I71" s="6">
        <f t="shared" si="3"/>
        <v>86.974458942902217</v>
      </c>
      <c r="J71" s="6">
        <v>4</v>
      </c>
      <c r="K71" s="6">
        <f t="shared" si="5"/>
        <v>2.1163639124820137</v>
      </c>
    </row>
    <row r="72" spans="1:11" ht="23.25" x14ac:dyDescent="0.35">
      <c r="A72" s="3" t="s">
        <v>70</v>
      </c>
      <c r="B72" s="6">
        <v>68.332251784555496</v>
      </c>
      <c r="C72" s="6">
        <v>96.312499999999972</v>
      </c>
      <c r="D72" s="6">
        <v>67.660702451955089</v>
      </c>
      <c r="E72" s="6">
        <v>94.312500000000369</v>
      </c>
      <c r="F72" s="6">
        <v>71.371769383698123</v>
      </c>
      <c r="G72">
        <v>94.312499999999659</v>
      </c>
      <c r="H72" s="6">
        <f t="shared" si="4"/>
        <v>69.12157454006956</v>
      </c>
      <c r="I72" s="6">
        <f t="shared" si="3"/>
        <v>85.288205537806093</v>
      </c>
      <c r="J72" s="6">
        <v>1</v>
      </c>
      <c r="K72" s="6">
        <f t="shared" si="5"/>
        <v>1.614574712269129</v>
      </c>
    </row>
    <row r="73" spans="1:11" ht="23.25" x14ac:dyDescent="0.35">
      <c r="A73" s="3" t="s">
        <v>71</v>
      </c>
      <c r="B73" s="6">
        <v>67.64514024787988</v>
      </c>
      <c r="C73" s="6">
        <v>93.93382352941218</v>
      </c>
      <c r="D73" s="6">
        <v>62.158560959360521</v>
      </c>
      <c r="E73" s="6">
        <v>93.812499999999403</v>
      </c>
      <c r="F73" s="6">
        <v>65.239616613418661</v>
      </c>
      <c r="G73">
        <v>95.894607843136583</v>
      </c>
      <c r="H73" s="6">
        <f t="shared" si="4"/>
        <v>65.014439273553023</v>
      </c>
      <c r="I73" s="6">
        <f t="shared" si="3"/>
        <v>93.018006866045951</v>
      </c>
      <c r="J73" s="6">
        <v>1</v>
      </c>
      <c r="K73" s="6">
        <f t="shared" si="5"/>
        <v>2.2455387917816254</v>
      </c>
    </row>
    <row r="74" spans="1:11" ht="23.25" x14ac:dyDescent="0.35">
      <c r="A74" s="3" t="s">
        <v>72</v>
      </c>
      <c r="B74" s="6">
        <v>84.625579854207814</v>
      </c>
      <c r="C74" s="6">
        <v>94.786432160804395</v>
      </c>
      <c r="D74" s="6">
        <v>86.198083067092853</v>
      </c>
      <c r="E74" s="6">
        <v>94.504830917874429</v>
      </c>
      <c r="F74" s="6">
        <v>89.225589225589104</v>
      </c>
      <c r="G74" s="6">
        <v>93.278894472362111</v>
      </c>
      <c r="H74" s="6">
        <f t="shared" si="4"/>
        <v>86.683084048963266</v>
      </c>
      <c r="I74" s="6">
        <f t="shared" si="3"/>
        <v>91.47532745695726</v>
      </c>
      <c r="J74" s="9">
        <v>2</v>
      </c>
      <c r="K74" s="6">
        <f t="shared" si="5"/>
        <v>1.9090034081531242</v>
      </c>
    </row>
    <row r="75" spans="1:11" ht="23.25" x14ac:dyDescent="0.35">
      <c r="A75" s="3" t="s">
        <v>86</v>
      </c>
      <c r="B75" s="6">
        <v>88.866799204770999</v>
      </c>
      <c r="C75" s="6">
        <v>94.312500000000369</v>
      </c>
      <c r="D75" s="6">
        <v>86.360655737705414</v>
      </c>
      <c r="E75" s="6">
        <v>95.312500000000171</v>
      </c>
      <c r="F75" s="6">
        <v>86.360655737705315</v>
      </c>
      <c r="G75">
        <v>93.443627450979861</v>
      </c>
      <c r="H75" s="6">
        <f t="shared" si="4"/>
        <v>87.196036893393909</v>
      </c>
      <c r="I75" s="6">
        <f t="shared" si="3"/>
        <v>89.895437418636163</v>
      </c>
      <c r="J75" s="9">
        <v>2</v>
      </c>
      <c r="K75" s="6">
        <f t="shared" si="5"/>
        <v>1.1814073601256498</v>
      </c>
    </row>
    <row r="76" spans="1:11" ht="23.25" x14ac:dyDescent="0.35">
      <c r="A76" s="3" t="s">
        <v>73</v>
      </c>
      <c r="B76" s="6">
        <v>84.344422700587188</v>
      </c>
      <c r="C76" s="6">
        <v>95.335820895522119</v>
      </c>
      <c r="D76" s="6">
        <v>83.044315992292923</v>
      </c>
      <c r="E76" s="6">
        <v>97.312499999999773</v>
      </c>
      <c r="F76" s="6">
        <v>81.930184804928274</v>
      </c>
      <c r="G76">
        <v>90.858208955224143</v>
      </c>
      <c r="H76" s="6">
        <f t="shared" si="4"/>
        <v>83.106307832602795</v>
      </c>
      <c r="I76" s="6">
        <f t="shared" si="3"/>
        <v>87.744172159424679</v>
      </c>
      <c r="J76" s="9">
        <v>8</v>
      </c>
      <c r="K76" s="6">
        <f t="shared" si="5"/>
        <v>0.98658278767594187</v>
      </c>
    </row>
    <row r="77" spans="1:11" ht="23.25" x14ac:dyDescent="0.35">
      <c r="A77" s="3" t="s">
        <v>74</v>
      </c>
      <c r="B77" s="6">
        <v>76.918032786884822</v>
      </c>
      <c r="C77" s="6">
        <v>95.791457286433044</v>
      </c>
      <c r="D77" s="6">
        <v>82.257012393998593</v>
      </c>
      <c r="E77" s="6">
        <v>95.335820895522815</v>
      </c>
      <c r="F77" s="6">
        <v>77.038486627527774</v>
      </c>
      <c r="G77" s="6">
        <v>94.396551724137652</v>
      </c>
      <c r="H77" s="6">
        <f t="shared" si="4"/>
        <v>78.737843936137054</v>
      </c>
      <c r="I77" s="6">
        <f t="shared" si="3"/>
        <v>92.264053907743246</v>
      </c>
      <c r="J77" s="9">
        <v>2</v>
      </c>
      <c r="K77" s="6">
        <f t="shared" si="5"/>
        <v>2.4889137199505376</v>
      </c>
    </row>
    <row r="78" spans="1:11" ht="23.25" x14ac:dyDescent="0.35">
      <c r="A78" s="3" t="s">
        <v>75</v>
      </c>
      <c r="B78" s="6">
        <v>93.354632587859655</v>
      </c>
      <c r="C78" s="6">
        <v>96.844059405940612</v>
      </c>
      <c r="D78" s="6">
        <v>90.703679793414764</v>
      </c>
      <c r="E78" s="6">
        <v>94.451219512195351</v>
      </c>
      <c r="F78" s="6">
        <v>86.604152712659058</v>
      </c>
      <c r="G78" s="6">
        <v>91.93349753694568</v>
      </c>
      <c r="H78" s="6">
        <f t="shared" si="4"/>
        <v>90.220821697977826</v>
      </c>
      <c r="I78" s="6">
        <f t="shared" si="3"/>
        <v>91.079458029856823</v>
      </c>
      <c r="J78" s="6">
        <v>16</v>
      </c>
      <c r="K78" s="6">
        <f t="shared" si="5"/>
        <v>2.776941794086774</v>
      </c>
    </row>
    <row r="79" spans="1:11" ht="23.25" x14ac:dyDescent="0.35">
      <c r="A79" s="3" t="s">
        <v>76</v>
      </c>
      <c r="B79" s="6">
        <v>76.324845147969341</v>
      </c>
      <c r="C79" s="6">
        <v>93.141025641025649</v>
      </c>
      <c r="D79" s="6">
        <v>81.144781144780751</v>
      </c>
      <c r="E79" s="6">
        <v>92.812500000000313</v>
      </c>
      <c r="F79" s="6">
        <v>84.460817146684164</v>
      </c>
      <c r="G79" s="6">
        <v>91.036585365853526</v>
      </c>
      <c r="H79" s="6">
        <f t="shared" si="4"/>
        <v>80.643481146478095</v>
      </c>
      <c r="I79" s="6">
        <f t="shared" si="3"/>
        <v>86.950301526260375</v>
      </c>
      <c r="J79" s="6">
        <v>16</v>
      </c>
      <c r="K79" s="6">
        <f t="shared" si="5"/>
        <v>3.3403579007038156</v>
      </c>
    </row>
    <row r="80" spans="1:11" ht="23.25" x14ac:dyDescent="0.35">
      <c r="A80" s="3" t="s">
        <v>77</v>
      </c>
      <c r="B80" s="6">
        <v>78.420038535645332</v>
      </c>
      <c r="C80" s="6">
        <v>94.478155339805596</v>
      </c>
      <c r="D80" s="6">
        <v>76.796308503625681</v>
      </c>
      <c r="E80" s="6">
        <v>93.411330049261011</v>
      </c>
      <c r="F80" s="6">
        <v>76.673293571901951</v>
      </c>
      <c r="G80" s="6">
        <v>93.37871287128678</v>
      </c>
      <c r="H80" s="6">
        <f t="shared" si="4"/>
        <v>77.296546870390983</v>
      </c>
      <c r="I80" s="6">
        <f t="shared" si="3"/>
        <v>83.471515947314344</v>
      </c>
      <c r="J80" s="9">
        <v>2</v>
      </c>
      <c r="K80" s="6">
        <f t="shared" si="5"/>
        <v>0.79601436744937093</v>
      </c>
    </row>
    <row r="81" spans="1:11" ht="23.25" x14ac:dyDescent="0.35">
      <c r="A81" s="3" t="s">
        <v>78</v>
      </c>
      <c r="B81" s="6">
        <v>91.44115796098167</v>
      </c>
      <c r="C81" s="6">
        <v>95.954106280193315</v>
      </c>
      <c r="D81" s="6">
        <v>93.604263824117723</v>
      </c>
      <c r="E81" s="6">
        <v>94.760101010100399</v>
      </c>
      <c r="F81" s="6">
        <v>62.557679630850657</v>
      </c>
      <c r="G81">
        <v>94.812499999999915</v>
      </c>
      <c r="H81" s="6">
        <f t="shared" si="4"/>
        <v>82.534367138650012</v>
      </c>
      <c r="I81" s="6">
        <f t="shared" si="3"/>
        <v>95.383303140096615</v>
      </c>
      <c r="J81" s="6">
        <v>4</v>
      </c>
      <c r="K81" s="6">
        <f t="shared" si="5"/>
        <v>14.153227890531626</v>
      </c>
    </row>
    <row r="82" spans="1:11" x14ac:dyDescent="0.25">
      <c r="A82" s="1"/>
      <c r="J82" s="6"/>
    </row>
    <row r="83" spans="1:11" x14ac:dyDescent="0.25">
      <c r="A83" s="1"/>
      <c r="J83" s="6"/>
    </row>
    <row r="84" spans="1:11" x14ac:dyDescent="0.25">
      <c r="A84" s="1"/>
      <c r="J84" s="6"/>
    </row>
    <row r="85" spans="1:11" x14ac:dyDescent="0.25">
      <c r="A85" s="1"/>
      <c r="J85" s="6"/>
    </row>
    <row r="86" spans="1:11" x14ac:dyDescent="0.25">
      <c r="A86" s="1"/>
      <c r="J86" s="6"/>
    </row>
    <row r="87" spans="1:11" x14ac:dyDescent="0.25">
      <c r="A87" s="1"/>
      <c r="J87" s="6"/>
    </row>
    <row r="88" spans="1:11" x14ac:dyDescent="0.25">
      <c r="A88" s="1"/>
      <c r="J88" s="6"/>
    </row>
    <row r="89" spans="1:11" x14ac:dyDescent="0.25">
      <c r="A89" s="1"/>
      <c r="J89" s="6"/>
    </row>
    <row r="90" spans="1:11" x14ac:dyDescent="0.25">
      <c r="A90" s="1"/>
      <c r="J90" s="6"/>
    </row>
    <row r="91" spans="1:11" x14ac:dyDescent="0.25">
      <c r="A91" s="1"/>
      <c r="J91" s="6"/>
    </row>
    <row r="92" spans="1:11" x14ac:dyDescent="0.25">
      <c r="A92" s="1"/>
      <c r="J92" s="6"/>
    </row>
    <row r="93" spans="1:11" x14ac:dyDescent="0.25">
      <c r="A93" s="1"/>
      <c r="J93" s="6"/>
    </row>
    <row r="94" spans="1:11" x14ac:dyDescent="0.25">
      <c r="A94" s="1"/>
      <c r="J94" s="6"/>
    </row>
    <row r="95" spans="1:11" x14ac:dyDescent="0.25">
      <c r="A95" s="1"/>
      <c r="J95" s="6"/>
    </row>
    <row r="96" spans="1:11" x14ac:dyDescent="0.25">
      <c r="A96" s="1"/>
      <c r="J96" s="6"/>
    </row>
  </sheetData>
  <conditionalFormatting sqref="H2:H81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>iDiv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Horbach, Sophie</dc:creator>
  <cp:lastModifiedBy>Munschek, Marius</cp:lastModifiedBy>
  <dcterms:created xsi:type="dcterms:W3CDTF">2024-09-18T09:47:13Z</dcterms:created>
  <dcterms:modified xsi:type="dcterms:W3CDTF">2025-07-23T08:47:47Z</dcterms:modified>
</cp:coreProperties>
</file>