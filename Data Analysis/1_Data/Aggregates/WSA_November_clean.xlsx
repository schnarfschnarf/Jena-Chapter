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m68tulo\Desktop\Jena Chapter\Data Analysis\1_Data\Aggregates\"/>
    </mc:Choice>
  </mc:AlternateContent>
  <xr:revisionPtr revIDLastSave="0" documentId="13_ncr:1_{B8E10FA1-C393-41A4-B6E6-1BA741480359}" xr6:coauthVersionLast="47" xr6:coauthVersionMax="47" xr10:uidLastSave="{00000000-0000-0000-0000-000000000000}"/>
  <bookViews>
    <workbookView xWindow="-120" yWindow="-120" windowWidth="29040" windowHeight="15720" xr2:uid="{BC0CCBAF-3D64-42AA-9871-21EBB1E9EF22}"/>
  </bookViews>
  <sheets>
    <sheet name="Tabelle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9" i="7" l="1"/>
  <c r="H29" i="7"/>
  <c r="I3" i="7" l="1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66" i="7"/>
  <c r="I67" i="7"/>
  <c r="I68" i="7"/>
  <c r="I69" i="7"/>
  <c r="I70" i="7"/>
  <c r="I71" i="7"/>
  <c r="I72" i="7"/>
  <c r="I73" i="7"/>
  <c r="I74" i="7"/>
  <c r="I75" i="7"/>
  <c r="I76" i="7"/>
  <c r="I77" i="7"/>
  <c r="I78" i="7"/>
  <c r="I79" i="7"/>
  <c r="I80" i="7"/>
  <c r="I81" i="7"/>
  <c r="I2" i="7"/>
  <c r="H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2" i="7"/>
  <c r="K3" i="7" l="1"/>
  <c r="K4" i="7"/>
  <c r="K5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K46" i="7"/>
  <c r="K47" i="7"/>
  <c r="K48" i="7"/>
  <c r="K49" i="7"/>
  <c r="K50" i="7"/>
  <c r="K51" i="7"/>
  <c r="K52" i="7"/>
  <c r="K53" i="7"/>
  <c r="K54" i="7"/>
  <c r="K55" i="7"/>
  <c r="K56" i="7"/>
  <c r="K57" i="7"/>
  <c r="K58" i="7"/>
  <c r="K59" i="7"/>
  <c r="K60" i="7"/>
  <c r="K61" i="7"/>
  <c r="K62" i="7"/>
  <c r="K63" i="7"/>
  <c r="K64" i="7"/>
  <c r="K65" i="7"/>
  <c r="K66" i="7"/>
  <c r="K67" i="7"/>
  <c r="K68" i="7"/>
  <c r="K69" i="7"/>
  <c r="K70" i="7"/>
  <c r="K71" i="7"/>
  <c r="K72" i="7"/>
  <c r="K73" i="7"/>
  <c r="K74" i="7"/>
  <c r="K75" i="7"/>
  <c r="K76" i="7"/>
  <c r="K77" i="7"/>
  <c r="K78" i="7"/>
  <c r="K79" i="7"/>
  <c r="K80" i="7"/>
  <c r="K81" i="7"/>
  <c r="K2" i="7"/>
</calcChain>
</file>

<file path=xl/sharedStrings.xml><?xml version="1.0" encoding="utf-8"?>
<sst xmlns="http://schemas.openxmlformats.org/spreadsheetml/2006/main" count="95" uniqueCount="95">
  <si>
    <t>B1A02</t>
  </si>
  <si>
    <t>B1A05</t>
  </si>
  <si>
    <t>B1A19</t>
  </si>
  <si>
    <t>B2A04</t>
  </si>
  <si>
    <t>B2A05</t>
  </si>
  <si>
    <t>B2A09</t>
  </si>
  <si>
    <t>B2A17</t>
  </si>
  <si>
    <t>B2A20</t>
  </si>
  <si>
    <t>B3A02</t>
  </si>
  <si>
    <t>B3A05</t>
  </si>
  <si>
    <t>B3A14</t>
  </si>
  <si>
    <t>B3A16</t>
  </si>
  <si>
    <t>B3A20</t>
  </si>
  <si>
    <t>B4A01</t>
  </si>
  <si>
    <t>B4A14</t>
  </si>
  <si>
    <t>B4A17</t>
  </si>
  <si>
    <t>WSA (%) first run</t>
  </si>
  <si>
    <t>Aggregates overall (%) first run</t>
  </si>
  <si>
    <t>WSA (%) second run</t>
  </si>
  <si>
    <t>Aggregates overall (%) second run</t>
  </si>
  <si>
    <t>WSA (%) third run</t>
  </si>
  <si>
    <t>Aggregates overall (%) third run</t>
  </si>
  <si>
    <t>SpeciesRichness</t>
  </si>
  <si>
    <t>Mean_WSA</t>
  </si>
  <si>
    <t>WSA_sd</t>
  </si>
  <si>
    <t>B1A01</t>
  </si>
  <si>
    <t>B1A03</t>
  </si>
  <si>
    <t>B1A04</t>
  </si>
  <si>
    <t>B1A06</t>
  </si>
  <si>
    <t>B1A07</t>
  </si>
  <si>
    <t>B1A08</t>
  </si>
  <si>
    <t>B1A11</t>
  </si>
  <si>
    <t>B1A12</t>
  </si>
  <si>
    <t>B1A13</t>
  </si>
  <si>
    <t>B1A14</t>
  </si>
  <si>
    <t>B1A15</t>
  </si>
  <si>
    <t>B1A16</t>
  </si>
  <si>
    <t>B1A17</t>
  </si>
  <si>
    <t>B1A18</t>
  </si>
  <si>
    <t>B1A20</t>
  </si>
  <si>
    <t>B1A21</t>
  </si>
  <si>
    <t>B1A22</t>
  </si>
  <si>
    <t>B2A01</t>
  </si>
  <si>
    <t>B2A02</t>
  </si>
  <si>
    <t>B2A03</t>
  </si>
  <si>
    <t>B2A06</t>
  </si>
  <si>
    <t>B2A08</t>
  </si>
  <si>
    <t>B2A10</t>
  </si>
  <si>
    <t>B2A12</t>
  </si>
  <si>
    <t>B2A13</t>
  </si>
  <si>
    <t>B2A14</t>
  </si>
  <si>
    <t>B2A15</t>
  </si>
  <si>
    <t>B2A16</t>
  </si>
  <si>
    <t>B2A18</t>
  </si>
  <si>
    <t>B2A19</t>
  </si>
  <si>
    <t>B2A21</t>
  </si>
  <si>
    <t>B2A22</t>
  </si>
  <si>
    <t>B3A01</t>
  </si>
  <si>
    <t>B3A03</t>
  </si>
  <si>
    <t>B3A04</t>
  </si>
  <si>
    <t>B3A06</t>
  </si>
  <si>
    <t>B3A07</t>
  </si>
  <si>
    <t>B3A08</t>
  </si>
  <si>
    <t>B3A09</t>
  </si>
  <si>
    <t>B3A11</t>
  </si>
  <si>
    <t>B3A12</t>
  </si>
  <si>
    <t>B3A13</t>
  </si>
  <si>
    <t>B3A17</t>
  </si>
  <si>
    <t>B3A19</t>
  </si>
  <si>
    <t>B3A21</t>
  </si>
  <si>
    <t>B3A22</t>
  </si>
  <si>
    <t>B3A23</t>
  </si>
  <si>
    <t>B3A24</t>
  </si>
  <si>
    <t>B4A02</t>
  </si>
  <si>
    <t>B4A04</t>
  </si>
  <si>
    <t>B4A06</t>
  </si>
  <si>
    <t>B4A07</t>
  </si>
  <si>
    <t>B4A08</t>
  </si>
  <si>
    <t>B4A09</t>
  </si>
  <si>
    <t>B4A10</t>
  </si>
  <si>
    <t>B4A11</t>
  </si>
  <si>
    <t>B4A12</t>
  </si>
  <si>
    <t>B4A13</t>
  </si>
  <si>
    <t>B4A15</t>
  </si>
  <si>
    <t>B4A16</t>
  </si>
  <si>
    <t>B4A18</t>
  </si>
  <si>
    <t>B4A20</t>
  </si>
  <si>
    <t>B4A21</t>
  </si>
  <si>
    <t>B4A22</t>
  </si>
  <si>
    <t>comments</t>
  </si>
  <si>
    <t>no more soil left</t>
  </si>
  <si>
    <t xml:space="preserve">3rd run is a remasurement </t>
  </si>
  <si>
    <t>measured late</t>
  </si>
  <si>
    <t>Plotcode</t>
  </si>
  <si>
    <t>agg_overall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</si>
</sst>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Georgia"/>
      <family val="1"/>
    </font>
    <font>
      <sz val="18"/>
      <color theme="1"/>
      <name val="Calibri"/>
      <family val="2"/>
      <scheme val="minor"/>
    </font>
    <font>
      <sz val="18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horizontal="center" vertical="center" wrapText="1"/>
    </xf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2" fillId="2" borderId="0" xfId="0" applyFont="1" applyFill="1"/>
    <xf numFmtId="0" fontId="0" fillId="3" borderId="0" xfId="0" applyFill="1"/>
    <xf numFmtId="0" fontId="1" fillId="0" borderId="2" xfId="0" applyFont="1" applyBorder="1" applyAlignment="1">
      <alignment horizontal="center" vertical="center" wrapText="1"/>
    </xf>
    <xf numFmtId="0" fontId="0" fillId="0" borderId="0" xfId="0" applyFill="1"/>
    <xf numFmtId="0" fontId="1" fillId="0" borderId="0" xfId="0" applyFont="1" applyFill="1" applyBorder="1" applyAlignment="1">
      <alignment horizontal="center" vertical="center" wrapText="1"/>
    </xf>
    <xf numFmtId="49" fontId="1" fillId="0" borderId="0" xfId="0" applyNumberFormat="1" applyFont="1" applyFill="1" applyBorder="1" applyAlignment="1">
      <alignment horizontal="center" vertical="center" wrapText="1"/>
    </xf>
    <xf numFmtId="0" fontId="0" fillId="0" borderId="0" xfId="0" applyBorder="1"/>
    <xf numFmtId="49" fontId="1" fillId="0" borderId="0" xfId="0" applyNumberFormat="1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0" fillId="0" borderId="0" xfId="0" applyFill="1" applyBorder="1"/>
    <xf numFmtId="0" fontId="3" fillId="0" borderId="0" xfId="0" applyFont="1" applyBorder="1" applyAlignment="1">
      <alignment horizontal="left" vertical="top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59C97-A3F4-4299-9EF2-A3946D000391}">
  <dimension ref="A1:Q161"/>
  <sheetViews>
    <sheetView tabSelected="1" zoomScale="50" zoomScaleNormal="50" workbookViewId="0">
      <selection activeCell="U9" sqref="U9"/>
    </sheetView>
  </sheetViews>
  <sheetFormatPr defaultColWidth="11.42578125" defaultRowHeight="15" x14ac:dyDescent="0.25"/>
  <cols>
    <col min="4" max="5" width="10.85546875" style="9"/>
    <col min="12" max="12" width="19.28515625" customWidth="1"/>
    <col min="13" max="13" width="25.42578125" customWidth="1"/>
  </cols>
  <sheetData>
    <row r="1" spans="1:16" ht="90" x14ac:dyDescent="0.25">
      <c r="A1" s="2" t="s">
        <v>93</v>
      </c>
      <c r="B1" s="2" t="s">
        <v>16</v>
      </c>
      <c r="C1" s="2" t="s">
        <v>17</v>
      </c>
      <c r="D1" s="18" t="s">
        <v>18</v>
      </c>
      <c r="E1" s="18" t="s">
        <v>19</v>
      </c>
      <c r="F1" s="2" t="s">
        <v>20</v>
      </c>
      <c r="G1" s="2" t="s">
        <v>21</v>
      </c>
      <c r="H1" s="8" t="s">
        <v>23</v>
      </c>
      <c r="I1" s="8" t="s">
        <v>94</v>
      </c>
      <c r="J1" s="8" t="s">
        <v>22</v>
      </c>
      <c r="K1" s="8" t="s">
        <v>24</v>
      </c>
      <c r="L1" s="17" t="s">
        <v>89</v>
      </c>
    </row>
    <row r="2" spans="1:16" ht="23.25" x14ac:dyDescent="0.35">
      <c r="A2" s="1" t="s">
        <v>25</v>
      </c>
      <c r="B2" s="3">
        <v>87.1955462769657</v>
      </c>
      <c r="C2" s="3">
        <v>89.812500000000199</v>
      </c>
      <c r="D2" s="9">
        <v>86.334519572953894</v>
      </c>
      <c r="E2" s="9">
        <v>88.699494949494124</v>
      </c>
      <c r="F2" s="3">
        <v>94.401679496150663</v>
      </c>
      <c r="G2" s="3">
        <v>89.312499999999943</v>
      </c>
      <c r="H2" s="12">
        <f>AVERAGE(B2,D2,F2)</f>
        <v>89.310581782023419</v>
      </c>
      <c r="I2" s="12">
        <f>AVERAGE(C2,E2,G2)</f>
        <v>89.274831649831413</v>
      </c>
      <c r="J2" s="3">
        <v>16</v>
      </c>
      <c r="K2" s="12">
        <f>STDEV(B2,D2,F2)</f>
        <v>4.4299885662774683</v>
      </c>
      <c r="L2" s="12"/>
      <c r="M2" s="5"/>
      <c r="N2" s="12"/>
      <c r="O2" s="12"/>
      <c r="P2" s="12"/>
    </row>
    <row r="3" spans="1:16" ht="23.25" x14ac:dyDescent="0.35">
      <c r="A3" s="1" t="s">
        <v>0</v>
      </c>
      <c r="B3" s="3">
        <v>89.340439706861957</v>
      </c>
      <c r="C3" s="3">
        <v>92.426108374384356</v>
      </c>
      <c r="D3" s="9">
        <v>85.605536332179724</v>
      </c>
      <c r="E3" s="9">
        <v>90.312500000000455</v>
      </c>
      <c r="F3" s="3">
        <v>87.000677048070699</v>
      </c>
      <c r="G3" s="3">
        <v>90.060975609756156</v>
      </c>
      <c r="H3" s="12">
        <f t="shared" ref="H3:H66" si="0">AVERAGE(B3,D3,F3)</f>
        <v>87.315551029037465</v>
      </c>
      <c r="I3" s="12">
        <f t="shared" ref="I3:I66" si="1">AVERAGE(C3,E3,G3)</f>
        <v>90.933194661380313</v>
      </c>
      <c r="J3" s="7">
        <v>8</v>
      </c>
      <c r="K3" s="12">
        <f t="shared" ref="K3:K66" si="2">STDEV(B3,D3,F3)</f>
        <v>1.8872559504398376</v>
      </c>
      <c r="L3" s="12"/>
      <c r="M3" s="10"/>
      <c r="N3" s="12"/>
      <c r="O3" s="12"/>
      <c r="P3" s="12"/>
    </row>
    <row r="4" spans="1:16" ht="23.25" x14ac:dyDescent="0.35">
      <c r="A4" s="1" t="s">
        <v>26</v>
      </c>
      <c r="B4" s="3">
        <v>73.807829181494995</v>
      </c>
      <c r="C4" s="3">
        <v>87.375621890547151</v>
      </c>
      <c r="D4" s="9">
        <v>83.492999263080208</v>
      </c>
      <c r="E4" s="9">
        <v>83.559113300492399</v>
      </c>
      <c r="F4" s="3">
        <v>77.174669450243627</v>
      </c>
      <c r="G4" s="3">
        <v>88.923267326732159</v>
      </c>
      <c r="H4" s="12">
        <f t="shared" si="0"/>
        <v>78.158499298272943</v>
      </c>
      <c r="I4" s="12">
        <f t="shared" si="1"/>
        <v>86.61933417259057</v>
      </c>
      <c r="J4" s="7">
        <v>8</v>
      </c>
      <c r="K4" s="12">
        <f t="shared" si="2"/>
        <v>4.9169676381600649</v>
      </c>
      <c r="L4" s="12"/>
      <c r="M4" s="13"/>
      <c r="N4" s="12"/>
      <c r="O4" s="12"/>
      <c r="P4" s="12"/>
    </row>
    <row r="5" spans="1:16" ht="23.25" x14ac:dyDescent="0.35">
      <c r="A5" s="1" t="s">
        <v>27</v>
      </c>
      <c r="B5" s="3">
        <v>68.066070199586903</v>
      </c>
      <c r="C5" s="3">
        <v>92.665816326529878</v>
      </c>
      <c r="D5" s="9">
        <v>72.568229531140702</v>
      </c>
      <c r="E5" s="9">
        <v>90.672588832486525</v>
      </c>
      <c r="F5" s="3">
        <v>74.264202600958384</v>
      </c>
      <c r="G5" s="3">
        <v>91.771356783919856</v>
      </c>
      <c r="H5" s="12">
        <f t="shared" si="0"/>
        <v>71.632834110562001</v>
      </c>
      <c r="I5" s="12">
        <f t="shared" si="1"/>
        <v>91.703253980978772</v>
      </c>
      <c r="J5" s="3">
        <v>4</v>
      </c>
      <c r="K5" s="12">
        <f t="shared" si="2"/>
        <v>3.2031913400330088</v>
      </c>
      <c r="L5" s="12"/>
      <c r="M5" s="5"/>
      <c r="N5" s="12"/>
      <c r="O5" s="12"/>
      <c r="P5" s="12"/>
    </row>
    <row r="6" spans="1:16" ht="23.25" x14ac:dyDescent="0.35">
      <c r="A6" s="1" t="s">
        <v>1</v>
      </c>
      <c r="B6" s="3">
        <v>76.582709326072504</v>
      </c>
      <c r="C6" s="3">
        <v>91.355721393034642</v>
      </c>
      <c r="D6" s="9">
        <v>66.964900206469153</v>
      </c>
      <c r="E6" s="9">
        <v>88.597560975610463</v>
      </c>
      <c r="F6" s="3">
        <v>62.560220233998244</v>
      </c>
      <c r="G6" s="3">
        <v>93.141025641025649</v>
      </c>
      <c r="H6" s="12">
        <f t="shared" si="0"/>
        <v>68.702609922179974</v>
      </c>
      <c r="I6" s="12">
        <f t="shared" si="1"/>
        <v>91.031436003223575</v>
      </c>
      <c r="J6" s="7">
        <v>2</v>
      </c>
      <c r="K6" s="12">
        <f t="shared" si="2"/>
        <v>7.1709327410311285</v>
      </c>
      <c r="L6" s="12"/>
      <c r="M6" s="5"/>
      <c r="N6" s="12"/>
      <c r="O6" s="12"/>
      <c r="P6" s="12"/>
    </row>
    <row r="7" spans="1:16" ht="23.25" x14ac:dyDescent="0.35">
      <c r="A7" s="1" t="s">
        <v>28</v>
      </c>
      <c r="B7" s="3">
        <v>87.544232130219484</v>
      </c>
      <c r="C7" s="3">
        <v>88.312500000000142</v>
      </c>
      <c r="D7" s="9">
        <v>88.988300068823051</v>
      </c>
      <c r="E7" s="9">
        <v>90.812500000000711</v>
      </c>
      <c r="F7" s="3">
        <v>86.903914590747092</v>
      </c>
      <c r="G7" s="3">
        <v>88.699494949494834</v>
      </c>
      <c r="H7" s="12">
        <f t="shared" si="0"/>
        <v>87.812148929929876</v>
      </c>
      <c r="I7" s="12">
        <f t="shared" si="1"/>
        <v>89.27483164983191</v>
      </c>
      <c r="J7" s="3">
        <v>16</v>
      </c>
      <c r="K7" s="12">
        <f t="shared" si="2"/>
        <v>1.0677079488225136</v>
      </c>
      <c r="L7" s="12"/>
      <c r="M7" s="5"/>
      <c r="N7" s="12"/>
      <c r="O7" s="12"/>
      <c r="P7" s="12"/>
    </row>
    <row r="8" spans="1:16" ht="30" x14ac:dyDescent="0.35">
      <c r="A8" s="1" t="s">
        <v>29</v>
      </c>
      <c r="B8" s="3">
        <v>74.665728360309586</v>
      </c>
      <c r="C8" s="3">
        <v>89.709595959596356</v>
      </c>
      <c r="D8" s="9">
        <v>76.747404844291282</v>
      </c>
      <c r="E8" s="9">
        <v>90.312499999999744</v>
      </c>
      <c r="F8" s="9">
        <v>70.978781656399519</v>
      </c>
      <c r="G8" s="9">
        <v>90.408415841583704</v>
      </c>
      <c r="H8" s="12">
        <f t="shared" si="0"/>
        <v>74.130638287000124</v>
      </c>
      <c r="I8" s="12">
        <f t="shared" si="1"/>
        <v>90.143503933726606</v>
      </c>
      <c r="J8" s="7">
        <v>2</v>
      </c>
      <c r="K8" s="12">
        <f t="shared" si="2"/>
        <v>2.9213001233845128</v>
      </c>
      <c r="L8" s="5" t="s">
        <v>91</v>
      </c>
      <c r="N8" s="12"/>
      <c r="O8" s="12"/>
      <c r="P8" s="12"/>
    </row>
    <row r="9" spans="1:16" ht="23.25" x14ac:dyDescent="0.35">
      <c r="A9" s="1" t="s">
        <v>30</v>
      </c>
      <c r="B9" s="3">
        <v>74.811772758385075</v>
      </c>
      <c r="C9" s="3">
        <v>92.23484848484874</v>
      </c>
      <c r="D9" s="9">
        <v>76.65480427046279</v>
      </c>
      <c r="E9" s="9">
        <v>87.375621890547151</v>
      </c>
      <c r="F9" s="3">
        <v>85.763175906912835</v>
      </c>
      <c r="G9" s="3">
        <v>90.408415841584414</v>
      </c>
      <c r="H9" s="12">
        <f t="shared" si="0"/>
        <v>79.076584311920229</v>
      </c>
      <c r="I9" s="12">
        <f t="shared" si="1"/>
        <v>90.006295405660111</v>
      </c>
      <c r="J9" s="3">
        <v>1</v>
      </c>
      <c r="K9" s="12">
        <f t="shared" si="2"/>
        <v>5.863622741726922</v>
      </c>
      <c r="L9" s="12"/>
      <c r="M9" s="5"/>
      <c r="N9" s="12"/>
      <c r="O9" s="12"/>
      <c r="P9" s="12"/>
    </row>
    <row r="10" spans="1:16" ht="23.25" x14ac:dyDescent="0.35">
      <c r="A10" s="1" t="s">
        <v>31</v>
      </c>
      <c r="B10" s="3">
        <v>82.573179033356354</v>
      </c>
      <c r="C10" s="3">
        <v>92.739898989898791</v>
      </c>
      <c r="D10" s="9">
        <v>92.375765827093275</v>
      </c>
      <c r="E10" s="9">
        <v>91.355721393035338</v>
      </c>
      <c r="F10" s="3">
        <v>88.753993610223063</v>
      </c>
      <c r="G10" s="3">
        <v>95.894607843137976</v>
      </c>
      <c r="H10" s="12">
        <f t="shared" si="0"/>
        <v>87.900979490224231</v>
      </c>
      <c r="I10" s="12">
        <f t="shared" si="1"/>
        <v>93.330076075357354</v>
      </c>
      <c r="J10" s="3">
        <v>16</v>
      </c>
      <c r="K10" s="12">
        <f t="shared" si="2"/>
        <v>4.9566522753643323</v>
      </c>
      <c r="L10" s="12"/>
      <c r="M10" s="5"/>
      <c r="N10" s="12"/>
      <c r="O10" s="12"/>
      <c r="P10" s="12"/>
    </row>
    <row r="11" spans="1:16" ht="23.25" x14ac:dyDescent="0.35">
      <c r="A11" s="1" t="s">
        <v>32</v>
      </c>
      <c r="B11" s="3">
        <v>69.336071184120428</v>
      </c>
      <c r="C11" s="3">
        <v>90.858208955224143</v>
      </c>
      <c r="D11" s="9">
        <v>72.136637642331053</v>
      </c>
      <c r="E11" s="9">
        <v>93.312499999999858</v>
      </c>
      <c r="F11" s="3">
        <v>77.046885934219304</v>
      </c>
      <c r="G11" s="3">
        <v>89.761306532663966</v>
      </c>
      <c r="H11" s="12">
        <f t="shared" si="0"/>
        <v>72.83986492022359</v>
      </c>
      <c r="I11" s="12">
        <f t="shared" si="1"/>
        <v>91.310671829295984</v>
      </c>
      <c r="J11" s="7">
        <v>8</v>
      </c>
      <c r="K11" s="12">
        <f t="shared" si="2"/>
        <v>3.9032118160387754</v>
      </c>
      <c r="L11" s="12"/>
      <c r="M11" s="5"/>
      <c r="N11" s="12"/>
      <c r="O11" s="12"/>
      <c r="P11" s="12"/>
    </row>
    <row r="12" spans="1:16" ht="23.25" x14ac:dyDescent="0.35">
      <c r="A12" s="1" t="s">
        <v>33</v>
      </c>
      <c r="B12" s="3">
        <v>57.508196721311435</v>
      </c>
      <c r="C12" s="3">
        <v>93.443627450980543</v>
      </c>
      <c r="D12" s="9">
        <v>60.768721007289258</v>
      </c>
      <c r="E12" s="9">
        <v>92.463235294118007</v>
      </c>
      <c r="F12" s="3">
        <v>71.530249110320483</v>
      </c>
      <c r="G12" s="3">
        <v>88.253768844221696</v>
      </c>
      <c r="H12" s="12">
        <f t="shared" si="0"/>
        <v>63.269055612973723</v>
      </c>
      <c r="I12" s="12">
        <f t="shared" si="1"/>
        <v>91.386877196440082</v>
      </c>
      <c r="J12" s="3">
        <v>4</v>
      </c>
      <c r="K12" s="12">
        <f t="shared" si="2"/>
        <v>7.337795524223611</v>
      </c>
      <c r="L12" s="15"/>
      <c r="M12" s="10"/>
      <c r="N12" s="12"/>
      <c r="O12" s="12"/>
      <c r="P12" s="12"/>
    </row>
    <row r="13" spans="1:16" ht="23.25" x14ac:dyDescent="0.35">
      <c r="A13" s="1" t="s">
        <v>34</v>
      </c>
      <c r="B13" s="3">
        <v>82.820329277022282</v>
      </c>
      <c r="C13" s="3">
        <v>86.448019801979825</v>
      </c>
      <c r="D13" s="9">
        <v>77.046885934219915</v>
      </c>
      <c r="E13" s="9">
        <v>87.134146341463364</v>
      </c>
      <c r="F13" s="3">
        <v>82.699478001491187</v>
      </c>
      <c r="G13" s="3">
        <v>83.812500000000682</v>
      </c>
      <c r="H13" s="12">
        <f t="shared" si="0"/>
        <v>80.855564404244447</v>
      </c>
      <c r="I13" s="12">
        <f t="shared" si="1"/>
        <v>85.798222047814633</v>
      </c>
      <c r="J13" s="7">
        <v>8</v>
      </c>
      <c r="K13" s="12">
        <f t="shared" si="2"/>
        <v>3.2989657506134797</v>
      </c>
      <c r="L13" s="15"/>
      <c r="M13" s="10"/>
      <c r="N13" s="12"/>
      <c r="O13" s="12"/>
      <c r="P13" s="12"/>
    </row>
    <row r="14" spans="1:16" ht="23.25" x14ac:dyDescent="0.35">
      <c r="A14" s="1" t="s">
        <v>35</v>
      </c>
      <c r="B14" s="3">
        <v>60.884125920964991</v>
      </c>
      <c r="C14" s="3">
        <v>94.255050505050349</v>
      </c>
      <c r="D14" s="9">
        <v>57.867694283879075</v>
      </c>
      <c r="E14" s="9">
        <v>95.404411764706353</v>
      </c>
      <c r="F14" s="3">
        <v>62.118380062304993</v>
      </c>
      <c r="G14" s="3">
        <v>97.865853658536494</v>
      </c>
      <c r="H14" s="12">
        <f t="shared" si="0"/>
        <v>60.29006675571636</v>
      </c>
      <c r="I14" s="12">
        <f t="shared" si="1"/>
        <v>95.841771976097732</v>
      </c>
      <c r="J14" s="3">
        <v>1</v>
      </c>
      <c r="K14" s="12">
        <f t="shared" si="2"/>
        <v>2.1867240602302842</v>
      </c>
      <c r="L14" s="15"/>
      <c r="M14" s="10"/>
      <c r="N14" s="12"/>
      <c r="O14" s="12"/>
      <c r="P14" s="12"/>
    </row>
    <row r="15" spans="1:16" ht="23.25" x14ac:dyDescent="0.35">
      <c r="A15" s="1" t="s">
        <v>36</v>
      </c>
      <c r="B15" s="3">
        <v>70.622950819672056</v>
      </c>
      <c r="C15" s="3">
        <v>94.368811881188293</v>
      </c>
      <c r="D15" s="9">
        <v>69.457468184863018</v>
      </c>
      <c r="E15" s="9">
        <v>95.705128205128048</v>
      </c>
      <c r="F15" s="3">
        <v>71.373801916933317</v>
      </c>
      <c r="G15" s="3">
        <v>95.426829268292025</v>
      </c>
      <c r="H15" s="12">
        <f t="shared" si="0"/>
        <v>70.48474030715613</v>
      </c>
      <c r="I15" s="12">
        <f t="shared" si="1"/>
        <v>95.166923118202774</v>
      </c>
      <c r="J15" s="7">
        <v>2</v>
      </c>
      <c r="K15" s="12">
        <f t="shared" si="2"/>
        <v>0.96561397695717754</v>
      </c>
      <c r="L15" s="15"/>
      <c r="M15" s="10"/>
      <c r="N15" s="12"/>
      <c r="O15" s="12"/>
      <c r="P15" s="12"/>
    </row>
    <row r="16" spans="1:16" ht="23.25" x14ac:dyDescent="0.35">
      <c r="A16" s="1" t="s">
        <v>37</v>
      </c>
      <c r="B16" s="3">
        <v>69.049180327868726</v>
      </c>
      <c r="C16" s="3">
        <v>93.903940886699672</v>
      </c>
      <c r="D16" s="9">
        <v>67.813108371187298</v>
      </c>
      <c r="E16" s="9">
        <v>94.889162561576342</v>
      </c>
      <c r="F16" s="3">
        <v>66.422385076615882</v>
      </c>
      <c r="G16" s="3">
        <v>93.345771144278729</v>
      </c>
      <c r="H16" s="12">
        <f t="shared" si="0"/>
        <v>67.761557925223968</v>
      </c>
      <c r="I16" s="12">
        <f t="shared" si="1"/>
        <v>94.04629153085159</v>
      </c>
      <c r="J16" s="7">
        <v>2</v>
      </c>
      <c r="K16" s="12">
        <f t="shared" si="2"/>
        <v>1.3141561586662318</v>
      </c>
      <c r="L16" s="15"/>
      <c r="M16" s="10"/>
      <c r="N16" s="12"/>
      <c r="O16" s="12"/>
      <c r="P16" s="12"/>
    </row>
    <row r="17" spans="1:17" ht="23.25" x14ac:dyDescent="0.35">
      <c r="A17" s="1" t="s">
        <v>38</v>
      </c>
      <c r="B17" s="3">
        <v>76.582709326072333</v>
      </c>
      <c r="C17" s="3">
        <v>92.73989898989808</v>
      </c>
      <c r="D17" s="9">
        <v>77.157689811810457</v>
      </c>
      <c r="E17" s="9">
        <v>94.424019607842396</v>
      </c>
      <c r="F17" s="3">
        <v>78.08219178082193</v>
      </c>
      <c r="G17" s="3">
        <v>93.93382352941218</v>
      </c>
      <c r="H17" s="12">
        <f t="shared" si="0"/>
        <v>77.274196972901564</v>
      </c>
      <c r="I17" s="12">
        <f t="shared" si="1"/>
        <v>93.699247375717547</v>
      </c>
      <c r="J17" s="3">
        <v>1</v>
      </c>
      <c r="K17" s="12">
        <f t="shared" si="2"/>
        <v>0.75650006408763937</v>
      </c>
      <c r="L17" s="15"/>
      <c r="M17" s="10"/>
      <c r="N17" s="12"/>
      <c r="O17" s="12"/>
      <c r="P17" s="12"/>
    </row>
    <row r="18" spans="1:17" ht="23.25" x14ac:dyDescent="0.35">
      <c r="A18" s="1" t="s">
        <v>2</v>
      </c>
      <c r="B18" s="3">
        <v>46.666666666666941</v>
      </c>
      <c r="C18" s="3">
        <v>98.830049261083659</v>
      </c>
      <c r="D18" s="9">
        <v>56.391953277092931</v>
      </c>
      <c r="E18" s="9">
        <v>96.796482412060982</v>
      </c>
      <c r="F18" s="3">
        <v>61.904761904761862</v>
      </c>
      <c r="G18" s="3">
        <v>95.812500000000426</v>
      </c>
      <c r="H18" s="12">
        <f t="shared" si="0"/>
        <v>54.98779394950725</v>
      </c>
      <c r="I18" s="12">
        <f t="shared" si="1"/>
        <v>97.146343891048375</v>
      </c>
      <c r="J18" s="3">
        <v>4</v>
      </c>
      <c r="K18" s="12">
        <f t="shared" si="2"/>
        <v>7.7154801655014698</v>
      </c>
      <c r="L18" s="15"/>
      <c r="M18" s="10"/>
      <c r="N18" s="12"/>
      <c r="O18" s="12"/>
      <c r="P18" s="12"/>
    </row>
    <row r="19" spans="1:17" ht="23.25" x14ac:dyDescent="0.35">
      <c r="A19" s="1" t="s">
        <v>39</v>
      </c>
      <c r="B19" s="3">
        <v>85.851142225497682</v>
      </c>
      <c r="C19" s="3">
        <v>83.972772277227492</v>
      </c>
      <c r="D19" s="9">
        <v>82.991647684130513</v>
      </c>
      <c r="E19" s="9">
        <v>82.312499999999915</v>
      </c>
      <c r="F19" s="3">
        <v>85.421412300683542</v>
      </c>
      <c r="G19" s="3">
        <v>81.497524752474462</v>
      </c>
      <c r="H19" s="12">
        <f t="shared" si="0"/>
        <v>84.754734070103908</v>
      </c>
      <c r="I19" s="12">
        <f t="shared" si="1"/>
        <v>82.594265676567304</v>
      </c>
      <c r="J19" s="3">
        <v>16</v>
      </c>
      <c r="K19" s="12">
        <f t="shared" si="2"/>
        <v>1.5419215788663669</v>
      </c>
      <c r="L19" s="15"/>
      <c r="M19" s="10"/>
      <c r="N19" s="12"/>
      <c r="O19" s="12"/>
      <c r="P19" s="12"/>
    </row>
    <row r="20" spans="1:17" ht="23.25" x14ac:dyDescent="0.35">
      <c r="A20" s="1" t="s">
        <v>40</v>
      </c>
      <c r="B20" s="3">
        <v>72.525252525252341</v>
      </c>
      <c r="C20" s="3">
        <v>92.812500000000313</v>
      </c>
      <c r="D20" s="9">
        <v>69.940672379696352</v>
      </c>
      <c r="E20" s="9">
        <v>96.256345177664883</v>
      </c>
      <c r="F20" s="3">
        <v>70.739299610894236</v>
      </c>
      <c r="G20" s="3">
        <v>92.313218390804948</v>
      </c>
      <c r="H20" s="12">
        <f t="shared" si="0"/>
        <v>71.068408171947638</v>
      </c>
      <c r="I20" s="12">
        <f t="shared" si="1"/>
        <v>93.794021189490039</v>
      </c>
      <c r="J20" s="3">
        <v>4</v>
      </c>
      <c r="K20" s="12">
        <f t="shared" si="2"/>
        <v>1.3233472582506596</v>
      </c>
      <c r="L20" s="15"/>
      <c r="M20" s="10"/>
      <c r="N20" s="12"/>
      <c r="O20" s="12"/>
      <c r="P20" s="12"/>
    </row>
    <row r="21" spans="1:17" ht="23.25" x14ac:dyDescent="0.35">
      <c r="A21" s="1" t="s">
        <v>41</v>
      </c>
      <c r="B21" s="3">
        <v>87.474472430225177</v>
      </c>
      <c r="C21" s="3">
        <v>92.739898989898791</v>
      </c>
      <c r="D21" s="9">
        <v>86.604152712659058</v>
      </c>
      <c r="E21" s="9">
        <v>94.733502538070923</v>
      </c>
      <c r="F21" s="3">
        <v>89.617131732640999</v>
      </c>
      <c r="G21" s="3">
        <v>94.889162561576342</v>
      </c>
      <c r="H21" s="12">
        <f t="shared" si="0"/>
        <v>87.898585625175073</v>
      </c>
      <c r="I21" s="12">
        <f t="shared" si="1"/>
        <v>94.120854696515337</v>
      </c>
      <c r="J21" s="7">
        <v>60</v>
      </c>
      <c r="K21" s="12">
        <f t="shared" si="2"/>
        <v>1.5506175045157959</v>
      </c>
      <c r="L21" s="15"/>
      <c r="M21" s="10"/>
      <c r="N21" s="12"/>
      <c r="O21" s="12"/>
      <c r="P21" s="12"/>
    </row>
    <row r="22" spans="1:17" ht="23.25" x14ac:dyDescent="0.35">
      <c r="A22" s="1" t="s">
        <v>42</v>
      </c>
      <c r="B22" s="3">
        <v>87.60942760942801</v>
      </c>
      <c r="C22" s="3">
        <v>92.812499999998892</v>
      </c>
      <c r="D22" s="9">
        <v>88.807461692204782</v>
      </c>
      <c r="E22" s="9">
        <v>92.883663366336748</v>
      </c>
      <c r="F22" s="3">
        <v>91.034937376400691</v>
      </c>
      <c r="G22" s="3">
        <v>93.873762376237536</v>
      </c>
      <c r="H22" s="12">
        <f t="shared" si="0"/>
        <v>89.150608892677838</v>
      </c>
      <c r="I22" s="12">
        <f t="shared" si="1"/>
        <v>93.189975247524387</v>
      </c>
      <c r="J22" s="3">
        <v>4</v>
      </c>
      <c r="K22" s="12">
        <f t="shared" si="2"/>
        <v>1.7383445549719636</v>
      </c>
      <c r="L22" s="15"/>
      <c r="M22" s="10"/>
      <c r="N22" s="12"/>
      <c r="O22" s="12"/>
      <c r="P22" s="12"/>
    </row>
    <row r="23" spans="1:17" ht="23.25" x14ac:dyDescent="0.35">
      <c r="A23" s="1" t="s">
        <v>43</v>
      </c>
      <c r="B23" s="3">
        <v>79.417738659445078</v>
      </c>
      <c r="C23" s="3">
        <v>91.853233830845838</v>
      </c>
      <c r="D23" s="9">
        <v>79.528619528619686</v>
      </c>
      <c r="E23" s="9">
        <v>93.749999999999602</v>
      </c>
      <c r="F23" s="3">
        <v>80.989081567116557</v>
      </c>
      <c r="G23" s="3">
        <v>95.874384236452286</v>
      </c>
      <c r="H23" s="12">
        <f t="shared" si="0"/>
        <v>79.978479918393774</v>
      </c>
      <c r="I23" s="12">
        <f t="shared" si="1"/>
        <v>93.825872689099242</v>
      </c>
      <c r="J23" s="7">
        <v>2</v>
      </c>
      <c r="K23" s="12">
        <f t="shared" si="2"/>
        <v>0.87696089484545148</v>
      </c>
      <c r="L23" s="15"/>
      <c r="M23" s="10"/>
      <c r="N23" s="12"/>
      <c r="O23" s="12"/>
      <c r="P23" s="12"/>
    </row>
    <row r="24" spans="1:17" ht="23.25" x14ac:dyDescent="0.35">
      <c r="A24" s="1" t="s">
        <v>44</v>
      </c>
      <c r="B24" s="3">
        <v>87.609427609427442</v>
      </c>
      <c r="C24" s="3">
        <v>93.750000000000313</v>
      </c>
      <c r="D24" s="9">
        <v>90.588235294117524</v>
      </c>
      <c r="E24" s="9">
        <v>90.766331658291193</v>
      </c>
      <c r="F24" s="3">
        <v>85.532484929671341</v>
      </c>
      <c r="G24" s="3">
        <v>94.255050505051074</v>
      </c>
      <c r="H24" s="12">
        <f t="shared" si="0"/>
        <v>87.910049277738764</v>
      </c>
      <c r="I24" s="12">
        <f t="shared" si="1"/>
        <v>92.923794054447526</v>
      </c>
      <c r="J24" s="7">
        <v>60</v>
      </c>
      <c r="K24" s="12">
        <f t="shared" si="2"/>
        <v>2.5412463433309931</v>
      </c>
      <c r="L24" s="15"/>
      <c r="M24" s="10"/>
      <c r="N24" s="12"/>
      <c r="O24" s="12"/>
      <c r="P24" s="12"/>
    </row>
    <row r="25" spans="1:17" ht="23.25" x14ac:dyDescent="0.35">
      <c r="A25" s="1" t="s">
        <v>3</v>
      </c>
      <c r="B25" s="3">
        <v>64.399237126509817</v>
      </c>
      <c r="C25" s="3">
        <v>95.914634146341754</v>
      </c>
      <c r="D25" s="9">
        <v>58.032786885246125</v>
      </c>
      <c r="E25" s="9">
        <v>95.791457286432319</v>
      </c>
      <c r="F25" s="3">
        <v>68.88595912986159</v>
      </c>
      <c r="G25" s="3">
        <v>94.340796019901134</v>
      </c>
      <c r="H25" s="12">
        <f t="shared" si="0"/>
        <v>63.772661047205844</v>
      </c>
      <c r="I25" s="12">
        <f t="shared" si="1"/>
        <v>95.348962484225069</v>
      </c>
      <c r="J25" s="3">
        <v>1</v>
      </c>
      <c r="K25" s="12">
        <f t="shared" si="2"/>
        <v>5.4536487905062083</v>
      </c>
      <c r="L25" s="12"/>
      <c r="M25" s="13"/>
      <c r="N25" s="12"/>
      <c r="O25" s="12"/>
      <c r="P25" s="12"/>
    </row>
    <row r="26" spans="1:17" ht="23.25" x14ac:dyDescent="0.35">
      <c r="A26" s="1" t="s">
        <v>4</v>
      </c>
      <c r="B26" s="3">
        <v>82.504970178926598</v>
      </c>
      <c r="C26" s="3">
        <v>91.565533980582885</v>
      </c>
      <c r="D26" s="9">
        <v>72.918077183480051</v>
      </c>
      <c r="E26" s="9">
        <v>93.244949494949552</v>
      </c>
      <c r="F26" s="5">
        <v>74.951076320939237</v>
      </c>
      <c r="G26" s="12">
        <v>93.93382352941218</v>
      </c>
      <c r="H26" s="12">
        <f t="shared" si="0"/>
        <v>76.79137456111529</v>
      </c>
      <c r="I26" s="12">
        <f t="shared" si="1"/>
        <v>92.91476900164821</v>
      </c>
      <c r="J26" s="3">
        <v>1</v>
      </c>
      <c r="K26" s="12">
        <f>STDEV(B26,D26,P26)</f>
        <v>6.7789570475900671</v>
      </c>
      <c r="L26" s="12"/>
      <c r="O26" s="12"/>
      <c r="P26" s="3"/>
      <c r="Q26" s="3"/>
    </row>
    <row r="27" spans="1:17" ht="23.25" x14ac:dyDescent="0.35">
      <c r="A27" s="1" t="s">
        <v>45</v>
      </c>
      <c r="B27" s="3">
        <v>85.609593604263395</v>
      </c>
      <c r="C27" s="3">
        <v>94.760101010101835</v>
      </c>
      <c r="D27" s="9">
        <v>86.310746064339526</v>
      </c>
      <c r="E27" s="9">
        <v>91.312500000000256</v>
      </c>
      <c r="F27">
        <v>84.120465434633516</v>
      </c>
      <c r="G27">
        <v>91.312500000000256</v>
      </c>
      <c r="H27" s="12">
        <f t="shared" si="0"/>
        <v>85.346935034412141</v>
      </c>
      <c r="I27" s="12">
        <f t="shared" si="1"/>
        <v>92.461700336700787</v>
      </c>
      <c r="J27" s="3">
        <v>4</v>
      </c>
      <c r="K27" s="12">
        <f t="shared" si="2"/>
        <v>1.1185143952822272</v>
      </c>
      <c r="L27" s="12"/>
      <c r="M27" s="13"/>
      <c r="N27" s="12"/>
      <c r="O27" s="12"/>
      <c r="P27" s="12"/>
    </row>
    <row r="28" spans="1:17" ht="23.25" x14ac:dyDescent="0.35">
      <c r="A28" s="1" t="s">
        <v>46</v>
      </c>
      <c r="B28" s="3">
        <v>79.417738659445078</v>
      </c>
      <c r="C28" s="3">
        <v>93.244949494949552</v>
      </c>
      <c r="D28" s="9">
        <v>78.019169329073137</v>
      </c>
      <c r="E28" s="9">
        <v>95.89460784313728</v>
      </c>
      <c r="F28" s="3">
        <v>79.854208084824549</v>
      </c>
      <c r="G28" s="3">
        <v>93.843283582089214</v>
      </c>
      <c r="H28" s="12">
        <f t="shared" si="0"/>
        <v>79.097038691114264</v>
      </c>
      <c r="I28" s="12">
        <f t="shared" si="1"/>
        <v>94.327613640058686</v>
      </c>
      <c r="J28" s="7">
        <v>2</v>
      </c>
      <c r="K28" s="12">
        <f t="shared" si="2"/>
        <v>0.95863348629336242</v>
      </c>
      <c r="L28" s="12"/>
      <c r="M28" s="5"/>
      <c r="N28" s="12"/>
      <c r="O28" s="12"/>
      <c r="P28" s="12"/>
    </row>
    <row r="29" spans="1:17" ht="23.25" x14ac:dyDescent="0.35">
      <c r="A29" s="1" t="s">
        <v>5</v>
      </c>
      <c r="B29" s="3">
        <v>83.477681545636145</v>
      </c>
      <c r="C29" s="3">
        <v>93.345771144278729</v>
      </c>
      <c r="D29" s="9">
        <v>85.45454545454561</v>
      </c>
      <c r="E29" s="9">
        <v>92.812499999999602</v>
      </c>
      <c r="F29" s="3">
        <v>72.871972318339303</v>
      </c>
      <c r="G29" s="3">
        <v>91.687817258882987</v>
      </c>
      <c r="H29" s="12">
        <f>AVERAGE(B29,D29,F29)</f>
        <v>80.601399772840352</v>
      </c>
      <c r="I29" s="12">
        <f>AVERAGE(C29,E29,G29)</f>
        <v>92.615362801053777</v>
      </c>
      <c r="J29" s="3">
        <v>4</v>
      </c>
      <c r="K29" s="12">
        <f t="shared" si="2"/>
        <v>6.7664639442904839</v>
      </c>
      <c r="L29" s="12"/>
      <c r="M29" s="12"/>
      <c r="N29" s="12"/>
      <c r="O29" s="12"/>
      <c r="P29" s="12"/>
    </row>
    <row r="30" spans="1:17" ht="23.25" x14ac:dyDescent="0.35">
      <c r="A30" s="1" t="s">
        <v>47</v>
      </c>
      <c r="B30" s="3">
        <v>91.426657736101973</v>
      </c>
      <c r="C30" s="3">
        <v>91.93349753694568</v>
      </c>
      <c r="D30" s="9">
        <v>92.172211350293964</v>
      </c>
      <c r="E30" s="9">
        <v>94.396551724137652</v>
      </c>
      <c r="F30" s="3">
        <v>92.538307794803444</v>
      </c>
      <c r="G30" s="3">
        <v>94.283919597990064</v>
      </c>
      <c r="H30" s="12">
        <f t="shared" si="0"/>
        <v>92.04572562706646</v>
      </c>
      <c r="I30" s="12">
        <f t="shared" si="1"/>
        <v>93.537989619691132</v>
      </c>
      <c r="J30" s="3">
        <v>16</v>
      </c>
      <c r="K30" s="12">
        <f t="shared" si="2"/>
        <v>0.56651605616084222</v>
      </c>
      <c r="L30" s="12"/>
      <c r="M30" s="12"/>
      <c r="N30" s="12"/>
      <c r="O30" s="12"/>
      <c r="P30" s="12"/>
    </row>
    <row r="31" spans="1:17" ht="23.25" x14ac:dyDescent="0.35">
      <c r="A31" s="1" t="s">
        <v>48</v>
      </c>
      <c r="B31" s="3">
        <v>90.557377049179991</v>
      </c>
      <c r="C31" s="3">
        <v>93.443627450980543</v>
      </c>
      <c r="D31" s="9">
        <v>89.108236895847341</v>
      </c>
      <c r="E31" s="9">
        <v>93.210659898476962</v>
      </c>
      <c r="F31" s="3">
        <v>96.208530805686806</v>
      </c>
      <c r="G31" s="3">
        <v>92.312500000000057</v>
      </c>
      <c r="H31" s="12">
        <f t="shared" si="0"/>
        <v>91.958048250238051</v>
      </c>
      <c r="I31" s="12">
        <f t="shared" si="1"/>
        <v>92.988929116485849</v>
      </c>
      <c r="J31" s="7">
        <v>8</v>
      </c>
      <c r="K31" s="12">
        <f t="shared" si="2"/>
        <v>3.7516600674409335</v>
      </c>
      <c r="L31" s="12"/>
      <c r="M31" s="12"/>
      <c r="N31" s="12"/>
      <c r="O31" s="12"/>
      <c r="P31" s="12"/>
    </row>
    <row r="32" spans="1:17" ht="23.25" x14ac:dyDescent="0.35">
      <c r="A32" s="1" t="s">
        <v>49</v>
      </c>
      <c r="B32" s="3">
        <v>79.647749510763262</v>
      </c>
      <c r="C32" s="3">
        <v>94.863861386139021</v>
      </c>
      <c r="D32" s="9">
        <v>81.878747501665401</v>
      </c>
      <c r="E32" s="9">
        <v>94.283919597990064</v>
      </c>
      <c r="F32" s="3">
        <v>81.639344262295282</v>
      </c>
      <c r="G32" s="3">
        <v>94.368811881187582</v>
      </c>
      <c r="H32" s="12">
        <f t="shared" si="0"/>
        <v>81.055280424907977</v>
      </c>
      <c r="I32" s="12">
        <f t="shared" si="1"/>
        <v>94.505530955105556</v>
      </c>
      <c r="J32" s="3">
        <v>1</v>
      </c>
      <c r="K32" s="12">
        <f t="shared" si="2"/>
        <v>1.2248207760566563</v>
      </c>
      <c r="L32" s="12"/>
      <c r="M32" s="12"/>
      <c r="N32" s="12"/>
      <c r="O32" s="12"/>
      <c r="P32" s="12"/>
    </row>
    <row r="33" spans="1:16" ht="23.25" x14ac:dyDescent="0.35">
      <c r="A33" s="1" t="s">
        <v>50</v>
      </c>
      <c r="B33" s="3">
        <v>79.213857428381075</v>
      </c>
      <c r="C33" s="3">
        <v>93.812500000000114</v>
      </c>
      <c r="D33" s="9">
        <v>80.384360503644643</v>
      </c>
      <c r="E33" s="9">
        <v>92.918719211823031</v>
      </c>
      <c r="F33" s="3">
        <v>80.575079872204128</v>
      </c>
      <c r="G33" s="3">
        <v>95.426829268293417</v>
      </c>
      <c r="H33" s="12">
        <f t="shared" si="0"/>
        <v>80.057765934743273</v>
      </c>
      <c r="I33" s="12">
        <f t="shared" si="1"/>
        <v>94.052682826705521</v>
      </c>
      <c r="J33" s="7">
        <v>8</v>
      </c>
      <c r="K33" s="12">
        <f t="shared" si="2"/>
        <v>0.73704114180878699</v>
      </c>
      <c r="L33" s="12"/>
      <c r="M33" s="12"/>
      <c r="N33" s="12"/>
      <c r="O33" s="12"/>
      <c r="P33" s="12"/>
    </row>
    <row r="34" spans="1:16" ht="23.25" x14ac:dyDescent="0.35">
      <c r="A34" s="1" t="s">
        <v>51</v>
      </c>
      <c r="B34" s="3">
        <v>63.027461486939117</v>
      </c>
      <c r="C34" s="3">
        <v>94.733502538070923</v>
      </c>
      <c r="D34" s="9">
        <v>64.251861882193566</v>
      </c>
      <c r="E34" s="9">
        <v>91.398514851484492</v>
      </c>
      <c r="F34" s="3">
        <v>59.817351598173609</v>
      </c>
      <c r="G34" s="3">
        <v>94.863861386138325</v>
      </c>
      <c r="H34" s="12">
        <f t="shared" si="0"/>
        <v>62.365558322435426</v>
      </c>
      <c r="I34" s="12">
        <f t="shared" si="1"/>
        <v>93.665292925231256</v>
      </c>
      <c r="J34" s="3">
        <v>1</v>
      </c>
      <c r="K34" s="12">
        <f t="shared" si="2"/>
        <v>2.2901544083652277</v>
      </c>
      <c r="L34" s="12"/>
      <c r="M34" s="12"/>
      <c r="N34" s="12"/>
      <c r="O34" s="12"/>
      <c r="P34" s="12"/>
    </row>
    <row r="35" spans="1:16" ht="23.25" x14ac:dyDescent="0.35">
      <c r="A35" s="1" t="s">
        <v>52</v>
      </c>
      <c r="B35" s="3">
        <v>84.344422700587302</v>
      </c>
      <c r="C35" s="3">
        <v>93.93382352941218</v>
      </c>
      <c r="D35" s="9">
        <v>86.337760910816115</v>
      </c>
      <c r="E35" s="9">
        <v>96.402439024390091</v>
      </c>
      <c r="F35" s="3">
        <v>92.538307794803444</v>
      </c>
      <c r="G35" s="3">
        <v>92.883663366336748</v>
      </c>
      <c r="H35" s="12">
        <f t="shared" si="0"/>
        <v>87.740163802068949</v>
      </c>
      <c r="I35" s="12">
        <f t="shared" si="1"/>
        <v>94.406641973379678</v>
      </c>
      <c r="J35" s="3">
        <v>4</v>
      </c>
      <c r="K35" s="12">
        <f t="shared" si="2"/>
        <v>4.2731707941937112</v>
      </c>
      <c r="L35" s="12"/>
      <c r="M35" s="12"/>
      <c r="N35" s="12"/>
      <c r="O35" s="12"/>
      <c r="P35" s="12"/>
    </row>
    <row r="36" spans="1:16" ht="23.25" x14ac:dyDescent="0.35">
      <c r="A36" s="1" t="s">
        <v>6</v>
      </c>
      <c r="B36" s="9">
        <v>86.571981923821582</v>
      </c>
      <c r="C36" s="9">
        <v>96.812500000000227</v>
      </c>
      <c r="D36" s="9">
        <v>76.242737249838243</v>
      </c>
      <c r="E36" s="9">
        <v>96.33084577114451</v>
      </c>
      <c r="F36" s="3">
        <v>87.27634194831036</v>
      </c>
      <c r="G36" s="3">
        <v>94.312499999999659</v>
      </c>
      <c r="H36" s="12">
        <f t="shared" si="0"/>
        <v>83.363687040656728</v>
      </c>
      <c r="I36" s="12">
        <f t="shared" si="1"/>
        <v>95.818615257048123</v>
      </c>
      <c r="J36" s="7">
        <v>8</v>
      </c>
      <c r="K36" s="12">
        <f t="shared" si="2"/>
        <v>6.1769713617227362</v>
      </c>
      <c r="L36" s="12"/>
      <c r="M36" s="12"/>
      <c r="N36" s="12"/>
      <c r="O36" s="12"/>
      <c r="P36" s="12"/>
    </row>
    <row r="37" spans="1:16" ht="23.25" x14ac:dyDescent="0.35">
      <c r="A37" s="1" t="s">
        <v>53</v>
      </c>
      <c r="B37" s="3">
        <v>81.086261980830571</v>
      </c>
      <c r="C37" s="3">
        <v>95.894607843137976</v>
      </c>
      <c r="D37" s="9">
        <v>80.729525120440783</v>
      </c>
      <c r="E37" s="9">
        <v>92.195431472081211</v>
      </c>
      <c r="F37" s="3">
        <v>85.45454545454561</v>
      </c>
      <c r="G37" s="3">
        <v>92.350746268656323</v>
      </c>
      <c r="H37" s="12">
        <f t="shared" si="0"/>
        <v>82.423444185272317</v>
      </c>
      <c r="I37" s="12">
        <f t="shared" si="1"/>
        <v>93.480261861291851</v>
      </c>
      <c r="J37" s="3">
        <v>16</v>
      </c>
      <c r="K37" s="12">
        <f t="shared" si="2"/>
        <v>2.6310637535667576</v>
      </c>
      <c r="L37" s="12"/>
      <c r="M37" s="12"/>
      <c r="N37" s="12"/>
      <c r="O37" s="12"/>
      <c r="P37" s="12"/>
    </row>
    <row r="38" spans="1:16" ht="23.25" x14ac:dyDescent="0.35">
      <c r="A38" s="1" t="s">
        <v>54</v>
      </c>
      <c r="B38" s="3">
        <v>83.213114754098001</v>
      </c>
      <c r="C38" s="3">
        <v>97.257653061224659</v>
      </c>
      <c r="D38" s="9">
        <v>77.002053388090147</v>
      </c>
      <c r="E38" s="9">
        <v>92.234848484848015</v>
      </c>
      <c r="F38" s="3">
        <v>78.989898989899032</v>
      </c>
      <c r="G38" s="3">
        <v>95.192307692308006</v>
      </c>
      <c r="H38" s="12">
        <f t="shared" si="0"/>
        <v>79.735022377362384</v>
      </c>
      <c r="I38" s="12">
        <f t="shared" si="1"/>
        <v>94.89493641279357</v>
      </c>
      <c r="J38" s="7">
        <v>2</v>
      </c>
      <c r="K38" s="12">
        <f t="shared" si="2"/>
        <v>3.1718649829378762</v>
      </c>
      <c r="L38" s="12"/>
      <c r="M38" s="12"/>
      <c r="N38" s="12"/>
      <c r="O38" s="12"/>
      <c r="P38" s="12"/>
    </row>
    <row r="39" spans="1:16" ht="23.25" x14ac:dyDescent="0.35">
      <c r="A39" s="1" t="s">
        <v>7</v>
      </c>
      <c r="B39" s="4">
        <v>77.34424166142216</v>
      </c>
      <c r="C39" s="4">
        <v>97.844827586206989</v>
      </c>
      <c r="D39" s="9">
        <v>87.021414665801416</v>
      </c>
      <c r="E39" s="9">
        <v>96.312499999999972</v>
      </c>
      <c r="F39" s="3">
        <v>86.459038591740025</v>
      </c>
      <c r="G39" s="3">
        <v>92.312500000000057</v>
      </c>
      <c r="H39" s="12">
        <f t="shared" si="0"/>
        <v>83.608231639654534</v>
      </c>
      <c r="I39" s="12">
        <f t="shared" si="1"/>
        <v>95.489942528735682</v>
      </c>
      <c r="J39" s="7">
        <v>2</v>
      </c>
      <c r="K39" s="12">
        <f t="shared" si="2"/>
        <v>5.4320571193348002</v>
      </c>
      <c r="L39" s="12"/>
      <c r="M39" s="12"/>
      <c r="N39" s="12"/>
      <c r="O39" s="12"/>
      <c r="P39" s="12"/>
    </row>
    <row r="40" spans="1:16" ht="23.25" x14ac:dyDescent="0.35">
      <c r="A40" s="1" t="s">
        <v>55</v>
      </c>
      <c r="B40" s="3">
        <v>83.477681545636145</v>
      </c>
      <c r="C40" s="3">
        <v>94.76010101010111</v>
      </c>
      <c r="D40" s="9">
        <v>87.08844415752101</v>
      </c>
      <c r="E40" s="9">
        <v>96.33084577114451</v>
      </c>
      <c r="F40">
        <v>87.405886379192836</v>
      </c>
      <c r="G40">
        <v>92.234848484848015</v>
      </c>
      <c r="H40" s="12">
        <f t="shared" si="0"/>
        <v>85.990670694116659</v>
      </c>
      <c r="I40" s="12">
        <f t="shared" si="1"/>
        <v>94.441931755364564</v>
      </c>
      <c r="J40" s="7">
        <v>8</v>
      </c>
      <c r="K40" s="12">
        <f t="shared" si="2"/>
        <v>2.1820926278026374</v>
      </c>
      <c r="L40" s="12"/>
      <c r="M40" s="12"/>
      <c r="N40" s="12"/>
      <c r="O40" s="12"/>
      <c r="P40" s="12"/>
    </row>
    <row r="41" spans="1:16" ht="23.25" x14ac:dyDescent="0.35">
      <c r="A41" s="1" t="s">
        <v>56</v>
      </c>
      <c r="B41" s="3">
        <v>83.389149363697101</v>
      </c>
      <c r="C41" s="3">
        <v>91.482843137254761</v>
      </c>
      <c r="D41" s="9">
        <v>82.64520643806857</v>
      </c>
      <c r="E41" s="9">
        <v>89.312500000000654</v>
      </c>
      <c r="F41" s="3">
        <v>90.034602076124941</v>
      </c>
      <c r="G41" s="3">
        <v>89.418316831682915</v>
      </c>
      <c r="H41" s="12">
        <f t="shared" si="0"/>
        <v>85.356319292630204</v>
      </c>
      <c r="I41" s="12">
        <f t="shared" si="1"/>
        <v>90.071219989646124</v>
      </c>
      <c r="J41" s="3">
        <v>16</v>
      </c>
      <c r="K41" s="12">
        <f t="shared" si="2"/>
        <v>4.0685513540946774</v>
      </c>
      <c r="L41" s="12"/>
      <c r="M41" s="12"/>
      <c r="N41" s="12"/>
      <c r="O41" s="12"/>
      <c r="P41" s="12"/>
    </row>
    <row r="42" spans="1:16" ht="23.25" x14ac:dyDescent="0.35">
      <c r="A42" s="1" t="s">
        <v>57</v>
      </c>
      <c r="B42" s="3">
        <v>61.212121212121403</v>
      </c>
      <c r="C42" s="3">
        <v>91.440886699507701</v>
      </c>
      <c r="D42" s="9">
        <v>64.667106130520907</v>
      </c>
      <c r="E42" s="9">
        <v>94.812500000000625</v>
      </c>
      <c r="F42" s="3">
        <v>62.557679630849904</v>
      </c>
      <c r="G42" s="3">
        <v>92.499999999999915</v>
      </c>
      <c r="H42" s="12">
        <f t="shared" si="0"/>
        <v>62.812302324497409</v>
      </c>
      <c r="I42" s="12">
        <f t="shared" si="1"/>
        <v>92.917795566502761</v>
      </c>
      <c r="J42" s="3">
        <v>1</v>
      </c>
      <c r="K42" s="12">
        <f t="shared" si="2"/>
        <v>1.7415093263265167</v>
      </c>
      <c r="L42" s="5"/>
      <c r="M42" s="12"/>
      <c r="N42" s="12"/>
      <c r="O42" s="12"/>
      <c r="P42" s="12"/>
    </row>
    <row r="43" spans="1:16" ht="23.25" x14ac:dyDescent="0.35">
      <c r="A43" s="1" t="s">
        <v>8</v>
      </c>
      <c r="B43" s="3">
        <v>74.561972744971044</v>
      </c>
      <c r="C43" s="3">
        <v>94.889162561576342</v>
      </c>
      <c r="D43" s="9">
        <v>71.806167400880966</v>
      </c>
      <c r="E43" s="9">
        <v>97.844827586206989</v>
      </c>
      <c r="F43">
        <v>75.218855218855452</v>
      </c>
      <c r="G43">
        <v>95.192307692307281</v>
      </c>
      <c r="H43" s="12">
        <f t="shared" si="0"/>
        <v>73.862331788235821</v>
      </c>
      <c r="I43" s="12">
        <f t="shared" si="1"/>
        <v>95.975432613363537</v>
      </c>
      <c r="J43" s="7">
        <v>2</v>
      </c>
      <c r="K43" s="12">
        <f t="shared" si="2"/>
        <v>1.8107271017450142</v>
      </c>
      <c r="L43" s="5"/>
      <c r="M43" s="12"/>
      <c r="N43" s="12"/>
      <c r="O43" s="12"/>
      <c r="P43" s="12"/>
    </row>
    <row r="44" spans="1:16" ht="23.25" x14ac:dyDescent="0.35">
      <c r="A44" s="1" t="s">
        <v>58</v>
      </c>
      <c r="B44" s="3">
        <v>77.203445990722642</v>
      </c>
      <c r="C44" s="3">
        <v>91.565533980582188</v>
      </c>
      <c r="D44" s="9">
        <v>76.393442622950715</v>
      </c>
      <c r="E44" s="9">
        <v>93.443627450980543</v>
      </c>
      <c r="F44" s="3">
        <v>82.820329277022282</v>
      </c>
      <c r="G44" s="3">
        <v>86.878109452735956</v>
      </c>
      <c r="H44" s="12">
        <f t="shared" si="0"/>
        <v>78.805739296898537</v>
      </c>
      <c r="I44" s="12">
        <f t="shared" si="1"/>
        <v>90.629090294766229</v>
      </c>
      <c r="J44" s="3">
        <v>4</v>
      </c>
      <c r="K44" s="12">
        <f t="shared" si="2"/>
        <v>3.5002465477924387</v>
      </c>
      <c r="L44" s="13"/>
      <c r="M44" s="12"/>
      <c r="N44" s="12"/>
      <c r="O44" s="12"/>
      <c r="P44" s="12"/>
    </row>
    <row r="45" spans="1:16" ht="23.25" x14ac:dyDescent="0.35">
      <c r="A45" s="1" t="s">
        <v>59</v>
      </c>
      <c r="B45">
        <v>81.345769487008852</v>
      </c>
      <c r="C45">
        <v>91.973039215685688</v>
      </c>
      <c r="D45" s="9">
        <v>82.918149466192318</v>
      </c>
      <c r="E45" s="9">
        <v>89.149746192893289</v>
      </c>
      <c r="F45">
        <v>87.26643598615901</v>
      </c>
      <c r="G45">
        <v>90.312500000000455</v>
      </c>
      <c r="H45" s="12">
        <f t="shared" si="0"/>
        <v>83.843451646453389</v>
      </c>
      <c r="I45" s="12">
        <f t="shared" si="1"/>
        <v>90.478428469526477</v>
      </c>
      <c r="J45" s="7">
        <v>8</v>
      </c>
      <c r="K45" s="12">
        <f t="shared" si="2"/>
        <v>3.0668731702071854</v>
      </c>
      <c r="L45" s="5"/>
      <c r="M45" s="12"/>
      <c r="N45" s="12"/>
      <c r="O45" s="12"/>
      <c r="P45" s="12"/>
    </row>
    <row r="46" spans="1:16" ht="23.25" x14ac:dyDescent="0.35">
      <c r="A46" s="1" t="s">
        <v>9</v>
      </c>
      <c r="B46">
        <v>86.81608437705998</v>
      </c>
      <c r="C46">
        <v>94.812499999999915</v>
      </c>
      <c r="D46" s="9">
        <v>89.584624922504901</v>
      </c>
      <c r="E46" s="9">
        <v>98.835784313724943</v>
      </c>
      <c r="F46" s="3">
        <v>91.65035877364592</v>
      </c>
      <c r="G46" s="3">
        <v>95.335820895522815</v>
      </c>
      <c r="H46" s="12">
        <f t="shared" si="0"/>
        <v>89.350356024403595</v>
      </c>
      <c r="I46" s="12">
        <f t="shared" si="1"/>
        <v>96.32803506974922</v>
      </c>
      <c r="J46" s="7">
        <v>8</v>
      </c>
      <c r="K46" s="12">
        <f t="shared" si="2"/>
        <v>2.425636756160078</v>
      </c>
      <c r="L46" s="13"/>
      <c r="M46" s="12"/>
      <c r="N46" s="12"/>
      <c r="O46" s="12"/>
      <c r="P46" s="12"/>
    </row>
    <row r="47" spans="1:16" ht="23.25" x14ac:dyDescent="0.35">
      <c r="A47" s="1" t="s">
        <v>60</v>
      </c>
      <c r="B47">
        <v>78.989898989899032</v>
      </c>
      <c r="C47">
        <v>94.225888324873409</v>
      </c>
      <c r="D47" s="9">
        <v>80.374435119432036</v>
      </c>
      <c r="E47" s="9">
        <v>94.914215686274034</v>
      </c>
      <c r="F47" s="3"/>
      <c r="G47" s="3"/>
      <c r="H47" s="12">
        <f t="shared" si="0"/>
        <v>79.682167054665541</v>
      </c>
      <c r="I47" s="12">
        <f t="shared" si="1"/>
        <v>94.570052005573729</v>
      </c>
      <c r="J47" s="3">
        <v>1</v>
      </c>
      <c r="K47" s="12">
        <f t="shared" si="2"/>
        <v>0.97901488599056297</v>
      </c>
      <c r="L47" s="14" t="s">
        <v>90</v>
      </c>
      <c r="M47" s="12"/>
      <c r="N47" s="12"/>
      <c r="O47" s="12"/>
      <c r="P47" s="12"/>
    </row>
    <row r="48" spans="1:16" ht="23.25" x14ac:dyDescent="0.35">
      <c r="A48" s="1" t="s">
        <v>61</v>
      </c>
      <c r="B48">
        <v>91.919191919191647</v>
      </c>
      <c r="C48">
        <v>92.350746268657034</v>
      </c>
      <c r="D48" s="9">
        <v>90.482154038822941</v>
      </c>
      <c r="E48" s="9">
        <v>97.855392156863076</v>
      </c>
      <c r="F48">
        <v>88.866799204770999</v>
      </c>
      <c r="G48">
        <v>92.918719211823031</v>
      </c>
      <c r="H48" s="12">
        <f t="shared" si="0"/>
        <v>90.422715054261857</v>
      </c>
      <c r="I48" s="12">
        <f t="shared" si="1"/>
        <v>94.374952545781056</v>
      </c>
      <c r="J48" s="7">
        <v>8</v>
      </c>
      <c r="K48" s="12">
        <f t="shared" si="2"/>
        <v>1.5270641982006854</v>
      </c>
      <c r="L48" s="5"/>
      <c r="M48" s="12"/>
      <c r="N48" s="12"/>
      <c r="O48" s="12"/>
      <c r="P48" s="12"/>
    </row>
    <row r="49" spans="1:16" ht="23.25" x14ac:dyDescent="0.35">
      <c r="A49" s="1" t="s">
        <v>62</v>
      </c>
      <c r="B49">
        <v>67.48834110592945</v>
      </c>
      <c r="C49">
        <v>91.080097087378746</v>
      </c>
      <c r="D49" s="9">
        <v>64.179104477611574</v>
      </c>
      <c r="E49" s="9">
        <v>95.833333333334011</v>
      </c>
      <c r="F49">
        <v>68.021319120585858</v>
      </c>
      <c r="G49">
        <v>92.426108374384356</v>
      </c>
      <c r="H49" s="12">
        <f t="shared" si="0"/>
        <v>66.562921568042285</v>
      </c>
      <c r="I49" s="12">
        <f t="shared" si="1"/>
        <v>93.113179598365704</v>
      </c>
      <c r="J49" s="7">
        <v>2</v>
      </c>
      <c r="K49" s="12">
        <f t="shared" si="2"/>
        <v>2.0815749641795174</v>
      </c>
      <c r="L49" s="5"/>
      <c r="M49" s="12"/>
      <c r="N49" s="12"/>
      <c r="O49" s="12"/>
      <c r="P49" s="12"/>
    </row>
    <row r="50" spans="1:16" ht="23.25" x14ac:dyDescent="0.35">
      <c r="A50" s="1" t="s">
        <v>63</v>
      </c>
      <c r="B50">
        <v>90.939373750832701</v>
      </c>
      <c r="C50">
        <v>94.76010101010111</v>
      </c>
      <c r="D50" s="9">
        <v>94.494150034411874</v>
      </c>
      <c r="E50" s="9">
        <v>90.8125</v>
      </c>
      <c r="F50">
        <v>93.500338524034959</v>
      </c>
      <c r="G50">
        <v>93.718274111675186</v>
      </c>
      <c r="H50" s="12">
        <f t="shared" si="0"/>
        <v>92.977954103093182</v>
      </c>
      <c r="I50" s="12">
        <f t="shared" si="1"/>
        <v>93.096958373925418</v>
      </c>
      <c r="J50" s="3">
        <v>16</v>
      </c>
      <c r="K50" s="12">
        <f t="shared" si="2"/>
        <v>1.8340590827468588</v>
      </c>
      <c r="L50" s="13"/>
      <c r="M50" s="12"/>
      <c r="N50" s="12"/>
      <c r="O50" s="12"/>
      <c r="P50" s="12"/>
    </row>
    <row r="51" spans="1:16" ht="23.25" x14ac:dyDescent="0.35">
      <c r="A51" s="1" t="s">
        <v>64</v>
      </c>
      <c r="B51">
        <v>91.695501730103473</v>
      </c>
      <c r="C51">
        <v>92.155612244897696</v>
      </c>
      <c r="D51" s="9">
        <v>93.535353535353323</v>
      </c>
      <c r="E51" s="9">
        <v>94.225888324873409</v>
      </c>
      <c r="F51">
        <v>93.392980041293626</v>
      </c>
      <c r="G51">
        <v>90.360696517412947</v>
      </c>
      <c r="H51" s="12">
        <f t="shared" si="0"/>
        <v>92.874611768916807</v>
      </c>
      <c r="I51" s="12">
        <f t="shared" si="1"/>
        <v>92.247399029061356</v>
      </c>
      <c r="J51" s="3">
        <v>4</v>
      </c>
      <c r="K51" s="12">
        <f t="shared" si="2"/>
        <v>1.0236175631921713</v>
      </c>
      <c r="L51" s="5"/>
      <c r="M51" s="12"/>
      <c r="N51" s="12"/>
      <c r="O51" s="12"/>
      <c r="P51" s="12"/>
    </row>
    <row r="52" spans="1:16" ht="23.25" x14ac:dyDescent="0.35">
      <c r="A52" s="1" t="s">
        <v>65</v>
      </c>
      <c r="B52">
        <v>80.622837370242479</v>
      </c>
      <c r="C52">
        <v>92.628205128204868</v>
      </c>
      <c r="D52" s="9">
        <v>81.675017895490129</v>
      </c>
      <c r="E52" s="9">
        <v>88.194444444445509</v>
      </c>
      <c r="F52">
        <v>85.279547062986282</v>
      </c>
      <c r="G52">
        <v>87.873134328358361</v>
      </c>
      <c r="H52" s="12">
        <f t="shared" si="0"/>
        <v>82.525800776239635</v>
      </c>
      <c r="I52" s="12">
        <f t="shared" si="1"/>
        <v>89.56526130033626</v>
      </c>
      <c r="J52" s="3">
        <v>1</v>
      </c>
      <c r="K52" s="12">
        <f t="shared" si="2"/>
        <v>2.4421527231636917</v>
      </c>
      <c r="L52" s="5"/>
      <c r="M52" s="12"/>
      <c r="N52" s="12"/>
      <c r="O52" s="12"/>
      <c r="P52" s="12"/>
    </row>
    <row r="53" spans="1:16" ht="23.25" x14ac:dyDescent="0.35">
      <c r="A53" s="1" t="s">
        <v>66</v>
      </c>
      <c r="B53">
        <v>85.45454545454561</v>
      </c>
      <c r="C53">
        <v>92.812499999999602</v>
      </c>
      <c r="D53" s="9">
        <v>84.460817146684931</v>
      </c>
      <c r="E53" s="9">
        <v>94.733502538070923</v>
      </c>
      <c r="F53">
        <v>85.375761679079446</v>
      </c>
      <c r="G53">
        <v>92.312500000000057</v>
      </c>
      <c r="H53" s="12">
        <f t="shared" si="0"/>
        <v>85.097041426769991</v>
      </c>
      <c r="I53" s="12">
        <f t="shared" si="1"/>
        <v>93.286167512690199</v>
      </c>
      <c r="J53" s="3">
        <v>4</v>
      </c>
      <c r="K53" s="12">
        <f t="shared" si="2"/>
        <v>0.55239272419764396</v>
      </c>
      <c r="L53" s="5"/>
      <c r="M53" s="12"/>
      <c r="N53" s="12"/>
      <c r="O53" s="12"/>
      <c r="P53" s="12"/>
    </row>
    <row r="54" spans="1:16" ht="23.25" x14ac:dyDescent="0.35">
      <c r="A54" s="1" t="s">
        <v>10</v>
      </c>
      <c r="B54">
        <v>86.571981923821582</v>
      </c>
      <c r="C54">
        <v>94.451219512195351</v>
      </c>
      <c r="D54" s="9">
        <v>85.685884691848429</v>
      </c>
      <c r="E54" s="9">
        <v>94.312500000000369</v>
      </c>
      <c r="F54">
        <v>90.03278688524604</v>
      </c>
      <c r="G54">
        <v>94.838308457711619</v>
      </c>
      <c r="H54" s="12">
        <f t="shared" si="0"/>
        <v>87.430217833638679</v>
      </c>
      <c r="I54" s="12">
        <f t="shared" si="1"/>
        <v>94.534009323302442</v>
      </c>
      <c r="J54" s="7">
        <v>60</v>
      </c>
      <c r="K54" s="12">
        <f t="shared" si="2"/>
        <v>2.2970233624009859</v>
      </c>
      <c r="L54" s="5"/>
      <c r="M54" s="12"/>
      <c r="N54" s="12"/>
      <c r="O54" s="12"/>
      <c r="P54" s="12"/>
    </row>
    <row r="55" spans="1:16" ht="23.25" x14ac:dyDescent="0.35">
      <c r="A55" s="1" t="s">
        <v>11</v>
      </c>
      <c r="B55">
        <v>82.94470353097897</v>
      </c>
      <c r="C55">
        <v>95.72704081632665</v>
      </c>
      <c r="D55" s="9">
        <v>68.524590163934789</v>
      </c>
      <c r="E55" s="9">
        <v>94.368811881188293</v>
      </c>
      <c r="F55">
        <v>87.806494367130384</v>
      </c>
      <c r="G55">
        <v>93.37871287128749</v>
      </c>
      <c r="H55" s="12">
        <f t="shared" si="0"/>
        <v>79.758596020681367</v>
      </c>
      <c r="I55" s="12">
        <f t="shared" si="1"/>
        <v>94.491521856267468</v>
      </c>
      <c r="J55" s="3">
        <v>16</v>
      </c>
      <c r="K55" s="12">
        <f t="shared" si="2"/>
        <v>10.028031622690715</v>
      </c>
      <c r="L55" s="13"/>
      <c r="M55" s="12"/>
      <c r="N55" s="12"/>
      <c r="O55" s="12"/>
      <c r="P55" s="12"/>
    </row>
    <row r="56" spans="1:16" ht="23.25" x14ac:dyDescent="0.35">
      <c r="A56" s="1" t="s">
        <v>67</v>
      </c>
      <c r="B56">
        <v>54.254594962559629</v>
      </c>
      <c r="C56">
        <v>89.573170731707819</v>
      </c>
      <c r="D56" s="9">
        <v>60.673400673401055</v>
      </c>
      <c r="E56" s="9">
        <v>91.440886699507004</v>
      </c>
      <c r="F56">
        <v>64.730580825752227</v>
      </c>
      <c r="G56">
        <v>89.312499999999233</v>
      </c>
      <c r="H56" s="12">
        <f t="shared" si="0"/>
        <v>59.886192153904311</v>
      </c>
      <c r="I56" s="12">
        <f t="shared" si="1"/>
        <v>90.108852477071352</v>
      </c>
      <c r="J56" s="3">
        <v>1</v>
      </c>
      <c r="K56" s="12">
        <f t="shared" si="2"/>
        <v>5.2821721754718478</v>
      </c>
      <c r="L56" s="5"/>
      <c r="M56" s="12"/>
      <c r="N56" s="12"/>
      <c r="O56" s="12"/>
      <c r="P56" s="12"/>
    </row>
    <row r="57" spans="1:16" ht="23.25" x14ac:dyDescent="0.35">
      <c r="A57" s="1" t="s">
        <v>68</v>
      </c>
      <c r="B57">
        <v>84.834123222749412</v>
      </c>
      <c r="C57">
        <v>91.853233830845127</v>
      </c>
      <c r="D57" s="9">
        <v>87.123862841147428</v>
      </c>
      <c r="E57" s="9">
        <v>89.312499999999943</v>
      </c>
      <c r="F57" s="3">
        <v>85.68360773085189</v>
      </c>
      <c r="G57" s="3">
        <v>88.194444444444784</v>
      </c>
      <c r="H57" s="12">
        <f t="shared" si="0"/>
        <v>85.880531264916229</v>
      </c>
      <c r="I57" s="12">
        <f t="shared" si="1"/>
        <v>89.786726091763285</v>
      </c>
      <c r="J57" s="7">
        <v>2</v>
      </c>
      <c r="K57" s="12">
        <f t="shared" si="2"/>
        <v>1.157502068558268</v>
      </c>
      <c r="L57" s="12"/>
      <c r="M57" s="12"/>
      <c r="N57" s="12"/>
      <c r="O57" s="12"/>
      <c r="P57" s="12"/>
    </row>
    <row r="58" spans="1:16" ht="23.25" x14ac:dyDescent="0.35">
      <c r="A58" s="1" t="s">
        <v>12</v>
      </c>
      <c r="B58">
        <v>83.21678321678263</v>
      </c>
      <c r="C58">
        <v>95.914634146341754</v>
      </c>
      <c r="D58" s="9">
        <v>82.016698779704072</v>
      </c>
      <c r="E58" s="9">
        <v>94.939024390243688</v>
      </c>
      <c r="F58">
        <v>89.61713173264107</v>
      </c>
      <c r="G58">
        <v>95.833333333334011</v>
      </c>
      <c r="H58" s="12">
        <f t="shared" si="0"/>
        <v>84.950204576375924</v>
      </c>
      <c r="I58" s="12">
        <f t="shared" si="1"/>
        <v>95.56233062330648</v>
      </c>
      <c r="J58" s="7">
        <v>8</v>
      </c>
      <c r="K58" s="12">
        <f t="shared" si="2"/>
        <v>4.0859769303611291</v>
      </c>
      <c r="L58" s="12"/>
      <c r="M58" s="12"/>
      <c r="N58" s="12"/>
      <c r="O58" s="12"/>
      <c r="P58" s="12"/>
    </row>
    <row r="59" spans="1:16" ht="23.25" x14ac:dyDescent="0.35">
      <c r="A59" s="1" t="s">
        <v>69</v>
      </c>
      <c r="B59">
        <v>72.525252525252341</v>
      </c>
      <c r="C59">
        <v>92.350746268657034</v>
      </c>
      <c r="D59" s="9">
        <v>71.369580178940112</v>
      </c>
      <c r="E59" s="9">
        <v>91.2688442211048</v>
      </c>
      <c r="F59">
        <v>79.850238257317613</v>
      </c>
      <c r="G59">
        <v>91.355721393034642</v>
      </c>
      <c r="H59" s="12">
        <f t="shared" si="0"/>
        <v>74.581690320503355</v>
      </c>
      <c r="I59" s="12">
        <f t="shared" si="1"/>
        <v>91.658437294265482</v>
      </c>
      <c r="J59" s="7">
        <v>2</v>
      </c>
      <c r="K59" s="12">
        <f t="shared" si="2"/>
        <v>4.5991404267417222</v>
      </c>
      <c r="L59" s="12"/>
      <c r="M59" s="12"/>
      <c r="N59" s="12"/>
      <c r="O59" s="12"/>
      <c r="P59" s="12"/>
    </row>
    <row r="60" spans="1:16" ht="23.25" x14ac:dyDescent="0.35">
      <c r="A60" s="1" t="s">
        <v>70</v>
      </c>
      <c r="B60">
        <v>92.99663299663321</v>
      </c>
      <c r="C60">
        <v>90.992647058823124</v>
      </c>
      <c r="D60" s="9">
        <v>95.546276965901285</v>
      </c>
      <c r="E60" s="9">
        <v>89.365671641791238</v>
      </c>
      <c r="F60">
        <v>97.696184305255215</v>
      </c>
      <c r="G60">
        <v>87.689393939394023</v>
      </c>
      <c r="H60" s="12">
        <f t="shared" si="0"/>
        <v>95.413031422596575</v>
      </c>
      <c r="I60" s="12">
        <f t="shared" si="1"/>
        <v>89.349237546669471</v>
      </c>
      <c r="J60" s="3">
        <v>16</v>
      </c>
      <c r="K60" s="12">
        <f t="shared" si="2"/>
        <v>2.3526073634800664</v>
      </c>
      <c r="L60" s="12"/>
      <c r="M60" s="12"/>
      <c r="N60" s="12"/>
      <c r="O60" s="12"/>
      <c r="P60" s="12"/>
    </row>
    <row r="61" spans="1:16" ht="23.25" x14ac:dyDescent="0.35">
      <c r="A61" s="1" t="s">
        <v>71</v>
      </c>
      <c r="B61">
        <v>92.375765827093275</v>
      </c>
      <c r="C61">
        <v>90.012254901961271</v>
      </c>
      <c r="D61" s="9">
        <v>94.846098783106441</v>
      </c>
      <c r="E61" s="9">
        <v>87.312499999999631</v>
      </c>
      <c r="F61">
        <v>94.989561586638644</v>
      </c>
      <c r="G61">
        <v>89.365671641791238</v>
      </c>
      <c r="H61" s="12">
        <f t="shared" si="0"/>
        <v>94.07047539894613</v>
      </c>
      <c r="I61" s="12">
        <f t="shared" si="1"/>
        <v>88.89680884791737</v>
      </c>
      <c r="J61" s="3">
        <v>4</v>
      </c>
      <c r="K61" s="12">
        <f t="shared" si="2"/>
        <v>1.4694134182375529</v>
      </c>
      <c r="L61" s="15"/>
      <c r="M61" s="12"/>
      <c r="N61" s="12"/>
      <c r="O61" s="12"/>
      <c r="P61" s="12"/>
    </row>
    <row r="62" spans="1:16" ht="23.25" x14ac:dyDescent="0.35">
      <c r="A62" s="6" t="s">
        <v>72</v>
      </c>
      <c r="B62">
        <v>93.429158110882724</v>
      </c>
      <c r="C62">
        <v>90.408415841584414</v>
      </c>
      <c r="D62" s="9">
        <v>94.40167949615072</v>
      </c>
      <c r="E62" s="9">
        <v>88.428217821782823</v>
      </c>
      <c r="F62">
        <v>97.785467128028117</v>
      </c>
      <c r="G62">
        <v>88.977832512315018</v>
      </c>
      <c r="H62" s="12">
        <f t="shared" si="0"/>
        <v>95.205434911687192</v>
      </c>
      <c r="I62" s="12">
        <f t="shared" si="1"/>
        <v>89.271488725227414</v>
      </c>
      <c r="J62" s="3">
        <v>16</v>
      </c>
      <c r="K62" s="12">
        <f t="shared" si="2"/>
        <v>2.2866731596838914</v>
      </c>
      <c r="L62" s="15"/>
      <c r="M62" s="12"/>
      <c r="N62" s="12"/>
      <c r="O62" s="12"/>
      <c r="P62" s="12"/>
    </row>
    <row r="63" spans="1:16" ht="23.25" x14ac:dyDescent="0.25">
      <c r="A63" s="16" t="s">
        <v>13</v>
      </c>
      <c r="B63">
        <v>94.074074074074119</v>
      </c>
      <c r="C63">
        <v>93.750000000000313</v>
      </c>
      <c r="D63" s="9">
        <v>94.524298425736092</v>
      </c>
      <c r="E63" s="9">
        <v>91.312499999999545</v>
      </c>
      <c r="F63">
        <v>95.570934256055438</v>
      </c>
      <c r="G63">
        <v>90.312499999999744</v>
      </c>
      <c r="H63" s="12">
        <f t="shared" si="0"/>
        <v>94.723102251955211</v>
      </c>
      <c r="I63" s="12">
        <f t="shared" si="1"/>
        <v>91.791666666666529</v>
      </c>
      <c r="J63" s="7">
        <v>60</v>
      </c>
      <c r="K63" s="12">
        <f t="shared" si="2"/>
        <v>0.76797774843403466</v>
      </c>
      <c r="L63" s="15"/>
      <c r="M63" s="12"/>
      <c r="N63" s="12"/>
      <c r="O63" s="12"/>
      <c r="P63" s="12"/>
    </row>
    <row r="64" spans="1:16" ht="23.25" x14ac:dyDescent="0.35">
      <c r="A64" s="1" t="s">
        <v>73</v>
      </c>
      <c r="B64">
        <v>97.103548153512108</v>
      </c>
      <c r="C64">
        <v>84.207317073170572</v>
      </c>
      <c r="D64" s="9">
        <v>97.034840622683618</v>
      </c>
      <c r="E64" s="9">
        <v>83.893034825870174</v>
      </c>
      <c r="F64" s="3">
        <v>96.355353075170697</v>
      </c>
      <c r="G64" s="3">
        <v>82.312499999999915</v>
      </c>
      <c r="H64" s="12">
        <f t="shared" si="0"/>
        <v>96.831247283788798</v>
      </c>
      <c r="I64" s="12">
        <f t="shared" si="1"/>
        <v>83.470950633013544</v>
      </c>
      <c r="J64" s="3">
        <v>16</v>
      </c>
      <c r="K64" s="12">
        <f t="shared" si="2"/>
        <v>0.41356578019141055</v>
      </c>
      <c r="L64" s="15"/>
      <c r="M64" s="12"/>
      <c r="N64" s="12"/>
      <c r="O64" s="12"/>
      <c r="P64" s="12"/>
    </row>
    <row r="65" spans="1:16" ht="23.25" x14ac:dyDescent="0.35">
      <c r="A65" s="1" t="s">
        <v>74</v>
      </c>
      <c r="B65">
        <v>93.244194229415683</v>
      </c>
      <c r="C65">
        <v>86.646341463415027</v>
      </c>
      <c r="D65" s="9">
        <v>95.796051697202216</v>
      </c>
      <c r="E65" s="9">
        <v>88.012500000000131</v>
      </c>
      <c r="F65">
        <v>96.03680113234293</v>
      </c>
      <c r="G65">
        <v>88.312500000000142</v>
      </c>
      <c r="H65" s="12">
        <f t="shared" si="0"/>
        <v>95.025682352986948</v>
      </c>
      <c r="I65" s="12">
        <f t="shared" si="1"/>
        <v>87.657113821138452</v>
      </c>
      <c r="J65" s="3">
        <v>4</v>
      </c>
      <c r="K65" s="12">
        <f t="shared" si="2"/>
        <v>1.5475028347144408</v>
      </c>
      <c r="L65" s="15"/>
      <c r="M65" s="12"/>
      <c r="N65" s="12"/>
      <c r="O65" s="12"/>
      <c r="P65" s="12"/>
    </row>
    <row r="66" spans="1:16" ht="23.25" x14ac:dyDescent="0.35">
      <c r="A66" s="1" t="s">
        <v>75</v>
      </c>
      <c r="B66">
        <v>90.197413206262368</v>
      </c>
      <c r="C66">
        <v>89.573170731707137</v>
      </c>
      <c r="D66" s="9">
        <v>89.596167008898163</v>
      </c>
      <c r="E66" s="9">
        <v>90.408415841584414</v>
      </c>
      <c r="F66">
        <v>88.988300068822966</v>
      </c>
      <c r="G66">
        <v>90.8125</v>
      </c>
      <c r="H66" s="12">
        <f t="shared" si="0"/>
        <v>89.593960094661171</v>
      </c>
      <c r="I66" s="12">
        <f t="shared" si="1"/>
        <v>90.264695524430522</v>
      </c>
      <c r="J66" s="7">
        <v>8</v>
      </c>
      <c r="K66" s="12">
        <f t="shared" si="2"/>
        <v>0.60455958981309355</v>
      </c>
      <c r="L66" s="15"/>
      <c r="M66" s="12"/>
      <c r="N66" s="12"/>
      <c r="O66" s="12"/>
      <c r="P66" s="12"/>
    </row>
    <row r="67" spans="1:16" ht="23.25" x14ac:dyDescent="0.35">
      <c r="A67" s="1" t="s">
        <v>76</v>
      </c>
      <c r="B67">
        <v>71.600803750837144</v>
      </c>
      <c r="C67">
        <v>94.255050505050349</v>
      </c>
      <c r="D67" s="9">
        <v>74.686882003955503</v>
      </c>
      <c r="E67" s="9">
        <v>96.256345177664159</v>
      </c>
      <c r="F67">
        <v>73.74413931681147</v>
      </c>
      <c r="G67">
        <v>94.255050505051074</v>
      </c>
      <c r="H67" s="12">
        <f t="shared" ref="H67:H81" si="3">AVERAGE(B67,D67,F67)</f>
        <v>73.343941690534706</v>
      </c>
      <c r="I67" s="12">
        <f t="shared" ref="I67:I81" si="4">AVERAGE(C67,E67,G67)</f>
        <v>94.922148729255198</v>
      </c>
      <c r="J67" s="3">
        <v>4</v>
      </c>
      <c r="K67" s="12">
        <f t="shared" ref="K67:K81" si="5">STDEV(B67,D67,F67)</f>
        <v>1.5814829594879241</v>
      </c>
      <c r="L67" s="15"/>
      <c r="M67" s="12"/>
      <c r="N67" s="12"/>
      <c r="O67" s="12"/>
      <c r="P67" s="12"/>
    </row>
    <row r="68" spans="1:16" ht="23.25" x14ac:dyDescent="0.35">
      <c r="A68" s="1" t="s">
        <v>77</v>
      </c>
      <c r="B68">
        <v>83.205038488452956</v>
      </c>
      <c r="C68">
        <v>90.672588832487961</v>
      </c>
      <c r="D68" s="9">
        <v>85.609593604264063</v>
      </c>
      <c r="E68" s="9">
        <v>93.345771144278729</v>
      </c>
      <c r="F68">
        <v>87.609427609427343</v>
      </c>
      <c r="G68">
        <v>91.893564356435249</v>
      </c>
      <c r="H68" s="12">
        <f t="shared" si="3"/>
        <v>85.474686567381468</v>
      </c>
      <c r="I68" s="12">
        <f t="shared" si="4"/>
        <v>91.970641444400655</v>
      </c>
      <c r="J68" s="7">
        <v>8</v>
      </c>
      <c r="K68" s="12">
        <f t="shared" si="5"/>
        <v>2.2052915484556044</v>
      </c>
      <c r="L68" s="15"/>
      <c r="M68" s="12"/>
      <c r="N68" s="12"/>
      <c r="O68" s="12"/>
      <c r="P68" s="12"/>
    </row>
    <row r="69" spans="1:16" ht="23.25" x14ac:dyDescent="0.35">
      <c r="A69" s="1" t="s">
        <v>78</v>
      </c>
      <c r="B69">
        <v>53.792623521224613</v>
      </c>
      <c r="C69">
        <v>91.180203045684763</v>
      </c>
      <c r="D69" s="9">
        <v>53.243416827231918</v>
      </c>
      <c r="E69" s="9">
        <v>98.794416243654595</v>
      </c>
      <c r="F69">
        <v>55.120678408349868</v>
      </c>
      <c r="G69">
        <v>95.335820895522815</v>
      </c>
      <c r="H69" s="12">
        <f t="shared" si="3"/>
        <v>54.052239585602138</v>
      </c>
      <c r="I69" s="12">
        <f t="shared" si="4"/>
        <v>95.103480061620715</v>
      </c>
      <c r="J69" s="3">
        <v>1</v>
      </c>
      <c r="K69" s="12">
        <f t="shared" si="5"/>
        <v>0.96518295501294482</v>
      </c>
      <c r="L69" s="15"/>
      <c r="M69" s="12"/>
      <c r="N69" s="12"/>
      <c r="O69" s="12"/>
      <c r="P69" s="12"/>
    </row>
    <row r="70" spans="1:16" ht="23.25" x14ac:dyDescent="0.35">
      <c r="A70" s="1" t="s">
        <v>79</v>
      </c>
      <c r="B70">
        <v>88.501026694045464</v>
      </c>
      <c r="C70">
        <v>93.176020408162799</v>
      </c>
      <c r="D70" s="9">
        <v>91.028037383177207</v>
      </c>
      <c r="E70" s="9">
        <v>99.813432835820805</v>
      </c>
      <c r="F70">
        <v>93.671720500988556</v>
      </c>
      <c r="G70">
        <v>94.340796019900424</v>
      </c>
      <c r="H70" s="12">
        <f t="shared" si="3"/>
        <v>91.06692819273708</v>
      </c>
      <c r="I70" s="12">
        <f t="shared" si="4"/>
        <v>95.776749754628</v>
      </c>
      <c r="J70" s="7">
        <v>8</v>
      </c>
      <c r="K70" s="12">
        <f t="shared" si="5"/>
        <v>2.5855662789012155</v>
      </c>
      <c r="L70" s="15"/>
      <c r="M70" s="12"/>
      <c r="N70" s="12"/>
      <c r="O70" s="12"/>
      <c r="P70" s="12"/>
    </row>
    <row r="71" spans="1:16" ht="23.25" x14ac:dyDescent="0.35">
      <c r="A71" s="1" t="s">
        <v>80</v>
      </c>
      <c r="B71" s="9">
        <v>84.583620096352305</v>
      </c>
      <c r="C71" s="9">
        <v>91.729797979797979</v>
      </c>
      <c r="D71" s="9">
        <v>85.532484929671995</v>
      </c>
      <c r="E71" s="9">
        <v>92.848258706467519</v>
      </c>
      <c r="F71">
        <v>84.411969380654099</v>
      </c>
      <c r="G71">
        <v>89.812500000000199</v>
      </c>
      <c r="H71" s="12">
        <f t="shared" si="3"/>
        <v>84.842691468892795</v>
      </c>
      <c r="I71" s="12">
        <f t="shared" si="4"/>
        <v>91.463518895421885</v>
      </c>
      <c r="J71" s="3">
        <v>4</v>
      </c>
      <c r="K71" s="12">
        <f t="shared" si="5"/>
        <v>0.60351243230792728</v>
      </c>
      <c r="L71" s="15"/>
      <c r="M71" s="12"/>
      <c r="N71" s="12"/>
      <c r="O71" s="12"/>
      <c r="P71" s="12"/>
    </row>
    <row r="72" spans="1:16" ht="23.25" x14ac:dyDescent="0.35">
      <c r="A72" s="1" t="s">
        <v>81</v>
      </c>
      <c r="B72">
        <v>66.079582517939031</v>
      </c>
      <c r="C72">
        <v>93.475609756097285</v>
      </c>
      <c r="D72" s="9">
        <v>66.600397614314232</v>
      </c>
      <c r="E72" s="9">
        <v>93.843283582089214</v>
      </c>
      <c r="F72">
        <v>71.966255678130949</v>
      </c>
      <c r="G72">
        <v>95.833333333334011</v>
      </c>
      <c r="H72" s="12">
        <f t="shared" si="3"/>
        <v>68.215411936794737</v>
      </c>
      <c r="I72" s="12">
        <f t="shared" si="4"/>
        <v>94.384075557173503</v>
      </c>
      <c r="J72" s="3">
        <v>1</v>
      </c>
      <c r="K72" s="12">
        <f t="shared" si="5"/>
        <v>3.258747254712131</v>
      </c>
      <c r="L72" s="15"/>
      <c r="M72" s="12"/>
      <c r="N72" s="12"/>
      <c r="O72" s="12"/>
      <c r="P72" s="12"/>
    </row>
    <row r="73" spans="1:16" ht="23.25" x14ac:dyDescent="0.35">
      <c r="A73" s="1" t="s">
        <v>82</v>
      </c>
      <c r="B73">
        <v>72.376438727149363</v>
      </c>
      <c r="C73">
        <v>91.853233830845838</v>
      </c>
      <c r="D73" s="9">
        <v>60.90846524432196</v>
      </c>
      <c r="E73" s="9">
        <v>89.913366336634354</v>
      </c>
      <c r="F73">
        <v>71.293161814488784</v>
      </c>
      <c r="G73">
        <v>91.398514851485203</v>
      </c>
      <c r="H73" s="12">
        <f t="shared" si="3"/>
        <v>68.192688595320035</v>
      </c>
      <c r="I73" s="12">
        <f t="shared" si="4"/>
        <v>91.055038339655127</v>
      </c>
      <c r="J73" s="3">
        <v>1</v>
      </c>
      <c r="K73" s="12">
        <f t="shared" si="5"/>
        <v>6.3315325623260517</v>
      </c>
      <c r="L73" s="15"/>
      <c r="M73" s="12"/>
      <c r="N73" s="12"/>
      <c r="O73" s="12"/>
      <c r="P73" s="12"/>
    </row>
    <row r="74" spans="1:16" ht="23.25" x14ac:dyDescent="0.35">
      <c r="A74" s="1" t="s">
        <v>14</v>
      </c>
      <c r="B74">
        <v>86.828919112383502</v>
      </c>
      <c r="C74">
        <v>88.194444444444784</v>
      </c>
      <c r="D74" s="9">
        <v>83.391003460207727</v>
      </c>
      <c r="E74" s="9">
        <v>89.863184079601737</v>
      </c>
      <c r="F74">
        <v>84.23645320197032</v>
      </c>
      <c r="G74">
        <v>88.812499999999687</v>
      </c>
      <c r="H74" s="12">
        <f t="shared" si="3"/>
        <v>84.818791924853841</v>
      </c>
      <c r="I74" s="12">
        <f t="shared" si="4"/>
        <v>88.956709508015408</v>
      </c>
      <c r="J74" s="7">
        <v>2</v>
      </c>
      <c r="K74" s="12">
        <f t="shared" si="5"/>
        <v>1.7914113985893947</v>
      </c>
      <c r="L74" s="15"/>
      <c r="M74" s="12"/>
      <c r="N74" s="12"/>
      <c r="O74" s="12"/>
      <c r="P74" s="12"/>
    </row>
    <row r="75" spans="1:16" ht="23.25" x14ac:dyDescent="0.35">
      <c r="A75" s="1" t="s">
        <v>83</v>
      </c>
      <c r="B75">
        <v>79.96044825313065</v>
      </c>
      <c r="C75">
        <v>92.953431372548934</v>
      </c>
      <c r="D75" s="9">
        <v>75.640138408303955</v>
      </c>
      <c r="E75" s="9">
        <v>92.628205128205593</v>
      </c>
      <c r="F75">
        <v>82.085374387683274</v>
      </c>
      <c r="G75">
        <v>89.312499999999943</v>
      </c>
      <c r="H75" s="12">
        <f t="shared" si="3"/>
        <v>79.228653683039283</v>
      </c>
      <c r="I75" s="12">
        <f t="shared" si="4"/>
        <v>91.631378833584833</v>
      </c>
      <c r="J75" s="7">
        <v>2</v>
      </c>
      <c r="K75" s="12">
        <f t="shared" si="5"/>
        <v>3.2843430358418439</v>
      </c>
      <c r="L75" s="15"/>
      <c r="M75" s="12"/>
      <c r="N75" s="12"/>
      <c r="O75" s="12"/>
      <c r="P75" s="12"/>
    </row>
    <row r="76" spans="1:16" ht="23.25" x14ac:dyDescent="0.35">
      <c r="A76" s="1" t="s">
        <v>84</v>
      </c>
      <c r="B76">
        <v>70.657439446366638</v>
      </c>
      <c r="C76">
        <v>90.312499999999744</v>
      </c>
      <c r="D76" s="9">
        <v>74.665728360309586</v>
      </c>
      <c r="E76" s="9">
        <v>88.370646766169557</v>
      </c>
      <c r="F76">
        <v>73.063973063972938</v>
      </c>
      <c r="G76">
        <v>90.992647058823124</v>
      </c>
      <c r="H76" s="12">
        <f t="shared" si="3"/>
        <v>72.795713623549716</v>
      </c>
      <c r="I76" s="12">
        <f t="shared" si="4"/>
        <v>89.891931274997475</v>
      </c>
      <c r="J76" s="7">
        <v>8</v>
      </c>
      <c r="K76" s="12">
        <f t="shared" si="5"/>
        <v>2.0175647077458554</v>
      </c>
      <c r="L76" s="15" t="s">
        <v>92</v>
      </c>
      <c r="M76" s="12"/>
      <c r="N76" s="12"/>
      <c r="O76" s="12"/>
      <c r="P76" s="12"/>
    </row>
    <row r="77" spans="1:16" ht="23.25" x14ac:dyDescent="0.35">
      <c r="A77" s="1" t="s">
        <v>15</v>
      </c>
      <c r="B77">
        <v>83.389149363697101</v>
      </c>
      <c r="C77">
        <v>91.93349753694568</v>
      </c>
      <c r="D77" s="9">
        <v>80.287474332648955</v>
      </c>
      <c r="E77" s="9">
        <v>91.771356783919856</v>
      </c>
      <c r="F77">
        <v>82.085374387683402</v>
      </c>
      <c r="G77">
        <v>88.428217821782823</v>
      </c>
      <c r="H77" s="12">
        <f t="shared" si="3"/>
        <v>81.920666028009819</v>
      </c>
      <c r="I77" s="12">
        <f t="shared" si="4"/>
        <v>90.711024047549458</v>
      </c>
      <c r="J77" s="7">
        <v>2</v>
      </c>
      <c r="K77" s="12">
        <f t="shared" si="5"/>
        <v>1.5573835854941616</v>
      </c>
      <c r="L77" s="15"/>
      <c r="M77" s="12"/>
      <c r="N77" s="12"/>
      <c r="O77" s="12"/>
      <c r="P77" s="12"/>
    </row>
    <row r="78" spans="1:16" ht="23.25" x14ac:dyDescent="0.35">
      <c r="A78" s="1" t="s">
        <v>85</v>
      </c>
      <c r="B78">
        <v>89.1542930923179</v>
      </c>
      <c r="C78">
        <v>94.914215686274034</v>
      </c>
      <c r="D78" s="9">
        <v>88.398154251812826</v>
      </c>
      <c r="E78" s="9">
        <v>93.411330049261011</v>
      </c>
      <c r="F78">
        <v>88.21165438714003</v>
      </c>
      <c r="G78">
        <v>93.312499999999858</v>
      </c>
      <c r="H78" s="12">
        <f t="shared" si="3"/>
        <v>88.588033910423576</v>
      </c>
      <c r="I78" s="12">
        <f t="shared" si="4"/>
        <v>93.879348578511625</v>
      </c>
      <c r="J78" s="3">
        <v>16</v>
      </c>
      <c r="K78" s="12">
        <f t="shared" si="5"/>
        <v>0.49918197652805613</v>
      </c>
      <c r="L78" s="15"/>
      <c r="M78" s="12"/>
      <c r="N78" s="12"/>
      <c r="O78" s="12"/>
      <c r="P78" s="12"/>
    </row>
    <row r="79" spans="1:16" ht="23.25" x14ac:dyDescent="0.35">
      <c r="A79" s="1" t="s">
        <v>86</v>
      </c>
      <c r="B79">
        <v>66.426229508196755</v>
      </c>
      <c r="C79">
        <v>97.257653061224659</v>
      </c>
      <c r="D79" s="9">
        <v>66.255678131083656</v>
      </c>
      <c r="E79" s="9">
        <v>95.833333333334011</v>
      </c>
      <c r="F79">
        <v>58.932238193018271</v>
      </c>
      <c r="G79">
        <v>91.312499999999545</v>
      </c>
      <c r="H79" s="12">
        <f t="shared" si="3"/>
        <v>63.871381944099561</v>
      </c>
      <c r="I79" s="12">
        <f t="shared" si="4"/>
        <v>94.801162131519405</v>
      </c>
      <c r="J79" s="3">
        <v>16</v>
      </c>
      <c r="K79" s="12">
        <f t="shared" si="5"/>
        <v>4.2782739146112192</v>
      </c>
      <c r="L79" s="15"/>
      <c r="M79" s="12"/>
      <c r="N79" s="12"/>
      <c r="O79" s="12"/>
      <c r="P79" s="12"/>
    </row>
    <row r="80" spans="1:16" ht="23.25" x14ac:dyDescent="0.35">
      <c r="A80" s="1" t="s">
        <v>87</v>
      </c>
      <c r="B80">
        <v>62.814719173660293</v>
      </c>
      <c r="C80">
        <v>95.381773399014307</v>
      </c>
      <c r="D80" s="9">
        <v>63.847643641058681</v>
      </c>
      <c r="E80" s="9">
        <v>95.381773399015017</v>
      </c>
      <c r="F80">
        <v>64.601769911504817</v>
      </c>
      <c r="G80">
        <v>94.166666666666458</v>
      </c>
      <c r="H80" s="12">
        <f t="shared" si="3"/>
        <v>63.754710908741266</v>
      </c>
      <c r="I80" s="12">
        <f t="shared" si="4"/>
        <v>94.976737821565266</v>
      </c>
      <c r="J80" s="7">
        <v>2</v>
      </c>
      <c r="K80" s="12">
        <f t="shared" si="5"/>
        <v>0.89714266115242225</v>
      </c>
      <c r="L80" s="15"/>
      <c r="M80" s="12"/>
      <c r="N80" s="12"/>
      <c r="O80" s="12"/>
      <c r="P80" s="12"/>
    </row>
    <row r="81" spans="1:16" ht="23.25" x14ac:dyDescent="0.35">
      <c r="A81" s="1" t="s">
        <v>88</v>
      </c>
      <c r="B81">
        <v>86.360655737705315</v>
      </c>
      <c r="C81">
        <v>92.987804878048252</v>
      </c>
      <c r="D81" s="9">
        <v>86.746189529489783</v>
      </c>
      <c r="E81" s="9">
        <v>94.312500000000369</v>
      </c>
      <c r="F81">
        <v>82.650602409638751</v>
      </c>
      <c r="G81">
        <v>91.008771929824263</v>
      </c>
      <c r="H81" s="12">
        <f t="shared" si="3"/>
        <v>85.252482558944621</v>
      </c>
      <c r="I81" s="12">
        <f t="shared" si="4"/>
        <v>92.769692269290957</v>
      </c>
      <c r="J81" s="3">
        <v>4</v>
      </c>
      <c r="K81" s="12">
        <f t="shared" si="5"/>
        <v>2.2615247753818357</v>
      </c>
      <c r="L81" s="15"/>
      <c r="M81" s="12"/>
      <c r="N81" s="12"/>
      <c r="O81" s="12"/>
      <c r="P81" s="12"/>
    </row>
    <row r="82" spans="1:16" x14ac:dyDescent="0.25">
      <c r="H82" s="12"/>
      <c r="I82" s="15"/>
      <c r="J82" s="15"/>
      <c r="K82" s="10"/>
      <c r="L82" s="15"/>
      <c r="M82" s="12"/>
      <c r="N82" s="12"/>
      <c r="O82" s="12"/>
      <c r="P82" s="12"/>
    </row>
    <row r="83" spans="1:16" x14ac:dyDescent="0.25">
      <c r="H83" s="12"/>
      <c r="I83" s="15"/>
      <c r="J83" s="15"/>
      <c r="K83" s="11"/>
      <c r="L83" s="15"/>
      <c r="M83" s="12"/>
      <c r="N83" s="12"/>
      <c r="O83" s="12"/>
      <c r="P83" s="12"/>
    </row>
    <row r="84" spans="1:16" x14ac:dyDescent="0.25">
      <c r="H84" s="12"/>
      <c r="I84" s="15"/>
      <c r="J84" s="15"/>
      <c r="K84" s="10"/>
      <c r="L84" s="15"/>
      <c r="M84" s="12"/>
      <c r="N84" s="12"/>
      <c r="O84" s="12"/>
      <c r="P84" s="12"/>
    </row>
    <row r="85" spans="1:16" x14ac:dyDescent="0.25">
      <c r="H85" s="12"/>
      <c r="I85" s="15"/>
      <c r="J85" s="15"/>
      <c r="K85" s="10"/>
      <c r="L85" s="15"/>
      <c r="M85" s="12"/>
      <c r="N85" s="12"/>
      <c r="O85" s="12"/>
      <c r="P85" s="12"/>
    </row>
    <row r="86" spans="1:16" x14ac:dyDescent="0.25">
      <c r="H86" s="12"/>
      <c r="I86" s="15"/>
      <c r="J86" s="15"/>
      <c r="K86" s="11"/>
      <c r="L86" s="15"/>
      <c r="M86" s="12"/>
      <c r="N86" s="12"/>
      <c r="O86" s="12"/>
      <c r="P86" s="12"/>
    </row>
    <row r="87" spans="1:16" x14ac:dyDescent="0.25">
      <c r="H87" s="12"/>
      <c r="I87" s="15"/>
      <c r="J87" s="15"/>
      <c r="K87" s="10"/>
      <c r="L87" s="15"/>
      <c r="M87" s="12"/>
      <c r="N87" s="12"/>
      <c r="O87" s="12"/>
      <c r="P87" s="12"/>
    </row>
    <row r="88" spans="1:16" x14ac:dyDescent="0.25">
      <c r="H88" s="12"/>
      <c r="I88" s="15"/>
      <c r="J88" s="15"/>
      <c r="K88" s="10"/>
      <c r="L88" s="15"/>
      <c r="M88" s="12"/>
      <c r="N88" s="12"/>
      <c r="O88" s="12"/>
      <c r="P88" s="12"/>
    </row>
    <row r="89" spans="1:16" x14ac:dyDescent="0.25">
      <c r="H89" s="12"/>
      <c r="I89" s="15"/>
      <c r="J89" s="15"/>
      <c r="K89" s="11"/>
      <c r="L89" s="15"/>
      <c r="M89" s="12"/>
      <c r="N89" s="12"/>
      <c r="O89" s="12"/>
      <c r="P89" s="12"/>
    </row>
    <row r="90" spans="1:16" x14ac:dyDescent="0.25">
      <c r="H90" s="12"/>
      <c r="I90" s="15"/>
      <c r="J90" s="15"/>
      <c r="K90" s="10"/>
      <c r="L90" s="15"/>
      <c r="M90" s="12"/>
      <c r="N90" s="12"/>
      <c r="O90" s="12"/>
      <c r="P90" s="12"/>
    </row>
    <row r="91" spans="1:16" x14ac:dyDescent="0.25">
      <c r="H91" s="12"/>
      <c r="I91" s="15"/>
      <c r="J91" s="15"/>
      <c r="K91" s="10"/>
      <c r="L91" s="15"/>
      <c r="M91" s="12"/>
      <c r="N91" s="12"/>
      <c r="O91" s="12"/>
      <c r="P91" s="12"/>
    </row>
    <row r="92" spans="1:16" x14ac:dyDescent="0.25">
      <c r="H92" s="12"/>
      <c r="I92" s="15"/>
      <c r="J92" s="15"/>
      <c r="K92" s="11"/>
      <c r="L92" s="15"/>
      <c r="M92" s="12"/>
      <c r="N92" s="12"/>
      <c r="O92" s="12"/>
      <c r="P92" s="12"/>
    </row>
    <row r="93" spans="1:16" x14ac:dyDescent="0.25">
      <c r="H93" s="12"/>
      <c r="I93" s="15"/>
      <c r="J93" s="15"/>
      <c r="K93" s="10"/>
      <c r="L93" s="15"/>
      <c r="M93" s="12"/>
      <c r="N93" s="12"/>
      <c r="O93" s="12"/>
      <c r="P93" s="12"/>
    </row>
    <row r="94" spans="1:16" x14ac:dyDescent="0.25">
      <c r="H94" s="12"/>
      <c r="I94" s="15"/>
      <c r="J94" s="15"/>
      <c r="K94" s="10"/>
      <c r="L94" s="15"/>
      <c r="M94" s="12"/>
      <c r="N94" s="12"/>
      <c r="O94" s="12"/>
      <c r="P94" s="12"/>
    </row>
    <row r="95" spans="1:16" x14ac:dyDescent="0.25">
      <c r="H95" s="12"/>
      <c r="I95" s="15"/>
      <c r="J95" s="15"/>
      <c r="K95" s="11"/>
      <c r="L95" s="15"/>
      <c r="M95" s="12"/>
      <c r="N95" s="12"/>
      <c r="O95" s="12"/>
      <c r="P95" s="12"/>
    </row>
    <row r="96" spans="1:16" x14ac:dyDescent="0.25">
      <c r="H96" s="12"/>
      <c r="I96" s="15"/>
      <c r="J96" s="15"/>
      <c r="K96" s="11"/>
      <c r="L96" s="15"/>
      <c r="M96" s="12"/>
      <c r="N96" s="12"/>
      <c r="O96" s="12"/>
      <c r="P96" s="12"/>
    </row>
    <row r="97" spans="8:17" x14ac:dyDescent="0.25">
      <c r="H97" s="12"/>
      <c r="I97" s="15"/>
      <c r="J97" s="15"/>
      <c r="K97" s="11"/>
      <c r="L97" s="15"/>
      <c r="M97" s="12"/>
      <c r="N97" s="12"/>
      <c r="O97" s="12"/>
      <c r="P97" s="12"/>
    </row>
    <row r="98" spans="8:17" x14ac:dyDescent="0.25">
      <c r="H98" s="12"/>
      <c r="I98" s="15"/>
      <c r="J98" s="15"/>
      <c r="K98" s="10"/>
      <c r="L98" s="15"/>
      <c r="M98" s="12"/>
      <c r="N98" s="12"/>
      <c r="O98" s="12"/>
      <c r="P98" s="12"/>
    </row>
    <row r="99" spans="8:17" x14ac:dyDescent="0.25">
      <c r="H99" s="12"/>
      <c r="I99" s="15"/>
      <c r="J99" s="15"/>
      <c r="K99" s="10"/>
      <c r="L99" s="15"/>
      <c r="M99" s="15"/>
      <c r="N99" s="15"/>
      <c r="O99" s="15"/>
      <c r="P99" s="15"/>
      <c r="Q99" s="9"/>
    </row>
    <row r="100" spans="8:17" x14ac:dyDescent="0.25">
      <c r="H100" s="12"/>
      <c r="I100" s="15"/>
      <c r="J100" s="15"/>
      <c r="K100" s="10"/>
      <c r="L100" s="15"/>
      <c r="M100" s="15"/>
      <c r="N100" s="15"/>
      <c r="O100" s="15"/>
      <c r="P100" s="15"/>
      <c r="Q100" s="9"/>
    </row>
    <row r="101" spans="8:17" x14ac:dyDescent="0.25">
      <c r="H101" s="12"/>
      <c r="I101" s="12"/>
      <c r="J101" s="15"/>
      <c r="K101" s="11"/>
      <c r="L101" s="15"/>
      <c r="M101" s="15"/>
      <c r="N101" s="15"/>
      <c r="O101" s="15"/>
      <c r="P101" s="15"/>
      <c r="Q101" s="9"/>
    </row>
    <row r="102" spans="8:17" x14ac:dyDescent="0.25">
      <c r="H102" s="12"/>
      <c r="I102" s="12"/>
      <c r="J102" s="15"/>
      <c r="K102" s="10"/>
      <c r="L102" s="15"/>
      <c r="M102" s="15"/>
      <c r="N102" s="15"/>
      <c r="O102" s="15"/>
      <c r="P102" s="15"/>
      <c r="Q102" s="9"/>
    </row>
    <row r="103" spans="8:17" x14ac:dyDescent="0.25">
      <c r="H103" s="12"/>
      <c r="I103" s="12"/>
      <c r="J103" s="15"/>
      <c r="K103" s="10"/>
      <c r="L103" s="15"/>
      <c r="M103" s="15"/>
      <c r="N103" s="15"/>
      <c r="O103" s="15"/>
      <c r="P103" s="15"/>
      <c r="Q103" s="9"/>
    </row>
    <row r="104" spans="8:17" x14ac:dyDescent="0.25">
      <c r="H104" s="12"/>
      <c r="I104" s="12"/>
      <c r="J104" s="15"/>
      <c r="K104" s="11"/>
      <c r="L104" s="15"/>
      <c r="M104" s="15"/>
      <c r="N104" s="15"/>
      <c r="O104" s="15"/>
      <c r="P104" s="15"/>
      <c r="Q104" s="9"/>
    </row>
    <row r="105" spans="8:17" x14ac:dyDescent="0.25">
      <c r="H105" s="12"/>
      <c r="I105" s="12"/>
      <c r="J105" s="15"/>
      <c r="K105" s="10"/>
      <c r="L105" s="15"/>
      <c r="M105" s="15"/>
      <c r="N105" s="15"/>
      <c r="O105" s="15"/>
      <c r="P105" s="15"/>
      <c r="Q105" s="9"/>
    </row>
    <row r="106" spans="8:17" x14ac:dyDescent="0.25">
      <c r="H106" s="12"/>
      <c r="I106" s="12"/>
      <c r="J106" s="15"/>
      <c r="K106" s="10"/>
      <c r="L106" s="15"/>
      <c r="M106" s="15"/>
      <c r="N106" s="15"/>
      <c r="O106" s="15"/>
      <c r="P106" s="15"/>
      <c r="Q106" s="9"/>
    </row>
    <row r="107" spans="8:17" x14ac:dyDescent="0.25">
      <c r="H107" s="12"/>
      <c r="I107" s="12"/>
      <c r="J107" s="15"/>
      <c r="K107" s="10"/>
      <c r="L107" s="15"/>
      <c r="M107" s="15"/>
      <c r="N107" s="15"/>
      <c r="O107" s="15"/>
      <c r="P107" s="15"/>
      <c r="Q107" s="9"/>
    </row>
    <row r="108" spans="8:17" x14ac:dyDescent="0.25">
      <c r="H108" s="12"/>
      <c r="I108" s="12"/>
      <c r="J108" s="15"/>
      <c r="K108" s="10"/>
      <c r="L108" s="15"/>
      <c r="M108" s="15"/>
      <c r="N108" s="15"/>
      <c r="O108" s="15"/>
      <c r="P108" s="15"/>
      <c r="Q108" s="9"/>
    </row>
    <row r="109" spans="8:17" x14ac:dyDescent="0.25">
      <c r="H109" s="12"/>
      <c r="I109" s="12"/>
      <c r="J109" s="15"/>
      <c r="K109" s="10"/>
      <c r="L109" s="15"/>
      <c r="M109" s="15"/>
      <c r="N109" s="15"/>
      <c r="O109" s="15"/>
      <c r="P109" s="15"/>
      <c r="Q109" s="9"/>
    </row>
    <row r="110" spans="8:17" x14ac:dyDescent="0.25">
      <c r="H110" s="12"/>
      <c r="I110" s="12"/>
      <c r="J110" s="15"/>
      <c r="K110" s="10"/>
      <c r="L110" s="15"/>
      <c r="M110" s="15"/>
      <c r="N110" s="15"/>
      <c r="O110" s="15"/>
      <c r="P110" s="15"/>
      <c r="Q110" s="9"/>
    </row>
    <row r="111" spans="8:17" x14ac:dyDescent="0.25">
      <c r="H111" s="12"/>
      <c r="I111" s="12"/>
      <c r="J111" s="15"/>
      <c r="K111" s="10"/>
      <c r="L111" s="15"/>
      <c r="M111" s="15"/>
      <c r="N111" s="15"/>
      <c r="O111" s="15"/>
      <c r="P111" s="15"/>
      <c r="Q111" s="9"/>
    </row>
    <row r="112" spans="8:17" x14ac:dyDescent="0.25">
      <c r="H112" s="12"/>
      <c r="I112" s="12"/>
      <c r="J112" s="15"/>
      <c r="K112" s="15"/>
      <c r="L112" s="15"/>
      <c r="M112" s="15"/>
      <c r="N112" s="15"/>
      <c r="O112" s="15"/>
      <c r="P112" s="15"/>
      <c r="Q112" s="9"/>
    </row>
    <row r="113" spans="10:17" x14ac:dyDescent="0.25">
      <c r="J113" s="9"/>
      <c r="K113" s="9"/>
      <c r="L113" s="9"/>
      <c r="M113" s="9"/>
      <c r="N113" s="9"/>
      <c r="O113" s="9"/>
      <c r="P113" s="9"/>
      <c r="Q113" s="9"/>
    </row>
    <row r="114" spans="10:17" x14ac:dyDescent="0.25">
      <c r="J114" s="9"/>
      <c r="K114" s="9"/>
      <c r="L114" s="9"/>
      <c r="M114" s="9"/>
      <c r="N114" s="9"/>
      <c r="O114" s="9"/>
      <c r="P114" s="9"/>
      <c r="Q114" s="9"/>
    </row>
    <row r="115" spans="10:17" x14ac:dyDescent="0.25">
      <c r="J115" s="9"/>
      <c r="K115" s="9"/>
      <c r="L115" s="9"/>
      <c r="M115" s="9"/>
      <c r="N115" s="9"/>
      <c r="O115" s="9"/>
      <c r="P115" s="9"/>
      <c r="Q115" s="9"/>
    </row>
    <row r="116" spans="10:17" x14ac:dyDescent="0.25">
      <c r="J116" s="9"/>
      <c r="K116" s="9"/>
      <c r="L116" s="9"/>
      <c r="M116" s="9"/>
      <c r="N116" s="9"/>
      <c r="O116" s="9"/>
      <c r="P116" s="9"/>
      <c r="Q116" s="9"/>
    </row>
    <row r="117" spans="10:17" x14ac:dyDescent="0.25">
      <c r="J117" s="9"/>
      <c r="K117" s="9"/>
      <c r="L117" s="9"/>
      <c r="M117" s="9"/>
      <c r="N117" s="9"/>
      <c r="O117" s="9"/>
      <c r="P117" s="9"/>
      <c r="Q117" s="9"/>
    </row>
    <row r="118" spans="10:17" x14ac:dyDescent="0.25">
      <c r="J118" s="9"/>
      <c r="K118" s="9"/>
      <c r="L118" s="9"/>
      <c r="M118" s="9"/>
      <c r="N118" s="9"/>
      <c r="O118" s="9"/>
      <c r="P118" s="9"/>
      <c r="Q118" s="9"/>
    </row>
    <row r="119" spans="10:17" x14ac:dyDescent="0.25">
      <c r="J119" s="9"/>
      <c r="K119" s="9"/>
      <c r="L119" s="9"/>
      <c r="M119" s="9"/>
      <c r="N119" s="9"/>
      <c r="O119" s="9"/>
      <c r="P119" s="9"/>
      <c r="Q119" s="9"/>
    </row>
    <row r="120" spans="10:17" x14ac:dyDescent="0.25">
      <c r="J120" s="9"/>
      <c r="K120" s="9"/>
      <c r="L120" s="9"/>
      <c r="M120" s="9"/>
      <c r="N120" s="9"/>
      <c r="O120" s="9"/>
      <c r="P120" s="9"/>
      <c r="Q120" s="9"/>
    </row>
    <row r="121" spans="10:17" x14ac:dyDescent="0.25">
      <c r="J121" s="9"/>
      <c r="K121" s="9"/>
      <c r="L121" s="9"/>
      <c r="M121" s="9"/>
      <c r="N121" s="9"/>
      <c r="O121" s="9"/>
      <c r="P121" s="9"/>
      <c r="Q121" s="9"/>
    </row>
    <row r="122" spans="10:17" x14ac:dyDescent="0.25">
      <c r="J122" s="9"/>
      <c r="K122" s="9"/>
      <c r="L122" s="9"/>
      <c r="M122" s="9"/>
      <c r="N122" s="9"/>
      <c r="O122" s="9"/>
      <c r="P122" s="9"/>
      <c r="Q122" s="9"/>
    </row>
    <row r="123" spans="10:17" x14ac:dyDescent="0.25">
      <c r="J123" s="9"/>
      <c r="K123" s="9"/>
      <c r="L123" s="9"/>
      <c r="M123" s="9"/>
      <c r="N123" s="9"/>
      <c r="O123" s="9"/>
      <c r="P123" s="9"/>
      <c r="Q123" s="9"/>
    </row>
    <row r="124" spans="10:17" x14ac:dyDescent="0.25">
      <c r="J124" s="9"/>
      <c r="K124" s="9"/>
      <c r="L124" s="9"/>
      <c r="M124" s="9"/>
      <c r="N124" s="9"/>
      <c r="O124" s="9"/>
      <c r="P124" s="9"/>
      <c r="Q124" s="9"/>
    </row>
    <row r="125" spans="10:17" x14ac:dyDescent="0.25">
      <c r="J125" s="9"/>
      <c r="K125" s="9"/>
      <c r="L125" s="9"/>
      <c r="M125" s="9"/>
      <c r="N125" s="9"/>
      <c r="O125" s="9"/>
      <c r="P125" s="9"/>
      <c r="Q125" s="9"/>
    </row>
    <row r="126" spans="10:17" x14ac:dyDescent="0.25">
      <c r="J126" s="9"/>
      <c r="K126" s="9"/>
      <c r="L126" s="9"/>
      <c r="M126" s="9"/>
      <c r="N126" s="9"/>
      <c r="O126" s="9"/>
      <c r="P126" s="9"/>
      <c r="Q126" s="9"/>
    </row>
    <row r="127" spans="10:17" x14ac:dyDescent="0.25">
      <c r="J127" s="9"/>
      <c r="K127" s="9"/>
      <c r="L127" s="9"/>
      <c r="M127" s="9"/>
      <c r="N127" s="9"/>
      <c r="O127" s="9"/>
      <c r="P127" s="9"/>
      <c r="Q127" s="9"/>
    </row>
    <row r="128" spans="10:17" x14ac:dyDescent="0.25">
      <c r="J128" s="9"/>
      <c r="K128" s="9"/>
      <c r="L128" s="9"/>
      <c r="M128" s="9"/>
      <c r="N128" s="9"/>
      <c r="O128" s="9"/>
      <c r="P128" s="9"/>
      <c r="Q128" s="9"/>
    </row>
    <row r="129" spans="10:17" x14ac:dyDescent="0.25">
      <c r="J129" s="9"/>
      <c r="K129" s="9"/>
      <c r="L129" s="9"/>
      <c r="M129" s="9"/>
      <c r="N129" s="9"/>
      <c r="O129" s="9"/>
      <c r="P129" s="9"/>
      <c r="Q129" s="9"/>
    </row>
    <row r="130" spans="10:17" x14ac:dyDescent="0.25">
      <c r="J130" s="9"/>
      <c r="K130" s="9"/>
      <c r="L130" s="9"/>
      <c r="M130" s="9"/>
      <c r="N130" s="9"/>
      <c r="O130" s="9"/>
      <c r="P130" s="9"/>
      <c r="Q130" s="9"/>
    </row>
    <row r="131" spans="10:17" x14ac:dyDescent="0.25">
      <c r="J131" s="9"/>
      <c r="K131" s="9"/>
      <c r="L131" s="9"/>
      <c r="M131" s="9"/>
      <c r="N131" s="9"/>
      <c r="O131" s="9"/>
      <c r="P131" s="9"/>
      <c r="Q131" s="9"/>
    </row>
    <row r="132" spans="10:17" x14ac:dyDescent="0.25">
      <c r="J132" s="9"/>
      <c r="K132" s="9"/>
      <c r="L132" s="9"/>
      <c r="M132" s="9"/>
      <c r="N132" s="9"/>
      <c r="O132" s="9"/>
      <c r="P132" s="9"/>
      <c r="Q132" s="9"/>
    </row>
    <row r="133" spans="10:17" x14ac:dyDescent="0.25">
      <c r="J133" s="9"/>
      <c r="K133" s="9"/>
      <c r="L133" s="9"/>
      <c r="M133" s="9"/>
      <c r="N133" s="9"/>
      <c r="O133" s="9"/>
      <c r="P133" s="9"/>
      <c r="Q133" s="9"/>
    </row>
    <row r="134" spans="10:17" x14ac:dyDescent="0.25">
      <c r="J134" s="9"/>
      <c r="K134" s="9"/>
      <c r="L134" s="9"/>
      <c r="M134" s="9"/>
      <c r="N134" s="9"/>
      <c r="O134" s="9"/>
      <c r="P134" s="9"/>
      <c r="Q134" s="9"/>
    </row>
    <row r="135" spans="10:17" x14ac:dyDescent="0.25">
      <c r="J135" s="9"/>
      <c r="K135" s="9"/>
      <c r="L135" s="9"/>
      <c r="M135" s="9"/>
      <c r="N135" s="9"/>
      <c r="O135" s="9"/>
      <c r="P135" s="9"/>
      <c r="Q135" s="9"/>
    </row>
    <row r="136" spans="10:17" x14ac:dyDescent="0.25">
      <c r="J136" s="9"/>
      <c r="K136" s="9"/>
      <c r="L136" s="9"/>
      <c r="M136" s="9"/>
      <c r="N136" s="9"/>
      <c r="O136" s="9"/>
      <c r="P136" s="9"/>
      <c r="Q136" s="9"/>
    </row>
    <row r="137" spans="10:17" x14ac:dyDescent="0.25">
      <c r="J137" s="9"/>
      <c r="K137" s="9"/>
      <c r="L137" s="9"/>
      <c r="M137" s="9"/>
      <c r="N137" s="9"/>
      <c r="O137" s="9"/>
      <c r="P137" s="9"/>
      <c r="Q137" s="9"/>
    </row>
    <row r="138" spans="10:17" x14ac:dyDescent="0.25">
      <c r="J138" s="9"/>
      <c r="K138" s="9"/>
      <c r="L138" s="9"/>
      <c r="M138" s="9"/>
      <c r="N138" s="9"/>
      <c r="O138" s="9"/>
      <c r="P138" s="9"/>
      <c r="Q138" s="9"/>
    </row>
    <row r="139" spans="10:17" x14ac:dyDescent="0.25">
      <c r="J139" s="9"/>
      <c r="K139" s="9"/>
      <c r="L139" s="9"/>
      <c r="M139" s="9"/>
      <c r="N139" s="9"/>
      <c r="O139" s="9"/>
      <c r="P139" s="9"/>
      <c r="Q139" s="9"/>
    </row>
    <row r="140" spans="10:17" x14ac:dyDescent="0.25">
      <c r="J140" s="9"/>
      <c r="K140" s="9"/>
      <c r="L140" s="9"/>
      <c r="M140" s="9"/>
      <c r="N140" s="9"/>
      <c r="O140" s="9"/>
      <c r="P140" s="9"/>
      <c r="Q140" s="9"/>
    </row>
    <row r="141" spans="10:17" x14ac:dyDescent="0.25">
      <c r="J141" s="9"/>
      <c r="K141" s="9"/>
      <c r="L141" s="9"/>
      <c r="M141" s="9"/>
      <c r="N141" s="9"/>
      <c r="O141" s="9"/>
      <c r="P141" s="9"/>
      <c r="Q141" s="9"/>
    </row>
    <row r="142" spans="10:17" x14ac:dyDescent="0.25">
      <c r="J142" s="9"/>
      <c r="K142" s="9"/>
      <c r="L142" s="9"/>
      <c r="M142" s="9"/>
      <c r="N142" s="9"/>
      <c r="O142" s="9"/>
      <c r="P142" s="9"/>
      <c r="Q142" s="9"/>
    </row>
    <row r="143" spans="10:17" x14ac:dyDescent="0.25">
      <c r="J143" s="9"/>
      <c r="K143" s="9"/>
      <c r="L143" s="9"/>
      <c r="M143" s="9"/>
      <c r="N143" s="9"/>
      <c r="O143" s="9"/>
      <c r="P143" s="9"/>
      <c r="Q143" s="9"/>
    </row>
    <row r="144" spans="10:17" x14ac:dyDescent="0.25">
      <c r="J144" s="9"/>
      <c r="K144" s="9"/>
      <c r="L144" s="9"/>
      <c r="M144" s="9"/>
      <c r="N144" s="9"/>
      <c r="O144" s="9"/>
      <c r="P144" s="9"/>
      <c r="Q144" s="9"/>
    </row>
    <row r="145" spans="10:17" x14ac:dyDescent="0.25">
      <c r="J145" s="9"/>
      <c r="K145" s="9"/>
      <c r="L145" s="9"/>
      <c r="M145" s="9"/>
      <c r="N145" s="9"/>
      <c r="O145" s="9"/>
      <c r="P145" s="9"/>
      <c r="Q145" s="9"/>
    </row>
    <row r="146" spans="10:17" x14ac:dyDescent="0.25">
      <c r="J146" s="9"/>
      <c r="K146" s="9"/>
      <c r="L146" s="9"/>
      <c r="M146" s="9"/>
      <c r="N146" s="9"/>
      <c r="O146" s="9"/>
      <c r="P146" s="9"/>
      <c r="Q146" s="9"/>
    </row>
    <row r="147" spans="10:17" x14ac:dyDescent="0.25">
      <c r="J147" s="9"/>
      <c r="K147" s="9"/>
      <c r="L147" s="9"/>
      <c r="M147" s="9"/>
      <c r="N147" s="9"/>
      <c r="O147" s="9"/>
      <c r="P147" s="9"/>
      <c r="Q147" s="9"/>
    </row>
    <row r="148" spans="10:17" x14ac:dyDescent="0.25">
      <c r="J148" s="9"/>
      <c r="K148" s="9"/>
      <c r="L148" s="9"/>
      <c r="M148" s="9"/>
      <c r="N148" s="9"/>
      <c r="O148" s="9"/>
      <c r="P148" s="9"/>
      <c r="Q148" s="9"/>
    </row>
    <row r="149" spans="10:17" x14ac:dyDescent="0.25">
      <c r="J149" s="9"/>
      <c r="K149" s="9"/>
      <c r="L149" s="9"/>
      <c r="M149" s="9"/>
      <c r="N149" s="9"/>
      <c r="O149" s="9"/>
      <c r="P149" s="9"/>
      <c r="Q149" s="9"/>
    </row>
    <row r="150" spans="10:17" x14ac:dyDescent="0.25">
      <c r="J150" s="9"/>
      <c r="K150" s="9"/>
      <c r="L150" s="9"/>
      <c r="M150" s="9"/>
      <c r="N150" s="9"/>
      <c r="O150" s="9"/>
      <c r="P150" s="9"/>
      <c r="Q150" s="9"/>
    </row>
    <row r="151" spans="10:17" x14ac:dyDescent="0.25">
      <c r="J151" s="9"/>
      <c r="K151" s="9"/>
      <c r="L151" s="9"/>
      <c r="M151" s="9"/>
      <c r="N151" s="9"/>
      <c r="O151" s="9"/>
      <c r="P151" s="9"/>
      <c r="Q151" s="9"/>
    </row>
    <row r="152" spans="10:17" x14ac:dyDescent="0.25">
      <c r="J152" s="9"/>
      <c r="K152" s="9"/>
      <c r="L152" s="9"/>
      <c r="M152" s="9"/>
      <c r="N152" s="9"/>
      <c r="O152" s="9"/>
      <c r="P152" s="9"/>
      <c r="Q152" s="9"/>
    </row>
    <row r="153" spans="10:17" x14ac:dyDescent="0.25">
      <c r="J153" s="9"/>
      <c r="K153" s="9"/>
      <c r="L153" s="9"/>
      <c r="M153" s="9"/>
      <c r="N153" s="9"/>
      <c r="O153" s="9"/>
      <c r="P153" s="9"/>
      <c r="Q153" s="9"/>
    </row>
    <row r="154" spans="10:17" x14ac:dyDescent="0.25">
      <c r="J154" s="9"/>
      <c r="K154" s="9"/>
      <c r="L154" s="9"/>
      <c r="M154" s="9"/>
      <c r="N154" s="9"/>
      <c r="O154" s="9"/>
      <c r="P154" s="9"/>
      <c r="Q154" s="9"/>
    </row>
    <row r="155" spans="10:17" x14ac:dyDescent="0.25">
      <c r="J155" s="9"/>
      <c r="K155" s="9"/>
      <c r="L155" s="9"/>
      <c r="M155" s="9"/>
      <c r="N155" s="9"/>
      <c r="O155" s="9"/>
      <c r="P155" s="9"/>
      <c r="Q155" s="9"/>
    </row>
    <row r="156" spans="10:17" x14ac:dyDescent="0.25">
      <c r="J156" s="9"/>
      <c r="K156" s="9"/>
      <c r="L156" s="9"/>
      <c r="M156" s="9"/>
      <c r="N156" s="9"/>
      <c r="O156" s="9"/>
      <c r="P156" s="9"/>
      <c r="Q156" s="9"/>
    </row>
    <row r="157" spans="10:17" x14ac:dyDescent="0.25">
      <c r="J157" s="9"/>
      <c r="K157" s="9"/>
      <c r="L157" s="9"/>
      <c r="M157" s="9"/>
      <c r="N157" s="9"/>
      <c r="O157" s="9"/>
      <c r="P157" s="9"/>
      <c r="Q157" s="9"/>
    </row>
    <row r="158" spans="10:17" x14ac:dyDescent="0.25">
      <c r="J158" s="9"/>
      <c r="K158" s="9"/>
      <c r="L158" s="9"/>
      <c r="M158" s="9"/>
      <c r="N158" s="9"/>
      <c r="O158" s="9"/>
      <c r="P158" s="9"/>
      <c r="Q158" s="9"/>
    </row>
    <row r="159" spans="10:17" x14ac:dyDescent="0.25">
      <c r="J159" s="9"/>
      <c r="K159" s="9"/>
      <c r="L159" s="9"/>
      <c r="M159" s="9"/>
      <c r="N159" s="9"/>
      <c r="O159" s="9"/>
      <c r="P159" s="9"/>
      <c r="Q159" s="9"/>
    </row>
    <row r="160" spans="10:17" x14ac:dyDescent="0.25">
      <c r="J160" s="9"/>
      <c r="K160" s="9"/>
      <c r="L160" s="9"/>
      <c r="M160" s="9"/>
      <c r="N160" s="9"/>
      <c r="O160" s="9"/>
      <c r="P160" s="9"/>
      <c r="Q160" s="9"/>
    </row>
    <row r="161" spans="10:17" x14ac:dyDescent="0.25">
      <c r="J161" s="9"/>
      <c r="K161" s="9"/>
      <c r="L161" s="9"/>
      <c r="M161" s="9"/>
      <c r="N161" s="9"/>
      <c r="O161" s="9"/>
      <c r="P161" s="9"/>
      <c r="Q161" s="9"/>
    </row>
  </sheetData>
  <sortState xmlns:xlrd2="http://schemas.microsoft.com/office/spreadsheetml/2017/richdata2" ref="M2:O228">
    <sortCondition ref="M2:M228"/>
  </sortState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</vt:lpstr>
    </vt:vector>
  </TitlesOfParts>
  <Company>iDiv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Horbach, Sophie</dc:creator>
  <cp:lastModifiedBy>Munschek, Marius</cp:lastModifiedBy>
  <dcterms:created xsi:type="dcterms:W3CDTF">2024-09-18T09:47:13Z</dcterms:created>
  <dcterms:modified xsi:type="dcterms:W3CDTF">2025-07-23T08:48:05Z</dcterms:modified>
</cp:coreProperties>
</file>