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68tulo\Desktop\Jena Chapter\Data Analysis\1_Data\Biomass_Above\"/>
    </mc:Choice>
  </mc:AlternateContent>
  <xr:revisionPtr revIDLastSave="0" documentId="13_ncr:1_{81FCB8C2-1FA5-4970-98E6-55786C9DD57A}" xr6:coauthVersionLast="47" xr6:coauthVersionMax="47" xr10:uidLastSave="{00000000-0000-0000-0000-000000000000}"/>
  <bookViews>
    <workbookView xWindow="-120" yWindow="-120" windowWidth="29040" windowHeight="15720" xr2:uid="{5F56A753-4032-4364-A506-D08E098E6B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9" i="1"/>
  <c r="F8" i="1"/>
  <c r="F7" i="1"/>
  <c r="F6" i="1"/>
  <c r="F5" i="1"/>
  <c r="F4" i="1"/>
  <c r="F21" i="1"/>
  <c r="F20" i="1"/>
  <c r="F19" i="1"/>
  <c r="F18" i="1"/>
  <c r="F17" i="1"/>
  <c r="F16" i="1"/>
  <c r="F15" i="1"/>
  <c r="F14" i="1"/>
  <c r="F13" i="1"/>
  <c r="F12" i="1"/>
  <c r="F11" i="1"/>
  <c r="F10" i="1"/>
  <c r="F22" i="1"/>
</calcChain>
</file>

<file path=xl/sharedStrings.xml><?xml version="1.0" encoding="utf-8"?>
<sst xmlns="http://schemas.openxmlformats.org/spreadsheetml/2006/main" count="27" uniqueCount="7">
  <si>
    <t>year</t>
  </si>
  <si>
    <t>state</t>
  </si>
  <si>
    <t>price</t>
  </si>
  <si>
    <t>yield</t>
  </si>
  <si>
    <t>costs_ton</t>
  </si>
  <si>
    <t>costs_ha</t>
  </si>
  <si>
    <t>Hessen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</si>
</sst>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6" tint="0.79998168889431442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 applyAlignment="1">
      <alignment horizontal="right" vertical="center" wrapText="1"/>
    </xf>
    <xf numFmtId="0" fontId="0" fillId="3" borderId="0" xfId="0" applyFill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5A710-86D2-4789-85FE-9879CFBD2701}">
  <dimension ref="A1:K22"/>
  <sheetViews>
    <sheetView tabSelected="1" workbookViewId="0">
      <selection activeCell="J8" sqref="J8"/>
    </sheetView>
  </sheetViews>
  <sheetFormatPr defaultRowHeight="15" x14ac:dyDescent="0.25"/>
  <cols>
    <col min="3" max="3" width="12" customWidth="1"/>
    <col min="4" max="4" width="15.5703125" customWidth="1"/>
    <col min="5" max="5" width="15" customWidth="1"/>
    <col min="6" max="6" width="11.5703125" customWidth="1"/>
  </cols>
  <sheetData>
    <row r="1" spans="1:11" ht="15.75" thickBot="1" x14ac:dyDescent="0.3">
      <c r="A1" s="3" t="s">
        <v>1</v>
      </c>
      <c r="B1" s="3" t="s">
        <v>0</v>
      </c>
      <c r="C1" s="3" t="s">
        <v>3</v>
      </c>
      <c r="D1" s="3" t="s">
        <v>2</v>
      </c>
      <c r="E1" s="3" t="s">
        <v>5</v>
      </c>
      <c r="F1" s="3" t="s">
        <v>4</v>
      </c>
      <c r="G1" s="4"/>
      <c r="H1" s="4"/>
      <c r="I1" s="4"/>
    </row>
    <row r="2" spans="1:11" ht="15.75" thickBot="1" x14ac:dyDescent="0.3">
      <c r="A2" s="6" t="s">
        <v>6</v>
      </c>
      <c r="B2">
        <v>2003</v>
      </c>
      <c r="C2" s="7">
        <v>71.7</v>
      </c>
      <c r="D2" s="8">
        <v>96.924761904761922</v>
      </c>
      <c r="E2" s="7">
        <v>96</v>
      </c>
      <c r="F2">
        <f>E2/C2*10</f>
        <v>13.389121338912133</v>
      </c>
      <c r="G2" s="5"/>
      <c r="H2" s="5"/>
      <c r="I2" s="5"/>
    </row>
    <row r="3" spans="1:11" ht="15.75" thickBot="1" x14ac:dyDescent="0.3">
      <c r="A3" s="6" t="s">
        <v>6</v>
      </c>
      <c r="B3">
        <v>2004</v>
      </c>
      <c r="C3" s="2">
        <v>45.8</v>
      </c>
      <c r="D3" s="8">
        <v>122.509166666667</v>
      </c>
      <c r="E3" s="1">
        <v>82</v>
      </c>
      <c r="F3">
        <f>E3/C3*10</f>
        <v>17.903930131004369</v>
      </c>
      <c r="G3" s="5"/>
      <c r="H3" s="5"/>
      <c r="I3" s="5"/>
    </row>
    <row r="4" spans="1:11" ht="15.75" thickBot="1" x14ac:dyDescent="0.3">
      <c r="A4" s="6" t="s">
        <v>6</v>
      </c>
      <c r="B4">
        <v>2005</v>
      </c>
      <c r="C4" s="7">
        <v>69.8</v>
      </c>
      <c r="D4" s="8">
        <v>71.067499999999995</v>
      </c>
      <c r="E4" s="7">
        <v>99</v>
      </c>
      <c r="F4">
        <f>E4/C4*10</f>
        <v>14.183381088825215</v>
      </c>
      <c r="G4" s="5"/>
      <c r="H4" s="5"/>
      <c r="I4" s="5"/>
    </row>
    <row r="5" spans="1:11" ht="15.75" thickBot="1" x14ac:dyDescent="0.3">
      <c r="A5" s="6" t="s">
        <v>6</v>
      </c>
      <c r="B5">
        <v>2006</v>
      </c>
      <c r="C5" s="7">
        <v>64.599999999999994</v>
      </c>
      <c r="D5" s="8">
        <v>68.99944444444445</v>
      </c>
      <c r="E5" s="7">
        <v>93</v>
      </c>
      <c r="F5">
        <f>E5/C5*10</f>
        <v>14.396284829721363</v>
      </c>
      <c r="G5" s="5"/>
      <c r="H5" s="5"/>
      <c r="I5" s="5"/>
    </row>
    <row r="6" spans="1:11" ht="15.75" thickBot="1" x14ac:dyDescent="0.3">
      <c r="A6" s="6" t="s">
        <v>6</v>
      </c>
      <c r="B6">
        <v>2007</v>
      </c>
      <c r="C6" s="7">
        <v>67.8</v>
      </c>
      <c r="D6" s="8">
        <v>93.052647058823524</v>
      </c>
      <c r="E6" s="7">
        <v>105</v>
      </c>
      <c r="F6">
        <f>E6/C6*10</f>
        <v>15.486725663716815</v>
      </c>
      <c r="G6" s="5"/>
      <c r="H6" s="5"/>
      <c r="I6" s="5"/>
    </row>
    <row r="7" spans="1:11" ht="15.75" thickBot="1" x14ac:dyDescent="0.3">
      <c r="A7" s="6" t="s">
        <v>6</v>
      </c>
      <c r="B7">
        <v>2008</v>
      </c>
      <c r="C7" s="7">
        <v>69.5</v>
      </c>
      <c r="D7" s="8">
        <v>108.02</v>
      </c>
      <c r="E7" s="7">
        <v>130</v>
      </c>
      <c r="F7">
        <f>E7/C7*10</f>
        <v>18.705035971223019</v>
      </c>
      <c r="G7" s="5"/>
      <c r="H7" s="5"/>
      <c r="I7" s="5"/>
    </row>
    <row r="8" spans="1:11" ht="15.75" thickBot="1" x14ac:dyDescent="0.3">
      <c r="A8" s="6" t="s">
        <v>6</v>
      </c>
      <c r="B8">
        <v>2009</v>
      </c>
      <c r="C8" s="7">
        <v>56.7</v>
      </c>
      <c r="D8" s="8">
        <v>123.21249999999999</v>
      </c>
      <c r="E8" s="7">
        <v>165</v>
      </c>
      <c r="F8">
        <f>E8/C8*10</f>
        <v>29.100529100529098</v>
      </c>
      <c r="G8" s="5"/>
      <c r="H8" s="5"/>
      <c r="I8" s="5"/>
    </row>
    <row r="9" spans="1:11" ht="15.75" thickBot="1" x14ac:dyDescent="0.3">
      <c r="A9" s="6" t="s">
        <v>6</v>
      </c>
      <c r="B9">
        <v>2010</v>
      </c>
      <c r="C9" s="7">
        <v>66.7</v>
      </c>
      <c r="D9" s="8">
        <v>124.26388888888889</v>
      </c>
      <c r="E9" s="7">
        <v>120</v>
      </c>
      <c r="F9">
        <f>E9/C9*10</f>
        <v>17.991004497751124</v>
      </c>
      <c r="G9" s="5"/>
      <c r="H9" s="5"/>
      <c r="I9" s="5"/>
    </row>
    <row r="10" spans="1:11" ht="15.75" thickBot="1" x14ac:dyDescent="0.3">
      <c r="A10" s="6" t="s">
        <v>6</v>
      </c>
      <c r="B10">
        <v>2011</v>
      </c>
      <c r="C10" s="1">
        <v>73.7</v>
      </c>
      <c r="D10" s="8">
        <v>158.89861111111114</v>
      </c>
      <c r="E10" s="1">
        <v>166</v>
      </c>
      <c r="F10">
        <f>E10/C10*10</f>
        <v>22.523744911804613</v>
      </c>
      <c r="G10" s="5"/>
      <c r="H10" s="5"/>
      <c r="I10" s="5"/>
    </row>
    <row r="11" spans="1:11" ht="15.75" thickBot="1" x14ac:dyDescent="0.3">
      <c r="A11" s="6" t="s">
        <v>6</v>
      </c>
      <c r="B11">
        <v>2012</v>
      </c>
      <c r="C11" s="2">
        <v>72.099999999999994</v>
      </c>
      <c r="D11" s="8">
        <v>169.32888888888897</v>
      </c>
      <c r="E11" s="1">
        <v>167</v>
      </c>
      <c r="F11">
        <f>E11/C11*10</f>
        <v>23.1622746185853</v>
      </c>
      <c r="G11" s="5"/>
      <c r="H11" s="5"/>
      <c r="I11" s="5"/>
    </row>
    <row r="12" spans="1:11" ht="15.75" thickBot="1" x14ac:dyDescent="0.3">
      <c r="A12" s="6" t="s">
        <v>6</v>
      </c>
      <c r="B12">
        <v>2013</v>
      </c>
      <c r="C12" s="1">
        <v>67.8</v>
      </c>
      <c r="D12" s="8">
        <v>125.42666666666666</v>
      </c>
      <c r="E12" s="1">
        <v>141</v>
      </c>
      <c r="F12">
        <f>E12/C12*10</f>
        <v>20.79646017699115</v>
      </c>
      <c r="G12" s="5"/>
      <c r="H12" s="5"/>
      <c r="I12" s="5"/>
    </row>
    <row r="13" spans="1:11" ht="15.75" thickBot="1" x14ac:dyDescent="0.3">
      <c r="A13" s="6" t="s">
        <v>6</v>
      </c>
      <c r="B13">
        <v>2014</v>
      </c>
      <c r="C13" s="2">
        <v>71.400000000000006</v>
      </c>
      <c r="D13" s="8">
        <v>121.85638888888889</v>
      </c>
      <c r="E13" s="1">
        <v>150</v>
      </c>
      <c r="F13">
        <f>E13/C13*10</f>
        <v>21.008403361344534</v>
      </c>
      <c r="G13" s="5"/>
      <c r="H13" s="5"/>
      <c r="I13" s="5"/>
    </row>
    <row r="14" spans="1:11" ht="15.75" thickBot="1" x14ac:dyDescent="0.3">
      <c r="A14" s="6" t="s">
        <v>6</v>
      </c>
      <c r="B14">
        <v>2015</v>
      </c>
      <c r="C14" s="1">
        <v>79.900000000000006</v>
      </c>
      <c r="D14" s="8">
        <v>138.29777777777778</v>
      </c>
      <c r="E14" s="1">
        <v>171</v>
      </c>
      <c r="F14">
        <f>E14/C14*10</f>
        <v>21.401752190237797</v>
      </c>
      <c r="J14" s="5"/>
      <c r="K14" s="5"/>
    </row>
    <row r="15" spans="1:11" x14ac:dyDescent="0.25">
      <c r="A15" s="6" t="s">
        <v>6</v>
      </c>
      <c r="B15">
        <v>2016</v>
      </c>
      <c r="C15" s="2">
        <v>79.900000000000006</v>
      </c>
      <c r="D15" s="8">
        <v>146.76805555555555</v>
      </c>
      <c r="E15" s="1">
        <v>163</v>
      </c>
      <c r="F15">
        <f>E15/C15*10</f>
        <v>20.400500625782225</v>
      </c>
    </row>
    <row r="16" spans="1:11" x14ac:dyDescent="0.25">
      <c r="A16" s="6" t="s">
        <v>6</v>
      </c>
      <c r="B16">
        <v>2017</v>
      </c>
      <c r="C16" s="1">
        <v>72.2</v>
      </c>
      <c r="D16" s="8">
        <v>127.11333333333336</v>
      </c>
      <c r="E16" s="1">
        <v>119</v>
      </c>
      <c r="F16">
        <f>E16/C16*10</f>
        <v>16.481994459833796</v>
      </c>
    </row>
    <row r="17" spans="1:6" x14ac:dyDescent="0.25">
      <c r="A17" s="6" t="s">
        <v>6</v>
      </c>
      <c r="B17">
        <v>2018</v>
      </c>
      <c r="C17" s="2">
        <v>73.099999999999994</v>
      </c>
      <c r="D17" s="8">
        <v>146.29444444444445</v>
      </c>
      <c r="E17" s="1">
        <v>137</v>
      </c>
      <c r="F17">
        <f>E17/C17*10</f>
        <v>18.741450068399455</v>
      </c>
    </row>
    <row r="18" spans="1:6" x14ac:dyDescent="0.25">
      <c r="A18" s="6" t="s">
        <v>6</v>
      </c>
      <c r="B18">
        <v>2019</v>
      </c>
      <c r="C18" s="1">
        <v>47.7</v>
      </c>
      <c r="D18" s="8">
        <v>186.49916666666664</v>
      </c>
      <c r="E18" s="1">
        <v>111</v>
      </c>
      <c r="F18">
        <f>E18/C18*10</f>
        <v>23.270440251572325</v>
      </c>
    </row>
    <row r="19" spans="1:6" x14ac:dyDescent="0.25">
      <c r="A19" s="6" t="s">
        <v>6</v>
      </c>
      <c r="B19">
        <v>2020</v>
      </c>
      <c r="C19" s="2">
        <v>57.7</v>
      </c>
      <c r="D19" s="8">
        <v>155.2827777777778</v>
      </c>
      <c r="E19" s="1">
        <v>105</v>
      </c>
      <c r="F19">
        <f>E19/C19*10</f>
        <v>18.197573656845755</v>
      </c>
    </row>
    <row r="20" spans="1:6" x14ac:dyDescent="0.25">
      <c r="A20" s="6" t="s">
        <v>6</v>
      </c>
      <c r="B20">
        <v>2021</v>
      </c>
      <c r="C20" s="1">
        <v>51.1</v>
      </c>
      <c r="D20" s="8">
        <v>155.97611111111109</v>
      </c>
      <c r="E20" s="1">
        <v>96</v>
      </c>
      <c r="F20">
        <f>E20/C20*10</f>
        <v>18.786692759295498</v>
      </c>
    </row>
    <row r="21" spans="1:6" x14ac:dyDescent="0.25">
      <c r="A21" s="6" t="s">
        <v>6</v>
      </c>
      <c r="B21">
        <v>2022</v>
      </c>
      <c r="C21" s="2">
        <v>72.400000000000006</v>
      </c>
      <c r="D21" s="8">
        <v>144.57805555555558</v>
      </c>
      <c r="E21" s="1">
        <v>329</v>
      </c>
      <c r="F21">
        <f>E21/C21*10</f>
        <v>45.44198895027624</v>
      </c>
    </row>
    <row r="22" spans="1:6" x14ac:dyDescent="0.25">
      <c r="A22" s="6" t="s">
        <v>6</v>
      </c>
      <c r="B22">
        <v>2023</v>
      </c>
      <c r="C22" s="1">
        <v>67.7</v>
      </c>
      <c r="D22" s="9">
        <v>160.27666666666667</v>
      </c>
      <c r="E22" s="1">
        <v>263</v>
      </c>
      <c r="F22">
        <f>E22/C22*10</f>
        <v>38.847858197932055</v>
      </c>
    </row>
  </sheetData>
  <sortState xmlns:xlrd2="http://schemas.microsoft.com/office/spreadsheetml/2017/richdata2" ref="A2:F22">
    <sortCondition ref="B2:B22"/>
  </sortState>
  <phoneticPr fontId="3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944D13D-B61F-4D2C-8B8A-21B431FC99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iDiv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Munschek, Marius</dc:creator>
  <cp:lastModifiedBy>Munschek, Marius</cp:lastModifiedBy>
  <dcterms:created xsi:type="dcterms:W3CDTF">2025-06-03T11:24:14Z</dcterms:created>
  <dcterms:modified xsi:type="dcterms:W3CDTF">2025-11-24T12:00:08Z</dcterms:modified>
</cp:coreProperties>
</file>