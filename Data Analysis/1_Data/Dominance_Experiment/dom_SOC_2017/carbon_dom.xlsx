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4E86ED2-997F-4FAF-A65E-3D1120722FBF}" xr6:coauthVersionLast="47" xr6:coauthVersionMax="47" xr10:uidLastSave="{00000000-0000-0000-0000-000000000000}"/>
  <bookViews>
    <workbookView xWindow="9600" yWindow="2955" windowWidth="16410" windowHeight="1123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8" i="1" l="1"/>
  <c r="M87" i="1"/>
  <c r="M84" i="1"/>
  <c r="M83" i="1"/>
  <c r="M82" i="1"/>
  <c r="K74" i="1"/>
  <c r="M79" i="1"/>
  <c r="K73" i="1"/>
  <c r="M71" i="1"/>
  <c r="K66" i="1"/>
  <c r="M49" i="1"/>
  <c r="M48" i="1"/>
  <c r="M46" i="1"/>
  <c r="M45" i="1"/>
  <c r="K41" i="1"/>
  <c r="M37" i="1"/>
  <c r="M36" i="1"/>
  <c r="M34" i="1"/>
  <c r="K32" i="1"/>
  <c r="K29" i="1"/>
  <c r="K27" i="1"/>
  <c r="J21" i="1"/>
  <c r="K20" i="1"/>
  <c r="M19" i="1"/>
  <c r="M18" i="1"/>
  <c r="M15" i="1"/>
  <c r="M14" i="1"/>
  <c r="K12" i="1"/>
  <c r="K11" i="1"/>
  <c r="K10" i="1"/>
  <c r="K9" i="1"/>
  <c r="K8" i="1"/>
  <c r="K5" i="1"/>
  <c r="M3" i="1"/>
  <c r="M4" i="1"/>
  <c r="M6" i="1"/>
  <c r="M7" i="1"/>
  <c r="M8" i="1"/>
  <c r="M12" i="1"/>
  <c r="M13" i="1"/>
  <c r="M16" i="1"/>
  <c r="M17" i="1"/>
  <c r="M21" i="1"/>
  <c r="M22" i="1"/>
  <c r="M23" i="1"/>
  <c r="M24" i="1"/>
  <c r="M25" i="1"/>
  <c r="M26" i="1"/>
  <c r="M28" i="1"/>
  <c r="M29" i="1"/>
  <c r="M30" i="1"/>
  <c r="M31" i="1"/>
  <c r="M32" i="1"/>
  <c r="M33" i="1"/>
  <c r="M35" i="1"/>
  <c r="M38" i="1"/>
  <c r="M39" i="1"/>
  <c r="M40" i="1"/>
  <c r="M42" i="1"/>
  <c r="M43" i="1"/>
  <c r="M44" i="1"/>
  <c r="M47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2" i="1"/>
  <c r="M75" i="1"/>
  <c r="M76" i="1"/>
  <c r="M77" i="1"/>
  <c r="M78" i="1"/>
  <c r="M80" i="1"/>
  <c r="M81" i="1"/>
  <c r="M85" i="1"/>
  <c r="M86" i="1"/>
  <c r="M89" i="1"/>
  <c r="M90" i="1"/>
  <c r="M91" i="1"/>
  <c r="M92" i="1"/>
  <c r="M93" i="1"/>
  <c r="M94" i="1"/>
  <c r="M2" i="1"/>
  <c r="K3" i="1"/>
  <c r="K4" i="1"/>
  <c r="K6" i="1"/>
  <c r="K7" i="1"/>
  <c r="K13" i="1"/>
  <c r="K16" i="1"/>
  <c r="K17" i="1"/>
  <c r="K21" i="1"/>
  <c r="K22" i="1"/>
  <c r="K23" i="1"/>
  <c r="K24" i="1"/>
  <c r="K25" i="1"/>
  <c r="K26" i="1"/>
  <c r="K28" i="1"/>
  <c r="K30" i="1"/>
  <c r="K31" i="1"/>
  <c r="K33" i="1"/>
  <c r="K35" i="1"/>
  <c r="K38" i="1"/>
  <c r="K39" i="1"/>
  <c r="K40" i="1"/>
  <c r="K42" i="1"/>
  <c r="K43" i="1"/>
  <c r="K44" i="1"/>
  <c r="K47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7" i="1"/>
  <c r="K68" i="1"/>
  <c r="K69" i="1"/>
  <c r="K70" i="1"/>
  <c r="K71" i="1"/>
  <c r="K72" i="1"/>
  <c r="K75" i="1"/>
  <c r="K76" i="1"/>
  <c r="K77" i="1"/>
  <c r="K78" i="1"/>
  <c r="K80" i="1"/>
  <c r="K81" i="1"/>
  <c r="K85" i="1"/>
  <c r="K86" i="1"/>
  <c r="K87" i="1"/>
  <c r="K88" i="1"/>
  <c r="K89" i="1"/>
  <c r="K90" i="1"/>
  <c r="K91" i="1"/>
  <c r="K92" i="1"/>
  <c r="K93" i="1"/>
  <c r="K94" i="1"/>
  <c r="K2" i="1"/>
  <c r="K84" i="1" l="1"/>
  <c r="K83" i="1"/>
  <c r="K82" i="1"/>
  <c r="M74" i="1"/>
  <c r="K79" i="1"/>
  <c r="M73" i="1"/>
  <c r="K49" i="1"/>
  <c r="K48" i="1"/>
  <c r="K46" i="1"/>
  <c r="K45" i="1"/>
  <c r="M41" i="1"/>
  <c r="K37" i="1"/>
  <c r="K36" i="1"/>
  <c r="K34" i="1"/>
  <c r="M27" i="1"/>
  <c r="M20" i="1"/>
  <c r="K19" i="1"/>
  <c r="K18" i="1"/>
  <c r="K15" i="1"/>
  <c r="K14" i="1"/>
  <c r="M11" i="1"/>
  <c r="M10" i="1"/>
  <c r="M9" i="1"/>
  <c r="M5" i="1"/>
</calcChain>
</file>

<file path=xl/sharedStrings.xml><?xml version="1.0" encoding="utf-8"?>
<sst xmlns="http://schemas.openxmlformats.org/spreadsheetml/2006/main" count="234" uniqueCount="113">
  <si>
    <t>r.Sr</t>
  </si>
  <si>
    <t>root</t>
  </si>
  <si>
    <t>shoot</t>
  </si>
  <si>
    <t>srl</t>
  </si>
  <si>
    <t>rld</t>
  </si>
  <si>
    <t>CN</t>
  </si>
  <si>
    <t>Nsoil</t>
  </si>
  <si>
    <t>B1B003</t>
  </si>
  <si>
    <t>3</t>
  </si>
  <si>
    <t>B1B010</t>
  </si>
  <si>
    <t>5</t>
  </si>
  <si>
    <t>B1B011</t>
  </si>
  <si>
    <t>B1B016</t>
  </si>
  <si>
    <t>1</t>
  </si>
  <si>
    <t>B1B022</t>
  </si>
  <si>
    <t>NA</t>
  </si>
  <si>
    <t>B1B023</t>
  </si>
  <si>
    <t>B1B025</t>
  </si>
  <si>
    <t>B1B026</t>
  </si>
  <si>
    <t>B1B028</t>
  </si>
  <si>
    <t>2</t>
  </si>
  <si>
    <t>B1B031</t>
  </si>
  <si>
    <t>B1B037</t>
  </si>
  <si>
    <t>B1B039</t>
  </si>
  <si>
    <t>B1B043</t>
  </si>
  <si>
    <t>B1B048</t>
  </si>
  <si>
    <t>B1B049</t>
  </si>
  <si>
    <t>B1B050</t>
  </si>
  <si>
    <t>4</t>
  </si>
  <si>
    <t>B1B052</t>
  </si>
  <si>
    <t>B1B061</t>
  </si>
  <si>
    <t>B1B065</t>
  </si>
  <si>
    <t>B1B069</t>
  </si>
  <si>
    <t>B1B071</t>
  </si>
  <si>
    <t>B1B072</t>
  </si>
  <si>
    <t>B1B083</t>
  </si>
  <si>
    <t>B1B087</t>
  </si>
  <si>
    <t>B1B091</t>
  </si>
  <si>
    <t>B1B092</t>
  </si>
  <si>
    <t>B2B001</t>
  </si>
  <si>
    <t>B2B002</t>
  </si>
  <si>
    <t>6</t>
  </si>
  <si>
    <t>B2B005</t>
  </si>
  <si>
    <t>B2B013</t>
  </si>
  <si>
    <t>B2B020</t>
  </si>
  <si>
    <t>B2B025</t>
  </si>
  <si>
    <t>B2B026</t>
  </si>
  <si>
    <t>B2B035</t>
  </si>
  <si>
    <t>B2B036</t>
  </si>
  <si>
    <t>B2B043</t>
  </si>
  <si>
    <t>B2B053</t>
  </si>
  <si>
    <t>B2B055</t>
  </si>
  <si>
    <t>B2B061</t>
  </si>
  <si>
    <t>B2B064</t>
  </si>
  <si>
    <t>B2B065</t>
  </si>
  <si>
    <t>B2B069</t>
  </si>
  <si>
    <t>B2B080</t>
  </si>
  <si>
    <t>B2B085</t>
  </si>
  <si>
    <t>B2B090</t>
  </si>
  <si>
    <t>B2B092</t>
  </si>
  <si>
    <t>B2B097</t>
  </si>
  <si>
    <t>B2B098</t>
  </si>
  <si>
    <t>B3B001</t>
  </si>
  <si>
    <t>B3B002</t>
  </si>
  <si>
    <t>B3B004</t>
  </si>
  <si>
    <t>B3B014</t>
  </si>
  <si>
    <t>B3B015</t>
  </si>
  <si>
    <t>B3B017</t>
  </si>
  <si>
    <t>B3B022</t>
  </si>
  <si>
    <t>B3B024</t>
  </si>
  <si>
    <t>B3B028</t>
  </si>
  <si>
    <t>B3B029</t>
  </si>
  <si>
    <t>B3B030</t>
  </si>
  <si>
    <t>B3B054</t>
  </si>
  <si>
    <t>B3B055</t>
  </si>
  <si>
    <t>B3B057</t>
  </si>
  <si>
    <t>B3B064</t>
  </si>
  <si>
    <t>B3B066</t>
  </si>
  <si>
    <t>B3B071</t>
  </si>
  <si>
    <t>B3B072</t>
  </si>
  <si>
    <t>B3B090</t>
  </si>
  <si>
    <t>B3B091</t>
  </si>
  <si>
    <t>B3B096</t>
  </si>
  <si>
    <t>B4B002</t>
  </si>
  <si>
    <t>B4B003</t>
  </si>
  <si>
    <t>B4B012</t>
  </si>
  <si>
    <t>B4B019</t>
  </si>
  <si>
    <t>B4B022</t>
  </si>
  <si>
    <t>B4B023</t>
  </si>
  <si>
    <t>B4B024</t>
  </si>
  <si>
    <t>B4B032</t>
  </si>
  <si>
    <t>B4B034</t>
  </si>
  <si>
    <t>B4B038</t>
  </si>
  <si>
    <t>B4B044</t>
  </si>
  <si>
    <t>B4B048</t>
  </si>
  <si>
    <t>B4B054</t>
  </si>
  <si>
    <t>B4B060</t>
  </si>
  <si>
    <t>B4B061</t>
  </si>
  <si>
    <t>B4B064</t>
  </si>
  <si>
    <t>B4B066</t>
  </si>
  <si>
    <t>B4B076</t>
  </si>
  <si>
    <t>B4B080</t>
  </si>
  <si>
    <t>B4B082</t>
  </si>
  <si>
    <t>B4B088</t>
  </si>
  <si>
    <t>B4B091</t>
  </si>
  <si>
    <t>B4B093</t>
  </si>
  <si>
    <t>B4B097</t>
  </si>
  <si>
    <t>Corg17</t>
  </si>
  <si>
    <t>Corg_diff</t>
  </si>
  <si>
    <t>Corg_block</t>
  </si>
  <si>
    <t>Corg_block_diff</t>
  </si>
  <si>
    <t>Corg02</t>
  </si>
  <si>
    <t>plotcode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</si>
</sst>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workbookViewId="0"/>
  </sheetViews>
  <sheetFormatPr defaultRowHeight="15" x14ac:dyDescent="0.25"/>
  <cols>
    <col min="12" max="12" width="15.42578125" customWidth="1"/>
    <col min="13" max="13" width="21" customWidth="1"/>
  </cols>
  <sheetData>
    <row r="1" spans="1:13" x14ac:dyDescent="0.25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107</v>
      </c>
      <c r="I1" t="s">
        <v>6</v>
      </c>
      <c r="J1" t="s">
        <v>111</v>
      </c>
      <c r="K1" t="s">
        <v>108</v>
      </c>
      <c r="L1" t="s">
        <v>109</v>
      </c>
      <c r="M1" t="s">
        <v>110</v>
      </c>
    </row>
    <row r="2" spans="1:13" x14ac:dyDescent="0.25">
      <c r="A2" s="2" t="s">
        <v>7</v>
      </c>
      <c r="B2" s="2" t="s">
        <v>8</v>
      </c>
      <c r="C2" s="1">
        <v>2.0462739999999998E-3</v>
      </c>
      <c r="D2" s="1">
        <v>391.55</v>
      </c>
      <c r="E2" s="1">
        <v>78.13</v>
      </c>
      <c r="F2" s="1">
        <v>15.98</v>
      </c>
      <c r="G2" s="1">
        <v>17.338277819999998</v>
      </c>
      <c r="H2" s="1">
        <v>20.195499999999999</v>
      </c>
      <c r="I2" s="1">
        <v>2.2949999999999999</v>
      </c>
      <c r="J2">
        <v>17.206666666666671</v>
      </c>
      <c r="K2" s="3">
        <f>H2-J2</f>
        <v>2.9888333333333286</v>
      </c>
      <c r="L2" s="1">
        <v>17.251999999999999</v>
      </c>
      <c r="M2" s="3">
        <f>L2-J2</f>
        <v>4.5333333333328341E-2</v>
      </c>
    </row>
    <row r="3" spans="1:13" x14ac:dyDescent="0.25">
      <c r="A3" s="2" t="s">
        <v>9</v>
      </c>
      <c r="B3" s="2" t="s">
        <v>10</v>
      </c>
      <c r="C3" s="1">
        <v>1.6693439999999999E-3</v>
      </c>
      <c r="D3" s="1">
        <v>513.91999999999996</v>
      </c>
      <c r="E3" s="1">
        <v>72.150000000000006</v>
      </c>
      <c r="F3" s="1">
        <v>12.04</v>
      </c>
      <c r="G3" s="1">
        <v>17.989852079999999</v>
      </c>
      <c r="H3" s="1">
        <v>21.733000000000001</v>
      </c>
      <c r="I3" s="1">
        <v>2.2709999999999999</v>
      </c>
      <c r="J3">
        <v>17.866666666666667</v>
      </c>
      <c r="K3" s="3">
        <f t="shared" ref="K3:K66" si="0">H3-J3</f>
        <v>3.8663333333333334</v>
      </c>
      <c r="L3" s="1">
        <v>17.251999999999999</v>
      </c>
      <c r="M3" s="3">
        <f t="shared" ref="M3:M66" si="1">L3-J3</f>
        <v>-0.61466666666666825</v>
      </c>
    </row>
    <row r="4" spans="1:13" x14ac:dyDescent="0.25">
      <c r="A4" s="2" t="s">
        <v>11</v>
      </c>
      <c r="B4" s="2" t="s">
        <v>8</v>
      </c>
      <c r="C4" s="1">
        <v>5.6356099999999997E-4</v>
      </c>
      <c r="D4" s="1">
        <v>168.64</v>
      </c>
      <c r="E4" s="1">
        <v>171.64</v>
      </c>
      <c r="F4" s="1">
        <v>9.67</v>
      </c>
      <c r="G4" s="1">
        <v>18.756257300000001</v>
      </c>
      <c r="H4" s="1">
        <v>17.558499999999999</v>
      </c>
      <c r="I4" s="1">
        <v>1.9735</v>
      </c>
      <c r="J4">
        <v>16.001666666666665</v>
      </c>
      <c r="K4" s="3">
        <f t="shared" si="0"/>
        <v>1.5568333333333335</v>
      </c>
      <c r="L4" s="1">
        <v>17.251999999999999</v>
      </c>
      <c r="M4" s="3">
        <f t="shared" si="1"/>
        <v>1.2503333333333337</v>
      </c>
    </row>
    <row r="5" spans="1:13" x14ac:dyDescent="0.25">
      <c r="A5" s="2" t="s">
        <v>12</v>
      </c>
      <c r="B5" s="2" t="s">
        <v>13</v>
      </c>
      <c r="C5" s="1">
        <v>8.3200000000000003E-5</v>
      </c>
      <c r="D5" s="1">
        <v>107.83</v>
      </c>
      <c r="E5" s="1">
        <v>246.55</v>
      </c>
      <c r="F5" s="1">
        <v>2.0499999999999998</v>
      </c>
      <c r="G5" s="1">
        <v>10.729783879999999</v>
      </c>
      <c r="H5" s="1">
        <v>18.654</v>
      </c>
      <c r="I5" s="1">
        <v>2.0724999999999998</v>
      </c>
      <c r="J5">
        <v>19.332499999999996</v>
      </c>
      <c r="K5" s="3">
        <f t="shared" si="0"/>
        <v>-0.67849999999999611</v>
      </c>
      <c r="L5" s="1">
        <v>17.251999999999999</v>
      </c>
      <c r="M5" s="3">
        <f t="shared" si="1"/>
        <v>-2.0804999999999971</v>
      </c>
    </row>
    <row r="6" spans="1:13" x14ac:dyDescent="0.25">
      <c r="A6" s="2" t="s">
        <v>14</v>
      </c>
      <c r="B6" s="2" t="s">
        <v>13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>
        <v>18.6905</v>
      </c>
      <c r="I6" s="1">
        <v>2.1339999999999999</v>
      </c>
      <c r="J6">
        <v>19.390583333333332</v>
      </c>
      <c r="K6" s="3">
        <f t="shared" si="0"/>
        <v>-0.70008333333333184</v>
      </c>
      <c r="L6" s="1">
        <v>17.251999999999999</v>
      </c>
      <c r="M6" s="3">
        <f t="shared" si="1"/>
        <v>-2.1385833333333331</v>
      </c>
    </row>
    <row r="7" spans="1:13" x14ac:dyDescent="0.25">
      <c r="A7" s="2" t="s">
        <v>16</v>
      </c>
      <c r="B7" s="2" t="s">
        <v>13</v>
      </c>
      <c r="C7" s="1">
        <v>2.22129E-4</v>
      </c>
      <c r="D7" s="1">
        <v>90.11</v>
      </c>
      <c r="E7" s="1">
        <v>236.24</v>
      </c>
      <c r="F7" s="1">
        <v>5.24</v>
      </c>
      <c r="G7" s="1">
        <v>16.57218885</v>
      </c>
      <c r="H7" s="1">
        <v>21.55</v>
      </c>
      <c r="I7" s="1">
        <v>2.2835000000000001</v>
      </c>
      <c r="J7">
        <v>19.390583333333332</v>
      </c>
      <c r="K7" s="3">
        <f t="shared" si="0"/>
        <v>2.1594166666666688</v>
      </c>
      <c r="L7" s="1">
        <v>17.251999999999999</v>
      </c>
      <c r="M7" s="3">
        <f t="shared" si="1"/>
        <v>-2.1385833333333331</v>
      </c>
    </row>
    <row r="8" spans="1:13" x14ac:dyDescent="0.25">
      <c r="A8" s="2" t="s">
        <v>17</v>
      </c>
      <c r="B8" s="2" t="s">
        <v>13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>
        <v>19.384499999999999</v>
      </c>
      <c r="I8" s="1">
        <v>2.1865000000000001</v>
      </c>
      <c r="J8">
        <v>19.390583333333332</v>
      </c>
      <c r="K8" s="3">
        <f t="shared" si="0"/>
        <v>-6.0833333333327744E-3</v>
      </c>
      <c r="L8" s="1">
        <v>17.251999999999999</v>
      </c>
      <c r="M8" s="3">
        <f t="shared" si="1"/>
        <v>-2.1385833333333331</v>
      </c>
    </row>
    <row r="9" spans="1:13" x14ac:dyDescent="0.25">
      <c r="A9" s="2" t="s">
        <v>18</v>
      </c>
      <c r="B9" s="2" t="s">
        <v>13</v>
      </c>
      <c r="C9" s="1">
        <v>4.2510900000000001E-4</v>
      </c>
      <c r="D9" s="1">
        <v>118.75</v>
      </c>
      <c r="E9" s="1">
        <v>103.08</v>
      </c>
      <c r="F9" s="1">
        <v>4.38</v>
      </c>
      <c r="G9" s="1">
        <v>10.471758169999999</v>
      </c>
      <c r="H9" s="1">
        <v>20.492000000000001</v>
      </c>
      <c r="I9" s="1">
        <v>2.2450000000000001</v>
      </c>
      <c r="J9">
        <v>19.982833333333332</v>
      </c>
      <c r="K9" s="3">
        <f t="shared" si="0"/>
        <v>0.50916666666666899</v>
      </c>
      <c r="L9" s="1">
        <v>17.251999999999999</v>
      </c>
      <c r="M9" s="3">
        <f t="shared" si="1"/>
        <v>-2.730833333333333</v>
      </c>
    </row>
    <row r="10" spans="1:13" x14ac:dyDescent="0.25">
      <c r="A10" s="2" t="s">
        <v>19</v>
      </c>
      <c r="B10" s="2" t="s">
        <v>20</v>
      </c>
      <c r="C10" s="1">
        <v>1.2539630000000001E-3</v>
      </c>
      <c r="D10" s="1">
        <v>94.77</v>
      </c>
      <c r="E10" s="1">
        <v>23.22</v>
      </c>
      <c r="F10" s="1">
        <v>2.91</v>
      </c>
      <c r="G10" s="1">
        <v>21.62402045</v>
      </c>
      <c r="H10" s="1">
        <v>22.68</v>
      </c>
      <c r="I10" s="1">
        <v>2.7480000000000002</v>
      </c>
      <c r="J10">
        <v>19.982833333333332</v>
      </c>
      <c r="K10" s="3">
        <f t="shared" si="0"/>
        <v>2.6971666666666678</v>
      </c>
      <c r="L10" s="1">
        <v>17.251999999999999</v>
      </c>
      <c r="M10" s="3">
        <f t="shared" si="1"/>
        <v>-2.730833333333333</v>
      </c>
    </row>
    <row r="11" spans="1:13" x14ac:dyDescent="0.25">
      <c r="A11" s="2" t="s">
        <v>21</v>
      </c>
      <c r="B11" s="2" t="s">
        <v>10</v>
      </c>
      <c r="C11" s="1">
        <v>1.3187959999999999E-3</v>
      </c>
      <c r="D11" s="1">
        <v>470.27809999999999</v>
      </c>
      <c r="E11" s="1">
        <v>108.95</v>
      </c>
      <c r="F11" s="1">
        <v>14.36</v>
      </c>
      <c r="G11" s="1">
        <v>19.62320218</v>
      </c>
      <c r="H11" s="1">
        <v>25.6675</v>
      </c>
      <c r="I11" s="1">
        <v>2.681</v>
      </c>
      <c r="J11">
        <v>21.231666666666669</v>
      </c>
      <c r="K11" s="3">
        <f t="shared" si="0"/>
        <v>4.4358333333333313</v>
      </c>
      <c r="L11" s="1">
        <v>17.251999999999999</v>
      </c>
      <c r="M11" s="3">
        <f t="shared" si="1"/>
        <v>-3.9796666666666702</v>
      </c>
    </row>
    <row r="12" spans="1:13" x14ac:dyDescent="0.25">
      <c r="A12" s="2" t="s">
        <v>22</v>
      </c>
      <c r="B12" s="2" t="s">
        <v>13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>
        <v>20.0715</v>
      </c>
      <c r="I12" s="1">
        <v>2.5015000000000001</v>
      </c>
      <c r="J12">
        <v>21.07</v>
      </c>
      <c r="K12" s="3">
        <f t="shared" si="0"/>
        <v>-0.99849999999999994</v>
      </c>
      <c r="L12" s="1">
        <v>17.251999999999999</v>
      </c>
      <c r="M12" s="3">
        <f t="shared" si="1"/>
        <v>-3.8180000000000014</v>
      </c>
    </row>
    <row r="13" spans="1:13" x14ac:dyDescent="0.25">
      <c r="A13" s="2" t="s">
        <v>23</v>
      </c>
      <c r="B13" s="2" t="s">
        <v>20</v>
      </c>
      <c r="C13" s="1">
        <v>1.398832E-3</v>
      </c>
      <c r="D13" s="1">
        <v>345.21</v>
      </c>
      <c r="E13" s="1">
        <v>56.29</v>
      </c>
      <c r="F13" s="1">
        <v>7.87</v>
      </c>
      <c r="G13" s="1">
        <v>18.656392889999999</v>
      </c>
      <c r="H13" s="1">
        <v>19.751999999999999</v>
      </c>
      <c r="I13" s="1">
        <v>2.1785000000000001</v>
      </c>
      <c r="J13">
        <v>21.07</v>
      </c>
      <c r="K13" s="3">
        <f t="shared" si="0"/>
        <v>-1.3180000000000014</v>
      </c>
      <c r="L13" s="1">
        <v>17.251999999999999</v>
      </c>
      <c r="M13" s="3">
        <f t="shared" si="1"/>
        <v>-3.8180000000000014</v>
      </c>
    </row>
    <row r="14" spans="1:13" x14ac:dyDescent="0.25">
      <c r="A14" s="2" t="s">
        <v>24</v>
      </c>
      <c r="B14" s="2" t="s">
        <v>8</v>
      </c>
      <c r="C14" s="1">
        <v>9.3605999999999995E-4</v>
      </c>
      <c r="D14" s="1">
        <v>577.85550000000001</v>
      </c>
      <c r="E14" s="1">
        <v>108.58</v>
      </c>
      <c r="F14" s="1">
        <v>10.16</v>
      </c>
      <c r="G14" s="1">
        <v>19.254507619999998</v>
      </c>
      <c r="H14" s="1">
        <v>25.7285</v>
      </c>
      <c r="I14" s="1">
        <v>2.7614999999999998</v>
      </c>
      <c r="J14">
        <v>20.944166666666668</v>
      </c>
      <c r="K14" s="3">
        <f t="shared" si="0"/>
        <v>4.7843333333333327</v>
      </c>
      <c r="L14" s="1">
        <v>17.251999999999999</v>
      </c>
      <c r="M14" s="3">
        <f t="shared" si="1"/>
        <v>-3.6921666666666688</v>
      </c>
    </row>
    <row r="15" spans="1:13" x14ac:dyDescent="0.25">
      <c r="A15" s="2" t="s">
        <v>25</v>
      </c>
      <c r="B15" s="2" t="s">
        <v>13</v>
      </c>
      <c r="C15" s="1">
        <v>2.7900000000000001E-5</v>
      </c>
      <c r="D15" s="1">
        <v>0</v>
      </c>
      <c r="E15" s="1">
        <v>92.19</v>
      </c>
      <c r="F15" s="1">
        <v>0.26</v>
      </c>
      <c r="G15" s="1">
        <v>10.40088733</v>
      </c>
      <c r="H15" s="1">
        <v>19.684000000000001</v>
      </c>
      <c r="I15" s="1">
        <v>2.5979999999999999</v>
      </c>
      <c r="J15">
        <v>20.051666666666662</v>
      </c>
      <c r="K15" s="3">
        <f t="shared" si="0"/>
        <v>-0.36766666666666126</v>
      </c>
      <c r="L15" s="1">
        <v>17.251999999999999</v>
      </c>
      <c r="M15" s="3">
        <f t="shared" si="1"/>
        <v>-2.7996666666666634</v>
      </c>
    </row>
    <row r="16" spans="1:13" x14ac:dyDescent="0.25">
      <c r="A16" s="2" t="s">
        <v>26</v>
      </c>
      <c r="B16" s="2" t="s">
        <v>20</v>
      </c>
      <c r="C16" s="1">
        <v>3.4270500000000001E-4</v>
      </c>
      <c r="D16" s="1">
        <v>69.3</v>
      </c>
      <c r="E16" s="1">
        <v>153.63999999999999</v>
      </c>
      <c r="F16" s="1">
        <v>5.26</v>
      </c>
      <c r="G16" s="1">
        <v>18.95574178</v>
      </c>
      <c r="H16" s="1">
        <v>22.021000000000001</v>
      </c>
      <c r="I16" s="1">
        <v>2.8285</v>
      </c>
      <c r="J16">
        <v>20.051666666666662</v>
      </c>
      <c r="K16" s="3">
        <f t="shared" si="0"/>
        <v>1.9693333333333385</v>
      </c>
      <c r="L16" s="1">
        <v>17.251999999999999</v>
      </c>
      <c r="M16" s="3">
        <f t="shared" si="1"/>
        <v>-2.7996666666666634</v>
      </c>
    </row>
    <row r="17" spans="1:13" x14ac:dyDescent="0.25">
      <c r="A17" s="2" t="s">
        <v>27</v>
      </c>
      <c r="B17" s="2" t="s">
        <v>28</v>
      </c>
      <c r="C17" s="1">
        <v>7.4904699999999997E-4</v>
      </c>
      <c r="D17" s="1">
        <v>233.63</v>
      </c>
      <c r="E17" s="1">
        <v>100.57</v>
      </c>
      <c r="F17" s="1">
        <v>7.53</v>
      </c>
      <c r="G17" s="1">
        <v>17.71433923</v>
      </c>
      <c r="H17" s="1">
        <v>23.359000000000002</v>
      </c>
      <c r="I17" s="1">
        <v>2.5009999999999999</v>
      </c>
      <c r="J17">
        <v>20.051666666666662</v>
      </c>
      <c r="K17" s="3">
        <f t="shared" si="0"/>
        <v>3.3073333333333395</v>
      </c>
      <c r="L17" s="1">
        <v>17.251999999999999</v>
      </c>
      <c r="M17" s="3">
        <f t="shared" si="1"/>
        <v>-2.7996666666666634</v>
      </c>
    </row>
    <row r="18" spans="1:13" x14ac:dyDescent="0.25">
      <c r="A18" s="2" t="s">
        <v>29</v>
      </c>
      <c r="B18" s="2" t="s">
        <v>13</v>
      </c>
      <c r="C18" s="1">
        <v>7.8719300000000005E-4</v>
      </c>
      <c r="D18" s="1">
        <v>169.03</v>
      </c>
      <c r="E18" s="1">
        <v>78.37</v>
      </c>
      <c r="F18" s="1">
        <v>6.16</v>
      </c>
      <c r="G18" s="1">
        <v>21.19077042</v>
      </c>
      <c r="H18" s="1">
        <v>24.838000000000001</v>
      </c>
      <c r="I18" s="1">
        <v>2.6924999999999999</v>
      </c>
      <c r="J18">
        <v>19.361249999999998</v>
      </c>
      <c r="K18" s="3">
        <f t="shared" si="0"/>
        <v>5.4767500000000027</v>
      </c>
      <c r="L18" s="1">
        <v>17.251999999999999</v>
      </c>
      <c r="M18" s="3">
        <f t="shared" si="1"/>
        <v>-2.1092499999999994</v>
      </c>
    </row>
    <row r="19" spans="1:13" x14ac:dyDescent="0.25">
      <c r="A19" s="2" t="s">
        <v>30</v>
      </c>
      <c r="B19" s="2" t="s">
        <v>20</v>
      </c>
      <c r="C19" s="1">
        <v>7.0300000000000001E-5</v>
      </c>
      <c r="D19" s="1">
        <v>71.64</v>
      </c>
      <c r="E19" s="1">
        <v>271.22000000000003</v>
      </c>
      <c r="F19" s="1">
        <v>1.9</v>
      </c>
      <c r="G19" s="1">
        <v>13.493001570000001</v>
      </c>
      <c r="H19" s="1">
        <v>17.941500000000001</v>
      </c>
      <c r="I19" s="1">
        <v>2.1739999999999999</v>
      </c>
      <c r="J19">
        <v>17.866666666666667</v>
      </c>
      <c r="K19" s="3">
        <f t="shared" si="0"/>
        <v>7.4833333333334195E-2</v>
      </c>
      <c r="L19" s="1">
        <v>17.251999999999999</v>
      </c>
      <c r="M19" s="3">
        <f t="shared" si="1"/>
        <v>-0.61466666666666825</v>
      </c>
    </row>
    <row r="20" spans="1:13" x14ac:dyDescent="0.25">
      <c r="A20" s="2" t="s">
        <v>31</v>
      </c>
      <c r="B20" s="2" t="s">
        <v>20</v>
      </c>
      <c r="C20" s="1">
        <v>2.7607909999999999E-3</v>
      </c>
      <c r="D20" s="1">
        <v>284.43</v>
      </c>
      <c r="E20" s="1">
        <v>32.89</v>
      </c>
      <c r="F20" s="1">
        <v>9.07</v>
      </c>
      <c r="G20" s="1">
        <v>18.913818160000002</v>
      </c>
      <c r="H20" s="1">
        <v>17.323499999999999</v>
      </c>
      <c r="I20" s="1">
        <v>1.9515</v>
      </c>
      <c r="J20">
        <v>17.866666666666667</v>
      </c>
      <c r="K20" s="3">
        <f t="shared" si="0"/>
        <v>-0.54316666666666791</v>
      </c>
      <c r="L20" s="1">
        <v>17.251999999999999</v>
      </c>
      <c r="M20" s="3">
        <f t="shared" si="1"/>
        <v>-0.61466666666666825</v>
      </c>
    </row>
    <row r="21" spans="1:13" x14ac:dyDescent="0.25">
      <c r="A21" s="2" t="s">
        <v>32</v>
      </c>
      <c r="B21" s="2" t="s">
        <v>10</v>
      </c>
      <c r="C21" s="1">
        <v>1.1475275E-2</v>
      </c>
      <c r="D21" s="1">
        <v>707.07</v>
      </c>
      <c r="E21" s="1">
        <v>16.27</v>
      </c>
      <c r="F21" s="1">
        <v>18.649999999999999</v>
      </c>
      <c r="G21" s="1">
        <v>17.732701030000001</v>
      </c>
      <c r="H21" s="1">
        <v>23.330500000000001</v>
      </c>
      <c r="I21" s="1">
        <v>2.5914999999999999</v>
      </c>
      <c r="J21">
        <f t="shared" ref="J21" si="2">AVERAGE(H21,H33)</f>
        <v>24.021250000000002</v>
      </c>
      <c r="K21" s="3">
        <f t="shared" si="0"/>
        <v>-0.69075000000000131</v>
      </c>
      <c r="L21" s="1">
        <v>17.251999999999999</v>
      </c>
      <c r="M21" s="3">
        <f t="shared" si="1"/>
        <v>-6.7692500000000031</v>
      </c>
    </row>
    <row r="22" spans="1:13" x14ac:dyDescent="0.25">
      <c r="A22" s="2" t="s">
        <v>33</v>
      </c>
      <c r="B22" s="2" t="s">
        <v>20</v>
      </c>
      <c r="C22" s="1">
        <v>9.5862200000000001E-4</v>
      </c>
      <c r="D22" s="1">
        <v>316.60000000000002</v>
      </c>
      <c r="E22" s="1">
        <v>104.14</v>
      </c>
      <c r="F22" s="1">
        <v>9.98</v>
      </c>
      <c r="G22" s="1">
        <v>17.136571100000001</v>
      </c>
      <c r="H22" s="1">
        <v>24.769500000000001</v>
      </c>
      <c r="I22" s="1">
        <v>2.593</v>
      </c>
      <c r="J22">
        <v>19.332499999999996</v>
      </c>
      <c r="K22" s="3">
        <f t="shared" si="0"/>
        <v>5.4370000000000047</v>
      </c>
      <c r="L22" s="1">
        <v>17.251999999999999</v>
      </c>
      <c r="M22" s="3">
        <f t="shared" si="1"/>
        <v>-2.0804999999999971</v>
      </c>
    </row>
    <row r="23" spans="1:13" x14ac:dyDescent="0.25">
      <c r="A23" s="2" t="s">
        <v>34</v>
      </c>
      <c r="B23" s="2" t="s">
        <v>13</v>
      </c>
      <c r="C23" s="1">
        <v>2.9456399999999998E-3</v>
      </c>
      <c r="D23" s="1">
        <v>97.7</v>
      </c>
      <c r="E23" s="1">
        <v>46.49</v>
      </c>
      <c r="F23" s="1">
        <v>13.68</v>
      </c>
      <c r="G23" s="1">
        <v>20.955336290000002</v>
      </c>
      <c r="H23" s="1">
        <v>17.1615</v>
      </c>
      <c r="I23" s="1">
        <v>1.8505</v>
      </c>
      <c r="J23">
        <v>19.332499999999996</v>
      </c>
      <c r="K23" s="3">
        <f t="shared" si="0"/>
        <v>-2.1709999999999958</v>
      </c>
      <c r="L23" s="1">
        <v>17.251999999999999</v>
      </c>
      <c r="M23" s="3">
        <f t="shared" si="1"/>
        <v>-2.0804999999999971</v>
      </c>
    </row>
    <row r="24" spans="1:13" x14ac:dyDescent="0.25">
      <c r="A24" s="2" t="s">
        <v>35</v>
      </c>
      <c r="B24" s="2" t="s">
        <v>28</v>
      </c>
      <c r="C24" s="1">
        <v>1.4978389999999999E-3</v>
      </c>
      <c r="D24" s="1">
        <v>276.89999999999998</v>
      </c>
      <c r="E24" s="1">
        <v>102.33</v>
      </c>
      <c r="F24" s="1">
        <v>15.32</v>
      </c>
      <c r="G24" s="1">
        <v>23.505253629999999</v>
      </c>
      <c r="H24" s="1">
        <v>25.017499999999998</v>
      </c>
      <c r="I24" s="1">
        <v>2.5644999999999998</v>
      </c>
      <c r="J24">
        <v>21.231666666666669</v>
      </c>
      <c r="K24" s="3">
        <f t="shared" si="0"/>
        <v>3.7858333333333292</v>
      </c>
      <c r="L24" s="1">
        <v>17.251999999999999</v>
      </c>
      <c r="M24" s="3">
        <f t="shared" si="1"/>
        <v>-3.9796666666666702</v>
      </c>
    </row>
    <row r="25" spans="1:13" x14ac:dyDescent="0.25">
      <c r="A25" s="2" t="s">
        <v>36</v>
      </c>
      <c r="B25" s="2" t="s">
        <v>13</v>
      </c>
      <c r="C25" s="1">
        <v>8.1390599999999998E-4</v>
      </c>
      <c r="D25" s="1">
        <v>118.04</v>
      </c>
      <c r="E25" s="1">
        <v>87.76</v>
      </c>
      <c r="F25" s="1">
        <v>7.14</v>
      </c>
      <c r="G25" s="1">
        <v>15.005189850000001</v>
      </c>
      <c r="H25" s="1">
        <v>26.083500000000001</v>
      </c>
      <c r="I25" s="1">
        <v>2.6234999999999999</v>
      </c>
      <c r="J25">
        <v>21.07</v>
      </c>
      <c r="K25" s="3">
        <f t="shared" si="0"/>
        <v>5.0135000000000005</v>
      </c>
      <c r="L25" s="1">
        <v>17.251999999999999</v>
      </c>
      <c r="M25" s="3">
        <f t="shared" si="1"/>
        <v>-3.8180000000000014</v>
      </c>
    </row>
    <row r="26" spans="1:13" x14ac:dyDescent="0.25">
      <c r="A26" s="2" t="s">
        <v>37</v>
      </c>
      <c r="B26" s="2" t="s">
        <v>20</v>
      </c>
      <c r="C26" s="1">
        <v>8.6580299999999995E-4</v>
      </c>
      <c r="D26" s="1">
        <v>177.32</v>
      </c>
      <c r="E26" s="1">
        <v>13.86</v>
      </c>
      <c r="F26" s="1">
        <v>1.2</v>
      </c>
      <c r="G26" s="1">
        <v>18.834247170000001</v>
      </c>
      <c r="H26" s="1">
        <v>23.3415</v>
      </c>
      <c r="I26" s="1">
        <v>2.5270000000000001</v>
      </c>
      <c r="J26">
        <v>20.944166666666668</v>
      </c>
      <c r="K26" s="3">
        <f t="shared" si="0"/>
        <v>2.3973333333333322</v>
      </c>
      <c r="L26" s="1">
        <v>17.251999999999999</v>
      </c>
      <c r="M26" s="3">
        <f t="shared" si="1"/>
        <v>-3.6921666666666688</v>
      </c>
    </row>
    <row r="27" spans="1:13" x14ac:dyDescent="0.25">
      <c r="A27" s="2" t="s">
        <v>38</v>
      </c>
      <c r="B27" s="2" t="s">
        <v>13</v>
      </c>
      <c r="C27" s="1">
        <v>1.102116E-3</v>
      </c>
      <c r="D27" s="1">
        <v>396.85</v>
      </c>
      <c r="E27" s="1">
        <v>69.84</v>
      </c>
      <c r="F27" s="1">
        <v>7.69</v>
      </c>
      <c r="G27" s="1">
        <v>17.943992519999998</v>
      </c>
      <c r="H27" s="1">
        <v>23.945499999999999</v>
      </c>
      <c r="I27" s="1">
        <v>2.5910000000000002</v>
      </c>
      <c r="J27">
        <v>20.944166666666668</v>
      </c>
      <c r="K27" s="3">
        <f t="shared" si="0"/>
        <v>3.0013333333333314</v>
      </c>
      <c r="L27" s="1">
        <v>17.251999999999999</v>
      </c>
      <c r="M27" s="3">
        <f t="shared" si="1"/>
        <v>-3.6921666666666688</v>
      </c>
    </row>
    <row r="28" spans="1:13" x14ac:dyDescent="0.25">
      <c r="A28" s="2" t="s">
        <v>39</v>
      </c>
      <c r="B28" s="2" t="s">
        <v>20</v>
      </c>
      <c r="C28" s="1">
        <v>6.2449900000000004E-4</v>
      </c>
      <c r="D28" s="1">
        <v>125.95</v>
      </c>
      <c r="E28" s="1">
        <v>254.35</v>
      </c>
      <c r="F28" s="1">
        <v>15.87</v>
      </c>
      <c r="G28" s="1">
        <v>16.320559759999998</v>
      </c>
      <c r="H28" s="1">
        <v>18.670999999999999</v>
      </c>
      <c r="I28" s="1">
        <v>2.1720000000000002</v>
      </c>
      <c r="J28">
        <v>18.781666666666666</v>
      </c>
      <c r="K28" s="3">
        <f t="shared" si="0"/>
        <v>-0.11066666666666691</v>
      </c>
      <c r="L28" s="1">
        <v>19.850000000000001</v>
      </c>
      <c r="M28" s="3">
        <f t="shared" si="1"/>
        <v>1.0683333333333351</v>
      </c>
    </row>
    <row r="29" spans="1:13" x14ac:dyDescent="0.25">
      <c r="A29" s="2" t="s">
        <v>40</v>
      </c>
      <c r="B29" s="2" t="s">
        <v>41</v>
      </c>
      <c r="C29" s="1">
        <v>1.6067519999999999E-3</v>
      </c>
      <c r="D29" s="1">
        <v>371.73059999999998</v>
      </c>
      <c r="E29" s="1">
        <v>67.41</v>
      </c>
      <c r="F29" s="1">
        <v>10.82</v>
      </c>
      <c r="G29" s="1">
        <v>17.364889730000002</v>
      </c>
      <c r="H29" s="1">
        <v>22.815000000000001</v>
      </c>
      <c r="I29" s="1">
        <v>2.3849999999999998</v>
      </c>
      <c r="J29">
        <v>18.781666666666666</v>
      </c>
      <c r="K29" s="3">
        <f t="shared" si="0"/>
        <v>4.033333333333335</v>
      </c>
      <c r="L29" s="1">
        <v>19.850000000000001</v>
      </c>
      <c r="M29" s="3">
        <f t="shared" si="1"/>
        <v>1.0683333333333351</v>
      </c>
    </row>
    <row r="30" spans="1:13" x14ac:dyDescent="0.25">
      <c r="A30" s="2" t="s">
        <v>42</v>
      </c>
      <c r="B30" s="2" t="s">
        <v>13</v>
      </c>
      <c r="C30" s="1">
        <v>1.0424519999999999E-3</v>
      </c>
      <c r="D30" s="1">
        <v>76.739999999999995</v>
      </c>
      <c r="E30" s="1">
        <v>22.93</v>
      </c>
      <c r="F30" s="1">
        <v>2.39</v>
      </c>
      <c r="G30" s="1">
        <v>16.891014720000001</v>
      </c>
      <c r="H30" s="1">
        <v>18.447500000000002</v>
      </c>
      <c r="I30" s="1">
        <v>2.1259999999999999</v>
      </c>
      <c r="J30">
        <v>18.781666666666666</v>
      </c>
      <c r="K30" s="3">
        <f t="shared" si="0"/>
        <v>-0.33416666666666472</v>
      </c>
      <c r="L30" s="1">
        <v>19.850000000000001</v>
      </c>
      <c r="M30" s="3">
        <f t="shared" si="1"/>
        <v>1.0683333333333351</v>
      </c>
    </row>
    <row r="31" spans="1:13" x14ac:dyDescent="0.25">
      <c r="A31" s="2" t="s">
        <v>43</v>
      </c>
      <c r="B31" s="2" t="s">
        <v>20</v>
      </c>
      <c r="C31" s="1">
        <v>2.9223140000000001E-3</v>
      </c>
      <c r="D31" s="1">
        <v>35.39</v>
      </c>
      <c r="E31" s="1">
        <v>50.81</v>
      </c>
      <c r="F31" s="1">
        <v>14.84</v>
      </c>
      <c r="G31" s="1">
        <v>10.50264651</v>
      </c>
      <c r="H31" s="1">
        <v>21.3415</v>
      </c>
      <c r="I31" s="1">
        <v>2.4580000000000002</v>
      </c>
      <c r="J31">
        <v>18.697083333333332</v>
      </c>
      <c r="K31" s="3">
        <f t="shared" si="0"/>
        <v>2.6444166666666682</v>
      </c>
      <c r="L31" s="1">
        <v>19.850000000000001</v>
      </c>
      <c r="M31" s="3">
        <f t="shared" si="1"/>
        <v>1.1529166666666697</v>
      </c>
    </row>
    <row r="32" spans="1:13" x14ac:dyDescent="0.25">
      <c r="A32" s="2" t="s">
        <v>44</v>
      </c>
      <c r="B32" s="2" t="s">
        <v>13</v>
      </c>
      <c r="C32" s="1">
        <v>4.2299999999999998E-5</v>
      </c>
      <c r="D32" s="1">
        <v>25.885000000000002</v>
      </c>
      <c r="E32" s="1">
        <v>118.97</v>
      </c>
      <c r="F32" s="1">
        <v>0.5</v>
      </c>
      <c r="G32" s="1">
        <v>10.95942402</v>
      </c>
      <c r="H32" s="1">
        <v>17.331499999999998</v>
      </c>
      <c r="I32" s="1">
        <v>1.84</v>
      </c>
      <c r="J32">
        <v>20.306750000000005</v>
      </c>
      <c r="K32" s="3">
        <f t="shared" si="0"/>
        <v>-2.9752500000000062</v>
      </c>
      <c r="L32" s="1">
        <v>19.850000000000001</v>
      </c>
      <c r="M32" s="3">
        <f t="shared" si="1"/>
        <v>-0.4567500000000031</v>
      </c>
    </row>
    <row r="33" spans="1:13" x14ac:dyDescent="0.25">
      <c r="A33" s="2" t="s">
        <v>45</v>
      </c>
      <c r="B33" s="2" t="s">
        <v>13</v>
      </c>
      <c r="C33" s="1">
        <v>1.314773E-3</v>
      </c>
      <c r="D33" s="1">
        <v>319.29000000000002</v>
      </c>
      <c r="E33" s="1">
        <v>65.92</v>
      </c>
      <c r="F33" s="1">
        <v>8.66</v>
      </c>
      <c r="G33" s="1">
        <v>16.910064899999998</v>
      </c>
      <c r="H33" s="1">
        <v>24.712</v>
      </c>
      <c r="I33" s="1">
        <v>2.6160000000000001</v>
      </c>
      <c r="J33">
        <v>20.306750000000005</v>
      </c>
      <c r="K33" s="3">
        <f t="shared" si="0"/>
        <v>4.4052499999999952</v>
      </c>
      <c r="L33" s="1">
        <v>19.850000000000001</v>
      </c>
      <c r="M33" s="3">
        <f t="shared" si="1"/>
        <v>-0.4567500000000031</v>
      </c>
    </row>
    <row r="34" spans="1:13" x14ac:dyDescent="0.25">
      <c r="A34" s="2" t="s">
        <v>46</v>
      </c>
      <c r="B34" s="2" t="s">
        <v>20</v>
      </c>
      <c r="C34" s="1">
        <v>1.4801409999999999E-3</v>
      </c>
      <c r="D34" s="1">
        <v>122.73</v>
      </c>
      <c r="E34" s="1">
        <v>72.61</v>
      </c>
      <c r="F34" s="1">
        <v>10.74</v>
      </c>
      <c r="G34" s="1">
        <v>29.353250119999998</v>
      </c>
      <c r="H34" s="1">
        <v>22.5245</v>
      </c>
      <c r="I34" s="1">
        <v>2.3650000000000002</v>
      </c>
      <c r="J34">
        <v>22.105</v>
      </c>
      <c r="K34" s="3">
        <f t="shared" si="0"/>
        <v>0.41949999999999932</v>
      </c>
      <c r="L34" s="1">
        <v>19.850000000000001</v>
      </c>
      <c r="M34" s="3">
        <f t="shared" si="1"/>
        <v>-2.254999999999999</v>
      </c>
    </row>
    <row r="35" spans="1:13" x14ac:dyDescent="0.25">
      <c r="A35" s="2" t="s">
        <v>47</v>
      </c>
      <c r="B35" s="2" t="s">
        <v>13</v>
      </c>
      <c r="C35" s="1">
        <v>3.8920399999999998E-4</v>
      </c>
      <c r="D35" s="1">
        <v>23.65</v>
      </c>
      <c r="E35" s="1">
        <v>277.99</v>
      </c>
      <c r="F35" s="1">
        <v>10.81</v>
      </c>
      <c r="G35" s="1">
        <v>30.300801270000001</v>
      </c>
      <c r="H35" s="1">
        <v>20.411000000000001</v>
      </c>
      <c r="I35" s="1">
        <v>2.3149999999999999</v>
      </c>
      <c r="J35">
        <v>19.258749999999999</v>
      </c>
      <c r="K35" s="3">
        <f t="shared" si="0"/>
        <v>1.1522500000000022</v>
      </c>
      <c r="L35" s="1">
        <v>19.850000000000001</v>
      </c>
      <c r="M35" s="3">
        <f t="shared" si="1"/>
        <v>0.59125000000000227</v>
      </c>
    </row>
    <row r="36" spans="1:13" x14ac:dyDescent="0.25">
      <c r="A36" s="2" t="s">
        <v>48</v>
      </c>
      <c r="B36" s="2" t="s">
        <v>10</v>
      </c>
      <c r="C36" s="1">
        <v>1.919816E-3</v>
      </c>
      <c r="D36" s="1">
        <v>244.48910000000001</v>
      </c>
      <c r="E36" s="1">
        <v>61.58</v>
      </c>
      <c r="F36" s="1">
        <v>11.81</v>
      </c>
      <c r="G36" s="1">
        <v>19.811874700000001</v>
      </c>
      <c r="H36" s="1">
        <v>28.137499999999999</v>
      </c>
      <c r="I36" s="1">
        <v>2.9224999999999999</v>
      </c>
      <c r="J36">
        <v>20.76166666666667</v>
      </c>
      <c r="K36" s="3">
        <f t="shared" si="0"/>
        <v>7.375833333333329</v>
      </c>
      <c r="L36" s="1">
        <v>19.850000000000001</v>
      </c>
      <c r="M36" s="3">
        <f t="shared" si="1"/>
        <v>-0.91166666666666885</v>
      </c>
    </row>
    <row r="37" spans="1:13" x14ac:dyDescent="0.25">
      <c r="A37" s="2" t="s">
        <v>49</v>
      </c>
      <c r="B37" s="2" t="s">
        <v>13</v>
      </c>
      <c r="C37" s="1">
        <v>1.062442E-3</v>
      </c>
      <c r="D37" s="1">
        <v>0.97509999999999997</v>
      </c>
      <c r="E37" s="1">
        <v>94.68</v>
      </c>
      <c r="F37" s="1">
        <v>10.050000000000001</v>
      </c>
      <c r="G37" s="1">
        <v>35.1997499</v>
      </c>
      <c r="H37" s="1">
        <v>20.747499999999999</v>
      </c>
      <c r="I37" s="1">
        <v>2.431</v>
      </c>
      <c r="J37">
        <v>22.771250000000002</v>
      </c>
      <c r="K37" s="3">
        <f t="shared" si="0"/>
        <v>-2.0237500000000033</v>
      </c>
      <c r="L37" s="1">
        <v>19.850000000000001</v>
      </c>
      <c r="M37" s="3">
        <f t="shared" si="1"/>
        <v>-2.9212500000000006</v>
      </c>
    </row>
    <row r="38" spans="1:13" x14ac:dyDescent="0.25">
      <c r="A38" s="2" t="s">
        <v>50</v>
      </c>
      <c r="B38" s="2" t="s">
        <v>13</v>
      </c>
      <c r="C38" s="1">
        <v>9.9712499999999996E-4</v>
      </c>
      <c r="D38" s="1">
        <v>27.49</v>
      </c>
      <c r="E38" s="1">
        <v>74.150000000000006</v>
      </c>
      <c r="F38" s="1">
        <v>7.39</v>
      </c>
      <c r="G38" s="1">
        <v>11.22488987</v>
      </c>
      <c r="H38" s="1">
        <v>18.805</v>
      </c>
      <c r="I38" s="1">
        <v>2.3275000000000001</v>
      </c>
      <c r="J38">
        <v>23.424999999999997</v>
      </c>
      <c r="K38" s="3">
        <f t="shared" si="0"/>
        <v>-4.6199999999999974</v>
      </c>
      <c r="L38" s="1">
        <v>19.850000000000001</v>
      </c>
      <c r="M38" s="3">
        <f t="shared" si="1"/>
        <v>-3.5749999999999957</v>
      </c>
    </row>
    <row r="39" spans="1:13" x14ac:dyDescent="0.25">
      <c r="A39" s="2" t="s">
        <v>51</v>
      </c>
      <c r="B39" s="2" t="s">
        <v>28</v>
      </c>
      <c r="C39" s="1">
        <v>2.9762479999999999E-3</v>
      </c>
      <c r="D39" s="1">
        <v>150.28149999999999</v>
      </c>
      <c r="E39" s="1">
        <v>32.700000000000003</v>
      </c>
      <c r="F39" s="1">
        <v>9.7200000000000006</v>
      </c>
      <c r="G39" s="1">
        <v>17.263611650000001</v>
      </c>
      <c r="H39" s="1">
        <v>28.004999999999999</v>
      </c>
      <c r="I39" s="1">
        <v>2.8174999999999999</v>
      </c>
      <c r="J39">
        <v>23.424999999999997</v>
      </c>
      <c r="K39" s="3">
        <f t="shared" si="0"/>
        <v>4.5800000000000018</v>
      </c>
      <c r="L39" s="1">
        <v>19.850000000000001</v>
      </c>
      <c r="M39" s="3">
        <f t="shared" si="1"/>
        <v>-3.5749999999999957</v>
      </c>
    </row>
    <row r="40" spans="1:13" x14ac:dyDescent="0.25">
      <c r="A40" s="2" t="s">
        <v>52</v>
      </c>
      <c r="B40" s="2" t="s">
        <v>13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15</v>
      </c>
      <c r="H40" s="1">
        <v>18.995999999999999</v>
      </c>
      <c r="I40" s="1">
        <v>2.165</v>
      </c>
      <c r="J40">
        <v>19.058333333333337</v>
      </c>
      <c r="K40" s="3">
        <f t="shared" si="0"/>
        <v>-6.2333333333338459E-2</v>
      </c>
      <c r="L40" s="1">
        <v>19.850000000000001</v>
      </c>
      <c r="M40" s="3">
        <f t="shared" si="1"/>
        <v>0.7916666666666643</v>
      </c>
    </row>
    <row r="41" spans="1:13" x14ac:dyDescent="0.25">
      <c r="A41" s="2" t="s">
        <v>53</v>
      </c>
      <c r="B41" s="2" t="s">
        <v>10</v>
      </c>
      <c r="C41" s="1">
        <v>2.5645339999999998E-3</v>
      </c>
      <c r="D41" s="1">
        <v>478.23</v>
      </c>
      <c r="E41" s="1">
        <v>80.760000000000005</v>
      </c>
      <c r="F41" s="1">
        <v>20.7</v>
      </c>
      <c r="G41" s="1">
        <v>18.305499409999999</v>
      </c>
      <c r="H41" s="1">
        <v>21.795500000000001</v>
      </c>
      <c r="I41" s="1">
        <v>2.2450000000000001</v>
      </c>
      <c r="J41">
        <v>19.058333333333337</v>
      </c>
      <c r="K41" s="3">
        <f t="shared" si="0"/>
        <v>2.7371666666666634</v>
      </c>
      <c r="L41" s="1">
        <v>19.850000000000001</v>
      </c>
      <c r="M41" s="3">
        <f t="shared" si="1"/>
        <v>0.7916666666666643</v>
      </c>
    </row>
    <row r="42" spans="1:13" x14ac:dyDescent="0.25">
      <c r="A42" s="2" t="s">
        <v>54</v>
      </c>
      <c r="B42" s="2" t="s">
        <v>10</v>
      </c>
      <c r="C42" s="1">
        <v>1.261093E-3</v>
      </c>
      <c r="D42" s="1">
        <v>746.19</v>
      </c>
      <c r="E42" s="1">
        <v>78.709999999999994</v>
      </c>
      <c r="F42" s="1">
        <v>9.92</v>
      </c>
      <c r="G42" s="1">
        <v>17.316633509999999</v>
      </c>
      <c r="H42" s="1">
        <v>20.007000000000001</v>
      </c>
      <c r="I42" s="1">
        <v>2.2930000000000001</v>
      </c>
      <c r="J42">
        <v>19.058333333333337</v>
      </c>
      <c r="K42" s="3">
        <f t="shared" si="0"/>
        <v>0.94866666666666433</v>
      </c>
      <c r="L42" s="1">
        <v>19.850000000000001</v>
      </c>
      <c r="M42" s="3">
        <f t="shared" si="1"/>
        <v>0.7916666666666643</v>
      </c>
    </row>
    <row r="43" spans="1:13" x14ac:dyDescent="0.25">
      <c r="A43" s="2" t="s">
        <v>55</v>
      </c>
      <c r="B43" s="2" t="s">
        <v>20</v>
      </c>
      <c r="C43" s="1">
        <v>1.07632E-3</v>
      </c>
      <c r="D43" s="1">
        <v>34.333399999999997</v>
      </c>
      <c r="E43" s="1">
        <v>31.31</v>
      </c>
      <c r="F43" s="1">
        <v>3.37</v>
      </c>
      <c r="G43" s="1">
        <v>13.754789069999999</v>
      </c>
      <c r="H43" s="1">
        <v>18.722000000000001</v>
      </c>
      <c r="I43" s="1">
        <v>2.4935</v>
      </c>
      <c r="J43">
        <v>18.697083333333332</v>
      </c>
      <c r="K43" s="3">
        <f t="shared" si="0"/>
        <v>2.4916666666669585E-2</v>
      </c>
      <c r="L43" s="1">
        <v>19.850000000000001</v>
      </c>
      <c r="M43" s="3">
        <f t="shared" si="1"/>
        <v>1.1529166666666697</v>
      </c>
    </row>
    <row r="44" spans="1:13" x14ac:dyDescent="0.25">
      <c r="A44" s="2" t="s">
        <v>56</v>
      </c>
      <c r="B44" s="2" t="s">
        <v>20</v>
      </c>
      <c r="C44" s="1">
        <v>2.26713E-3</v>
      </c>
      <c r="D44" s="1">
        <v>221.97</v>
      </c>
      <c r="E44" s="1">
        <v>92.44</v>
      </c>
      <c r="F44" s="1">
        <v>20.94</v>
      </c>
      <c r="G44" s="1">
        <v>23.739750189999999</v>
      </c>
      <c r="H44" s="1">
        <v>24.971</v>
      </c>
      <c r="I44" s="1">
        <v>2.6034999999999999</v>
      </c>
      <c r="J44">
        <v>22.105</v>
      </c>
      <c r="K44" s="3">
        <f t="shared" si="0"/>
        <v>2.8659999999999997</v>
      </c>
      <c r="L44" s="1">
        <v>19.850000000000001</v>
      </c>
      <c r="M44" s="3">
        <f t="shared" si="1"/>
        <v>-2.254999999999999</v>
      </c>
    </row>
    <row r="45" spans="1:13" x14ac:dyDescent="0.25">
      <c r="A45" s="2" t="s">
        <v>57</v>
      </c>
      <c r="B45" s="2" t="s">
        <v>20</v>
      </c>
      <c r="C45" s="1">
        <v>1.77999E-4</v>
      </c>
      <c r="D45" s="1">
        <v>21.3</v>
      </c>
      <c r="E45" s="1">
        <v>169.31</v>
      </c>
      <c r="F45" s="1">
        <v>3.01</v>
      </c>
      <c r="G45" s="1">
        <v>34.442510120000001</v>
      </c>
      <c r="H45" s="1">
        <v>20.793500000000002</v>
      </c>
      <c r="I45" s="1">
        <v>2.3660000000000001</v>
      </c>
      <c r="J45">
        <v>19.258749999999999</v>
      </c>
      <c r="K45" s="3">
        <f t="shared" si="0"/>
        <v>1.5347500000000025</v>
      </c>
      <c r="L45" s="1">
        <v>19.850000000000001</v>
      </c>
      <c r="M45" s="3">
        <f t="shared" si="1"/>
        <v>0.59125000000000227</v>
      </c>
    </row>
    <row r="46" spans="1:13" x14ac:dyDescent="0.25">
      <c r="A46" s="2" t="s">
        <v>58</v>
      </c>
      <c r="B46" s="2" t="s">
        <v>20</v>
      </c>
      <c r="C46" s="1">
        <v>1.867842E-3</v>
      </c>
      <c r="D46" s="1">
        <v>164.40979999999999</v>
      </c>
      <c r="E46" s="1">
        <v>72.7</v>
      </c>
      <c r="F46" s="1">
        <v>13.57</v>
      </c>
      <c r="G46" s="1">
        <v>19.449469659999998</v>
      </c>
      <c r="H46" s="1">
        <v>26.34</v>
      </c>
      <c r="I46" s="1">
        <v>2.9485000000000001</v>
      </c>
      <c r="J46">
        <v>20.76166666666667</v>
      </c>
      <c r="K46" s="3">
        <f t="shared" si="0"/>
        <v>5.5783333333333296</v>
      </c>
      <c r="L46" s="1">
        <v>19.850000000000001</v>
      </c>
      <c r="M46" s="3">
        <f t="shared" si="1"/>
        <v>-0.91166666666666885</v>
      </c>
    </row>
    <row r="47" spans="1:13" x14ac:dyDescent="0.25">
      <c r="A47" s="2" t="s">
        <v>59</v>
      </c>
      <c r="B47" s="2" t="s">
        <v>28</v>
      </c>
      <c r="C47" s="1">
        <v>2.8328559999999999E-3</v>
      </c>
      <c r="D47" s="1">
        <v>331.98950000000002</v>
      </c>
      <c r="E47" s="1">
        <v>35.81</v>
      </c>
      <c r="F47" s="1">
        <v>10.14</v>
      </c>
      <c r="G47" s="1">
        <v>10.17375075</v>
      </c>
      <c r="H47" s="1">
        <v>24.838999999999999</v>
      </c>
      <c r="I47" s="1">
        <v>2.7614999999999998</v>
      </c>
      <c r="J47">
        <v>22.417083333333331</v>
      </c>
      <c r="K47" s="3">
        <f t="shared" si="0"/>
        <v>2.421916666666668</v>
      </c>
      <c r="L47" s="1">
        <v>19.850000000000001</v>
      </c>
      <c r="M47" s="3">
        <f t="shared" si="1"/>
        <v>-2.5670833333333292</v>
      </c>
    </row>
    <row r="48" spans="1:13" x14ac:dyDescent="0.25">
      <c r="A48" s="2" t="s">
        <v>60</v>
      </c>
      <c r="B48" s="2" t="s">
        <v>20</v>
      </c>
      <c r="C48" s="1">
        <v>2.59392E-3</v>
      </c>
      <c r="D48" s="1">
        <v>252.45</v>
      </c>
      <c r="E48" s="1">
        <v>78.31</v>
      </c>
      <c r="F48" s="1">
        <v>20.3</v>
      </c>
      <c r="G48" s="1">
        <v>23.741828779999999</v>
      </c>
      <c r="H48" s="1">
        <v>25.9175</v>
      </c>
      <c r="I48" s="1">
        <v>2.9525000000000001</v>
      </c>
      <c r="J48">
        <v>22.771250000000002</v>
      </c>
      <c r="K48" s="3">
        <f t="shared" si="0"/>
        <v>3.1462499999999984</v>
      </c>
      <c r="L48" s="1">
        <v>19.850000000000001</v>
      </c>
      <c r="M48" s="3">
        <f t="shared" si="1"/>
        <v>-2.9212500000000006</v>
      </c>
    </row>
    <row r="49" spans="1:13" x14ac:dyDescent="0.25">
      <c r="A49" s="2" t="s">
        <v>61</v>
      </c>
      <c r="B49" s="2" t="s">
        <v>41</v>
      </c>
      <c r="C49" s="1">
        <v>1.250194E-3</v>
      </c>
      <c r="D49" s="1">
        <v>174.36199999999999</v>
      </c>
      <c r="E49" s="1">
        <v>76.81</v>
      </c>
      <c r="F49" s="1">
        <v>9.6</v>
      </c>
      <c r="G49" s="1">
        <v>20.820508530000001</v>
      </c>
      <c r="H49" s="1">
        <v>28.74</v>
      </c>
      <c r="I49" s="1">
        <v>2.9914999999999998</v>
      </c>
      <c r="J49">
        <v>22.771250000000002</v>
      </c>
      <c r="K49" s="3">
        <f t="shared" si="0"/>
        <v>5.9687499999999964</v>
      </c>
      <c r="L49" s="1">
        <v>19.850000000000001</v>
      </c>
      <c r="M49" s="3">
        <f t="shared" si="1"/>
        <v>-2.9212500000000006</v>
      </c>
    </row>
    <row r="50" spans="1:13" x14ac:dyDescent="0.25">
      <c r="A50" s="2" t="s">
        <v>62</v>
      </c>
      <c r="B50" s="2" t="s">
        <v>13</v>
      </c>
      <c r="C50" s="1">
        <v>1.09422E-4</v>
      </c>
      <c r="D50" s="1">
        <v>92.745000000000005</v>
      </c>
      <c r="E50" s="1">
        <v>60.1</v>
      </c>
      <c r="F50" s="1">
        <v>0.66</v>
      </c>
      <c r="G50" s="1">
        <v>11.0162493</v>
      </c>
      <c r="H50" s="1">
        <v>20.734999999999999</v>
      </c>
      <c r="I50" s="1">
        <v>2.5815000000000001</v>
      </c>
      <c r="J50">
        <v>20.013333333333339</v>
      </c>
      <c r="K50" s="3">
        <f t="shared" si="0"/>
        <v>0.72166666666666046</v>
      </c>
      <c r="L50" s="1">
        <v>20.04</v>
      </c>
      <c r="M50" s="3">
        <f t="shared" si="1"/>
        <v>2.6666666666660177E-2</v>
      </c>
    </row>
    <row r="51" spans="1:13" x14ac:dyDescent="0.25">
      <c r="A51" s="2" t="s">
        <v>63</v>
      </c>
      <c r="B51" s="2" t="s">
        <v>13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15</v>
      </c>
      <c r="H51" s="1">
        <v>24.530999999999999</v>
      </c>
      <c r="I51" s="1">
        <v>2.6074999999999999</v>
      </c>
      <c r="J51">
        <v>20.013333333333339</v>
      </c>
      <c r="K51" s="3">
        <f t="shared" si="0"/>
        <v>4.5176666666666598</v>
      </c>
      <c r="L51" s="1">
        <v>20.04</v>
      </c>
      <c r="M51" s="3">
        <f t="shared" si="1"/>
        <v>2.6666666666660177E-2</v>
      </c>
    </row>
    <row r="52" spans="1:13" x14ac:dyDescent="0.25">
      <c r="A52" s="2" t="s">
        <v>64</v>
      </c>
      <c r="B52" s="2" t="s">
        <v>20</v>
      </c>
      <c r="C52" s="1">
        <v>1.115001E-3</v>
      </c>
      <c r="D52" s="1">
        <v>256.41559999999998</v>
      </c>
      <c r="E52" s="1">
        <v>99.1</v>
      </c>
      <c r="F52" s="1">
        <v>11.04</v>
      </c>
      <c r="G52" s="1">
        <v>20.698319269999999</v>
      </c>
      <c r="H52" s="1">
        <v>24.2425</v>
      </c>
      <c r="I52" s="1">
        <v>2.573</v>
      </c>
      <c r="J52">
        <v>20.013333333333339</v>
      </c>
      <c r="K52" s="3">
        <f t="shared" si="0"/>
        <v>4.2291666666666607</v>
      </c>
      <c r="L52" s="1">
        <v>20.04</v>
      </c>
      <c r="M52" s="3">
        <f t="shared" si="1"/>
        <v>2.6666666666660177E-2</v>
      </c>
    </row>
    <row r="53" spans="1:13" x14ac:dyDescent="0.25">
      <c r="A53" s="2" t="s">
        <v>65</v>
      </c>
      <c r="B53" s="2" t="s">
        <v>13</v>
      </c>
      <c r="C53" s="1">
        <v>3.1099999999999997E-5</v>
      </c>
      <c r="D53" s="1">
        <v>139.72499999999999</v>
      </c>
      <c r="E53" s="1">
        <v>109.83</v>
      </c>
      <c r="F53" s="1">
        <v>0.34</v>
      </c>
      <c r="G53" s="1">
        <v>16.874434610000002</v>
      </c>
      <c r="H53" s="1">
        <v>19.710999999999999</v>
      </c>
      <c r="I53" s="1">
        <v>2.2084999999999999</v>
      </c>
      <c r="J53">
        <v>18.04</v>
      </c>
      <c r="K53" s="3">
        <f t="shared" si="0"/>
        <v>1.6709999999999994</v>
      </c>
      <c r="L53" s="1">
        <v>20.04</v>
      </c>
      <c r="M53" s="3">
        <f t="shared" si="1"/>
        <v>2</v>
      </c>
    </row>
    <row r="54" spans="1:13" x14ac:dyDescent="0.25">
      <c r="A54" s="2" t="s">
        <v>66</v>
      </c>
      <c r="B54" s="2" t="s">
        <v>8</v>
      </c>
      <c r="C54" s="1">
        <v>8.1112999999999997E-4</v>
      </c>
      <c r="D54" s="1">
        <v>120.2876</v>
      </c>
      <c r="E54" s="1">
        <v>85.25</v>
      </c>
      <c r="F54" s="1">
        <v>6.91</v>
      </c>
      <c r="G54" s="1">
        <v>18.754732950000001</v>
      </c>
      <c r="H54" s="1">
        <v>24.027000000000001</v>
      </c>
      <c r="I54" s="1">
        <v>2.7069999999999999</v>
      </c>
      <c r="J54">
        <v>18.04</v>
      </c>
      <c r="K54" s="3">
        <f t="shared" si="0"/>
        <v>5.9870000000000019</v>
      </c>
      <c r="L54" s="1">
        <v>20.04</v>
      </c>
      <c r="M54" s="3">
        <f t="shared" si="1"/>
        <v>2</v>
      </c>
    </row>
    <row r="55" spans="1:13" x14ac:dyDescent="0.25">
      <c r="A55" s="2" t="s">
        <v>67</v>
      </c>
      <c r="B55" s="2" t="s">
        <v>8</v>
      </c>
      <c r="C55" s="1">
        <v>4.0307449999999996E-3</v>
      </c>
      <c r="D55" s="1">
        <v>425.45089999999999</v>
      </c>
      <c r="E55" s="1">
        <v>59.09</v>
      </c>
      <c r="F55" s="1">
        <v>23.8</v>
      </c>
      <c r="G55" s="1">
        <v>30.12405347</v>
      </c>
      <c r="H55" s="1">
        <v>25.812999999999999</v>
      </c>
      <c r="I55" s="1">
        <v>2.8734999999999999</v>
      </c>
      <c r="J55">
        <v>19.862500000000001</v>
      </c>
      <c r="K55" s="3">
        <f t="shared" si="0"/>
        <v>5.9504999999999981</v>
      </c>
      <c r="L55" s="1">
        <v>20.04</v>
      </c>
      <c r="M55" s="3">
        <f t="shared" si="1"/>
        <v>0.17749999999999844</v>
      </c>
    </row>
    <row r="56" spans="1:13" x14ac:dyDescent="0.25">
      <c r="A56" s="2" t="s">
        <v>68</v>
      </c>
      <c r="B56" s="2" t="s">
        <v>20</v>
      </c>
      <c r="C56" s="1">
        <v>2.6758400000000002E-4</v>
      </c>
      <c r="D56" s="1">
        <v>23.651</v>
      </c>
      <c r="E56" s="1">
        <v>127.62</v>
      </c>
      <c r="F56" s="1">
        <v>3.41</v>
      </c>
      <c r="G56" s="1">
        <v>19.563821449999999</v>
      </c>
      <c r="H56" s="1">
        <v>21.383500000000002</v>
      </c>
      <c r="I56" s="1">
        <v>2.5625</v>
      </c>
      <c r="J56">
        <v>20.002500000000001</v>
      </c>
      <c r="K56" s="3">
        <f t="shared" si="0"/>
        <v>1.3810000000000002</v>
      </c>
      <c r="L56" s="1">
        <v>20.04</v>
      </c>
      <c r="M56" s="3">
        <f t="shared" si="1"/>
        <v>3.7499999999997868E-2</v>
      </c>
    </row>
    <row r="57" spans="1:13" x14ac:dyDescent="0.25">
      <c r="A57" s="2" t="s">
        <v>69</v>
      </c>
      <c r="B57" s="2" t="s">
        <v>10</v>
      </c>
      <c r="C57" s="1">
        <v>9.7715999999999992E-4</v>
      </c>
      <c r="D57" s="1">
        <v>250.59540000000001</v>
      </c>
      <c r="E57" s="1">
        <v>105.05</v>
      </c>
      <c r="F57" s="1">
        <v>10.26</v>
      </c>
      <c r="G57" s="1">
        <v>20.72161071</v>
      </c>
      <c r="H57" s="1">
        <v>25.4755</v>
      </c>
      <c r="I57" s="1">
        <v>2.6404999999999998</v>
      </c>
      <c r="J57">
        <v>20.002500000000001</v>
      </c>
      <c r="K57" s="3">
        <f t="shared" si="0"/>
        <v>5.472999999999999</v>
      </c>
      <c r="L57" s="1">
        <v>20.04</v>
      </c>
      <c r="M57" s="3">
        <f t="shared" si="1"/>
        <v>3.7499999999997868E-2</v>
      </c>
    </row>
    <row r="58" spans="1:13" x14ac:dyDescent="0.25">
      <c r="A58" s="2" t="s">
        <v>70</v>
      </c>
      <c r="B58" s="2" t="s">
        <v>20</v>
      </c>
      <c r="C58" s="1">
        <v>7.5986900000000004E-4</v>
      </c>
      <c r="D58" s="1">
        <v>111.8</v>
      </c>
      <c r="E58" s="1">
        <v>7.08</v>
      </c>
      <c r="F58" s="1">
        <v>0.54</v>
      </c>
      <c r="G58" s="1">
        <v>16.988314089999999</v>
      </c>
      <c r="H58" s="1">
        <v>22.455500000000001</v>
      </c>
      <c r="I58" s="1">
        <v>2.6880000000000002</v>
      </c>
      <c r="J58">
        <v>20.502500000000001</v>
      </c>
      <c r="K58" s="3">
        <f t="shared" si="0"/>
        <v>1.9529999999999994</v>
      </c>
      <c r="L58" s="1">
        <v>20.04</v>
      </c>
      <c r="M58" s="3">
        <f t="shared" si="1"/>
        <v>-0.46250000000000213</v>
      </c>
    </row>
    <row r="59" spans="1:13" x14ac:dyDescent="0.25">
      <c r="A59" s="2" t="s">
        <v>71</v>
      </c>
      <c r="B59" s="2" t="s">
        <v>28</v>
      </c>
      <c r="C59" s="1">
        <v>4.2788740000000002E-3</v>
      </c>
      <c r="D59" s="1">
        <v>364.99</v>
      </c>
      <c r="E59" s="1">
        <v>68.63</v>
      </c>
      <c r="F59" s="1">
        <v>29.34</v>
      </c>
      <c r="G59" s="1">
        <v>19.027132519999999</v>
      </c>
      <c r="H59" s="1">
        <v>24.497</v>
      </c>
      <c r="I59" s="1">
        <v>2.8744999999999998</v>
      </c>
      <c r="J59">
        <v>20.502500000000001</v>
      </c>
      <c r="K59" s="3">
        <f t="shared" si="0"/>
        <v>3.9944999999999986</v>
      </c>
      <c r="L59" s="1">
        <v>20.04</v>
      </c>
      <c r="M59" s="3">
        <f t="shared" si="1"/>
        <v>-0.46250000000000213</v>
      </c>
    </row>
    <row r="60" spans="1:13" x14ac:dyDescent="0.25">
      <c r="A60" s="2" t="s">
        <v>72</v>
      </c>
      <c r="B60" s="2" t="s">
        <v>10</v>
      </c>
      <c r="C60" s="1">
        <v>1.2039240000000001E-3</v>
      </c>
      <c r="D60" s="1">
        <v>584.19489999999996</v>
      </c>
      <c r="E60" s="1">
        <v>73.97</v>
      </c>
      <c r="F60" s="1">
        <v>8.9</v>
      </c>
      <c r="G60" s="1">
        <v>18.59830655</v>
      </c>
      <c r="H60" s="1">
        <v>25.379000000000001</v>
      </c>
      <c r="I60" s="1">
        <v>2.7494999999999998</v>
      </c>
      <c r="J60">
        <v>20.502500000000001</v>
      </c>
      <c r="K60" s="3">
        <f t="shared" si="0"/>
        <v>4.8765000000000001</v>
      </c>
      <c r="L60" s="1">
        <v>20.04</v>
      </c>
      <c r="M60" s="3">
        <f t="shared" si="1"/>
        <v>-0.46250000000000213</v>
      </c>
    </row>
    <row r="61" spans="1:13" x14ac:dyDescent="0.25">
      <c r="A61" s="2" t="s">
        <v>73</v>
      </c>
      <c r="B61" s="2" t="s">
        <v>20</v>
      </c>
      <c r="C61" s="1">
        <v>1.745E-3</v>
      </c>
      <c r="D61" s="1">
        <v>387.89</v>
      </c>
      <c r="E61" s="1">
        <v>88.37</v>
      </c>
      <c r="F61" s="1">
        <v>15.41</v>
      </c>
      <c r="G61" s="1">
        <v>20.195614020000001</v>
      </c>
      <c r="H61" s="1">
        <v>25.906500000000001</v>
      </c>
      <c r="I61" s="1">
        <v>2.6735000000000002</v>
      </c>
      <c r="J61">
        <v>19.711166666666671</v>
      </c>
      <c r="K61" s="3">
        <f t="shared" si="0"/>
        <v>6.1953333333333305</v>
      </c>
      <c r="L61" s="1">
        <v>20.04</v>
      </c>
      <c r="M61" s="3">
        <f t="shared" si="1"/>
        <v>0.32883333333332843</v>
      </c>
    </row>
    <row r="62" spans="1:13" x14ac:dyDescent="0.25">
      <c r="A62" s="2" t="s">
        <v>74</v>
      </c>
      <c r="B62" s="2" t="s">
        <v>13</v>
      </c>
      <c r="C62" s="1">
        <v>3.262142E-3</v>
      </c>
      <c r="D62" s="1">
        <v>166.9</v>
      </c>
      <c r="E62" s="1">
        <v>65.180000000000007</v>
      </c>
      <c r="F62" s="1">
        <v>21.25</v>
      </c>
      <c r="G62" s="1">
        <v>28.28649386</v>
      </c>
      <c r="H62" s="1">
        <v>24.232500000000002</v>
      </c>
      <c r="I62" s="1">
        <v>2.8085</v>
      </c>
      <c r="J62">
        <v>19.711166666666671</v>
      </c>
      <c r="K62" s="3">
        <f t="shared" si="0"/>
        <v>4.521333333333331</v>
      </c>
      <c r="L62" s="1">
        <v>20.04</v>
      </c>
      <c r="M62" s="3">
        <f t="shared" si="1"/>
        <v>0.32883333333332843</v>
      </c>
    </row>
    <row r="63" spans="1:13" x14ac:dyDescent="0.25">
      <c r="A63" s="2" t="s">
        <v>75</v>
      </c>
      <c r="B63" s="2" t="s">
        <v>13</v>
      </c>
      <c r="C63" s="1">
        <v>4.2954000000000001E-4</v>
      </c>
      <c r="D63" s="1">
        <v>279.52999999999997</v>
      </c>
      <c r="E63" s="1">
        <v>101.48</v>
      </c>
      <c r="F63" s="1">
        <v>4.3600000000000003</v>
      </c>
      <c r="G63" s="1">
        <v>16.429692970000001</v>
      </c>
      <c r="H63" s="1">
        <v>21.484000000000002</v>
      </c>
      <c r="I63" s="1">
        <v>2.448</v>
      </c>
      <c r="J63">
        <v>20.676666666666669</v>
      </c>
      <c r="K63" s="3">
        <f t="shared" si="0"/>
        <v>0.80733333333333235</v>
      </c>
      <c r="L63" s="1">
        <v>20.04</v>
      </c>
      <c r="M63" s="3">
        <f t="shared" si="1"/>
        <v>-0.63666666666667027</v>
      </c>
    </row>
    <row r="64" spans="1:13" x14ac:dyDescent="0.25">
      <c r="A64" s="2" t="s">
        <v>76</v>
      </c>
      <c r="B64" s="2" t="s">
        <v>28</v>
      </c>
      <c r="C64" s="1">
        <v>2.3817220000000002E-3</v>
      </c>
      <c r="D64" s="1">
        <v>259.97000000000003</v>
      </c>
      <c r="E64" s="1">
        <v>31.8</v>
      </c>
      <c r="F64" s="1">
        <v>7.57</v>
      </c>
      <c r="G64" s="1">
        <v>20.802806530000002</v>
      </c>
      <c r="H64" s="1">
        <v>26.238499999999998</v>
      </c>
      <c r="I64" s="1">
        <v>2.8370000000000002</v>
      </c>
      <c r="J64">
        <v>19.926666666666669</v>
      </c>
      <c r="K64" s="3">
        <f t="shared" si="0"/>
        <v>6.311833333333329</v>
      </c>
      <c r="L64" s="1">
        <v>20.04</v>
      </c>
      <c r="M64" s="3">
        <f t="shared" si="1"/>
        <v>0.11333333333332973</v>
      </c>
    </row>
    <row r="65" spans="1:13" x14ac:dyDescent="0.25">
      <c r="A65" s="2" t="s">
        <v>77</v>
      </c>
      <c r="B65" s="2" t="s">
        <v>13</v>
      </c>
      <c r="C65" s="1">
        <v>4.3921699999999999E-4</v>
      </c>
      <c r="D65" s="1">
        <v>79.790000000000006</v>
      </c>
      <c r="E65" s="1">
        <v>253.11</v>
      </c>
      <c r="F65" s="1">
        <v>11.11</v>
      </c>
      <c r="G65" s="1">
        <v>27.84540234</v>
      </c>
      <c r="H65" s="1">
        <v>21.121500000000001</v>
      </c>
      <c r="I65" s="1">
        <v>2.3210000000000002</v>
      </c>
      <c r="J65">
        <v>21.71</v>
      </c>
      <c r="K65" s="3">
        <f t="shared" si="0"/>
        <v>-0.5884999999999998</v>
      </c>
      <c r="L65" s="1">
        <v>20.04</v>
      </c>
      <c r="M65" s="3">
        <f t="shared" si="1"/>
        <v>-1.6700000000000017</v>
      </c>
    </row>
    <row r="66" spans="1:13" x14ac:dyDescent="0.25">
      <c r="A66" s="2" t="s">
        <v>78</v>
      </c>
      <c r="B66" s="2" t="s">
        <v>20</v>
      </c>
      <c r="C66" s="1">
        <v>6.5900000000000003E-5</v>
      </c>
      <c r="D66" s="1">
        <v>1.2885</v>
      </c>
      <c r="E66" s="1">
        <v>129.91</v>
      </c>
      <c r="F66" s="1">
        <v>0.86</v>
      </c>
      <c r="G66" s="1">
        <v>16.62584725</v>
      </c>
      <c r="H66" s="1" t="s">
        <v>15</v>
      </c>
      <c r="I66" s="1">
        <v>2.5954999999999999</v>
      </c>
      <c r="J66">
        <v>20.013333333333339</v>
      </c>
      <c r="K66" s="3" t="e">
        <f t="shared" si="0"/>
        <v>#VALUE!</v>
      </c>
      <c r="L66" s="1">
        <v>20.04</v>
      </c>
      <c r="M66" s="3">
        <f t="shared" si="1"/>
        <v>2.6666666666660177E-2</v>
      </c>
    </row>
    <row r="67" spans="1:13" x14ac:dyDescent="0.25">
      <c r="A67" s="2" t="s">
        <v>79</v>
      </c>
      <c r="B67" s="2" t="s">
        <v>20</v>
      </c>
      <c r="C67" s="1">
        <v>1.1398549999999999E-3</v>
      </c>
      <c r="D67" s="1">
        <v>262.56</v>
      </c>
      <c r="E67" s="1">
        <v>96.44</v>
      </c>
      <c r="F67" s="1">
        <v>10.98</v>
      </c>
      <c r="G67" s="1">
        <v>20.089353790000001</v>
      </c>
      <c r="H67" s="1">
        <v>21.770499999999998</v>
      </c>
      <c r="I67" s="1">
        <v>2.4319999999999999</v>
      </c>
      <c r="J67">
        <v>20.013333333333339</v>
      </c>
      <c r="K67" s="3">
        <f t="shared" ref="K67:K94" si="3">H67-J67</f>
        <v>1.7571666666666594</v>
      </c>
      <c r="L67" s="1">
        <v>20.04</v>
      </c>
      <c r="M67" s="3">
        <f t="shared" ref="M67:M94" si="4">L67-J67</f>
        <v>2.6666666666660177E-2</v>
      </c>
    </row>
    <row r="68" spans="1:13" x14ac:dyDescent="0.25">
      <c r="A68" s="2" t="s">
        <v>80</v>
      </c>
      <c r="B68" s="2" t="s">
        <v>20</v>
      </c>
      <c r="C68" s="1">
        <v>1.7903280000000001E-3</v>
      </c>
      <c r="D68" s="1">
        <v>215.25</v>
      </c>
      <c r="E68" s="1">
        <v>64.08</v>
      </c>
      <c r="F68" s="1">
        <v>11.46</v>
      </c>
      <c r="G68" s="1">
        <v>18.43362166</v>
      </c>
      <c r="H68" s="1">
        <v>25.317</v>
      </c>
      <c r="I68" s="1">
        <v>2.7810000000000001</v>
      </c>
      <c r="J68">
        <v>19.711166666666671</v>
      </c>
      <c r="K68" s="3">
        <f t="shared" si="3"/>
        <v>5.6058333333333294</v>
      </c>
      <c r="L68" s="1">
        <v>20.04</v>
      </c>
      <c r="M68" s="3">
        <f t="shared" si="4"/>
        <v>0.32883333333332843</v>
      </c>
    </row>
    <row r="69" spans="1:13" x14ac:dyDescent="0.25">
      <c r="A69" s="2" t="s">
        <v>81</v>
      </c>
      <c r="B69" s="2" t="s">
        <v>41</v>
      </c>
      <c r="C69" s="1">
        <v>1.6093240000000001E-3</v>
      </c>
      <c r="D69" s="1">
        <v>478.34</v>
      </c>
      <c r="E69" s="1">
        <v>112.9</v>
      </c>
      <c r="F69" s="1">
        <v>18.16</v>
      </c>
      <c r="G69" s="1">
        <v>13.19554245</v>
      </c>
      <c r="H69" s="1">
        <v>25.959</v>
      </c>
      <c r="I69" s="1">
        <v>2.738</v>
      </c>
      <c r="J69">
        <v>20.676666666666669</v>
      </c>
      <c r="K69" s="3">
        <f t="shared" si="3"/>
        <v>5.2823333333333302</v>
      </c>
      <c r="L69" s="1">
        <v>20.04</v>
      </c>
      <c r="M69" s="3">
        <f t="shared" si="4"/>
        <v>-0.63666666666667027</v>
      </c>
    </row>
    <row r="70" spans="1:13" x14ac:dyDescent="0.25">
      <c r="A70" s="2" t="s">
        <v>82</v>
      </c>
      <c r="B70" s="2" t="s">
        <v>28</v>
      </c>
      <c r="C70" s="1">
        <v>2.1933080000000001E-3</v>
      </c>
      <c r="D70" s="1">
        <v>286.19639999999998</v>
      </c>
      <c r="E70" s="1">
        <v>87.71</v>
      </c>
      <c r="F70" s="1">
        <v>19.22</v>
      </c>
      <c r="G70" s="1">
        <v>20.300861820000002</v>
      </c>
      <c r="H70" s="1">
        <v>27.062999999999999</v>
      </c>
      <c r="I70" s="1">
        <v>2.9045000000000001</v>
      </c>
      <c r="J70">
        <v>19.926666666666669</v>
      </c>
      <c r="K70" s="3">
        <f t="shared" si="3"/>
        <v>7.1363333333333294</v>
      </c>
      <c r="L70" s="1">
        <v>20.04</v>
      </c>
      <c r="M70" s="3">
        <f t="shared" si="4"/>
        <v>0.11333333333332973</v>
      </c>
    </row>
    <row r="71" spans="1:13" x14ac:dyDescent="0.25">
      <c r="A71" s="2" t="s">
        <v>83</v>
      </c>
      <c r="B71" s="2" t="s">
        <v>20</v>
      </c>
      <c r="C71" s="1">
        <v>4.0377000000000002E-4</v>
      </c>
      <c r="D71" s="1">
        <v>0</v>
      </c>
      <c r="E71" s="1">
        <v>155.13</v>
      </c>
      <c r="F71" s="1">
        <v>6.26</v>
      </c>
      <c r="G71" s="1">
        <v>13.18038318</v>
      </c>
      <c r="H71" s="1">
        <v>22.271000000000001</v>
      </c>
      <c r="I71" s="1">
        <v>2.1924999999999999</v>
      </c>
      <c r="J71">
        <v>16.46</v>
      </c>
      <c r="K71" s="3">
        <f t="shared" si="3"/>
        <v>5.8109999999999999</v>
      </c>
      <c r="L71" s="1">
        <v>16.29</v>
      </c>
      <c r="M71" s="3">
        <f t="shared" si="4"/>
        <v>-0.17000000000000171</v>
      </c>
    </row>
    <row r="72" spans="1:13" x14ac:dyDescent="0.25">
      <c r="A72" s="2" t="s">
        <v>84</v>
      </c>
      <c r="B72" s="2" t="s">
        <v>20</v>
      </c>
      <c r="C72" s="1">
        <v>1.0363659999999999E-3</v>
      </c>
      <c r="D72" s="1">
        <v>207.33</v>
      </c>
      <c r="E72" s="1">
        <v>32.33</v>
      </c>
      <c r="F72" s="1">
        <v>3.35</v>
      </c>
      <c r="G72" s="1">
        <v>14.459740119999999</v>
      </c>
      <c r="H72" s="1">
        <v>19.956</v>
      </c>
      <c r="I72" s="1">
        <v>2.2989999999999999</v>
      </c>
      <c r="J72">
        <v>16.46</v>
      </c>
      <c r="K72" s="3">
        <f t="shared" si="3"/>
        <v>3.4959999999999987</v>
      </c>
      <c r="L72" s="1">
        <v>16.29</v>
      </c>
      <c r="M72" s="3">
        <f t="shared" si="4"/>
        <v>-0.17000000000000171</v>
      </c>
    </row>
    <row r="73" spans="1:13" x14ac:dyDescent="0.25">
      <c r="A73" s="2" t="s">
        <v>85</v>
      </c>
      <c r="B73" s="2" t="s">
        <v>10</v>
      </c>
      <c r="C73" s="1">
        <v>1.230917E-3</v>
      </c>
      <c r="D73" s="1">
        <v>459.05</v>
      </c>
      <c r="E73" s="1">
        <v>60.44</v>
      </c>
      <c r="F73" s="1">
        <v>7.43</v>
      </c>
      <c r="G73" s="1">
        <v>21.240562140000002</v>
      </c>
      <c r="H73" s="1">
        <v>24.664000000000001</v>
      </c>
      <c r="I73" s="1">
        <v>2.5939999999999999</v>
      </c>
      <c r="J73">
        <v>16.848333333333336</v>
      </c>
      <c r="K73" s="3">
        <f t="shared" si="3"/>
        <v>7.8156666666666652</v>
      </c>
      <c r="L73" s="1">
        <v>16.29</v>
      </c>
      <c r="M73" s="3">
        <f t="shared" si="4"/>
        <v>-0.55833333333333712</v>
      </c>
    </row>
    <row r="74" spans="1:13" x14ac:dyDescent="0.25">
      <c r="A74" s="2" t="s">
        <v>86</v>
      </c>
      <c r="B74" s="2" t="s">
        <v>13</v>
      </c>
      <c r="C74" s="1">
        <v>9.5799999999999998E-5</v>
      </c>
      <c r="D74" s="1">
        <v>7.32</v>
      </c>
      <c r="E74" s="1">
        <v>122.63</v>
      </c>
      <c r="F74" s="1">
        <v>1.17</v>
      </c>
      <c r="G74" s="1">
        <v>11.76418498</v>
      </c>
      <c r="H74" s="1">
        <v>17.109000000000002</v>
      </c>
      <c r="I74" s="1">
        <v>1.966</v>
      </c>
      <c r="J74">
        <v>15.951666666666664</v>
      </c>
      <c r="K74" s="3">
        <f t="shared" si="3"/>
        <v>1.1573333333333373</v>
      </c>
      <c r="L74" s="1">
        <v>16.29</v>
      </c>
      <c r="M74" s="3">
        <f t="shared" si="4"/>
        <v>0.33833333333333471</v>
      </c>
    </row>
    <row r="75" spans="1:13" x14ac:dyDescent="0.25">
      <c r="A75" s="2" t="s">
        <v>87</v>
      </c>
      <c r="B75" s="2" t="s">
        <v>20</v>
      </c>
      <c r="C75" s="1">
        <v>7.9534199999999999E-4</v>
      </c>
      <c r="D75" s="1">
        <v>27.5</v>
      </c>
      <c r="E75" s="1">
        <v>122.26</v>
      </c>
      <c r="F75" s="1">
        <v>9.7200000000000006</v>
      </c>
      <c r="G75" s="1">
        <v>20.982837109999998</v>
      </c>
      <c r="H75" s="1">
        <v>22.272500000000001</v>
      </c>
      <c r="I75" s="1">
        <v>2.1640000000000001</v>
      </c>
      <c r="J75">
        <v>16.46</v>
      </c>
      <c r="K75" s="3">
        <f t="shared" si="3"/>
        <v>5.8125</v>
      </c>
      <c r="L75" s="1">
        <v>16.29</v>
      </c>
      <c r="M75" s="3">
        <f t="shared" si="4"/>
        <v>-0.17000000000000171</v>
      </c>
    </row>
    <row r="76" spans="1:13" x14ac:dyDescent="0.25">
      <c r="A76" s="2" t="s">
        <v>88</v>
      </c>
      <c r="B76" s="2" t="s">
        <v>20</v>
      </c>
      <c r="C76" s="1">
        <v>6.8367899999999997E-4</v>
      </c>
      <c r="D76" s="1">
        <v>71.84</v>
      </c>
      <c r="E76" s="1">
        <v>56.86</v>
      </c>
      <c r="F76" s="1">
        <v>3.88</v>
      </c>
      <c r="G76" s="1">
        <v>19.647227440000002</v>
      </c>
      <c r="H76" s="1">
        <v>18.845500000000001</v>
      </c>
      <c r="I76" s="1">
        <v>2.3580000000000001</v>
      </c>
      <c r="J76">
        <v>16.46</v>
      </c>
      <c r="K76" s="3">
        <f t="shared" si="3"/>
        <v>2.3855000000000004</v>
      </c>
      <c r="L76" s="1">
        <v>16.29</v>
      </c>
      <c r="M76" s="3">
        <f t="shared" si="4"/>
        <v>-0.17000000000000171</v>
      </c>
    </row>
    <row r="77" spans="1:13" x14ac:dyDescent="0.25">
      <c r="A77" s="2" t="s">
        <v>89</v>
      </c>
      <c r="B77" s="2" t="s">
        <v>20</v>
      </c>
      <c r="C77" s="1">
        <v>7.7267799999999995E-4</v>
      </c>
      <c r="D77" s="1">
        <v>138.91</v>
      </c>
      <c r="E77" s="1">
        <v>111.5</v>
      </c>
      <c r="F77" s="1">
        <v>8.61</v>
      </c>
      <c r="G77" s="1">
        <v>16.579693949999999</v>
      </c>
      <c r="H77" s="1">
        <v>22.077500000000001</v>
      </c>
      <c r="I77" s="1">
        <v>2.4554999999999998</v>
      </c>
      <c r="J77">
        <v>16.46</v>
      </c>
      <c r="K77" s="3">
        <f t="shared" si="3"/>
        <v>5.6174999999999997</v>
      </c>
      <c r="L77" s="1">
        <v>16.29</v>
      </c>
      <c r="M77" s="3">
        <f t="shared" si="4"/>
        <v>-0.17000000000000171</v>
      </c>
    </row>
    <row r="78" spans="1:13" x14ac:dyDescent="0.25">
      <c r="A78" s="2" t="s">
        <v>90</v>
      </c>
      <c r="B78" s="2" t="s">
        <v>20</v>
      </c>
      <c r="C78" s="1">
        <v>8.1331999999999997E-4</v>
      </c>
      <c r="D78" s="1">
        <v>141.27000000000001</v>
      </c>
      <c r="E78" s="1">
        <v>173.2</v>
      </c>
      <c r="F78" s="1">
        <v>14.08</v>
      </c>
      <c r="G78" s="1">
        <v>23.16108852</v>
      </c>
      <c r="H78" s="1">
        <v>21.9025</v>
      </c>
      <c r="I78" s="1">
        <v>2.3039999999999998</v>
      </c>
      <c r="J78">
        <v>16.848333333333336</v>
      </c>
      <c r="K78" s="3">
        <f t="shared" si="3"/>
        <v>5.0541666666666636</v>
      </c>
      <c r="L78" s="1">
        <v>16.29</v>
      </c>
      <c r="M78" s="3">
        <f t="shared" si="4"/>
        <v>-0.55833333333333712</v>
      </c>
    </row>
    <row r="79" spans="1:13" x14ac:dyDescent="0.25">
      <c r="A79" s="2" t="s">
        <v>91</v>
      </c>
      <c r="B79" s="2" t="s">
        <v>13</v>
      </c>
      <c r="C79" s="1">
        <v>2.1252900000000001E-4</v>
      </c>
      <c r="D79" s="1">
        <v>70.66</v>
      </c>
      <c r="E79" s="1">
        <v>230.17</v>
      </c>
      <c r="F79" s="1">
        <v>4.8899999999999997</v>
      </c>
      <c r="G79" s="1">
        <v>24.291785019999999</v>
      </c>
      <c r="H79" s="1">
        <v>20.21</v>
      </c>
      <c r="I79" s="1">
        <v>2.3875000000000002</v>
      </c>
      <c r="J79">
        <v>16.848333333333336</v>
      </c>
      <c r="K79" s="3">
        <f t="shared" si="3"/>
        <v>3.3616666666666646</v>
      </c>
      <c r="L79" s="1">
        <v>16.29</v>
      </c>
      <c r="M79" s="3">
        <f t="shared" si="4"/>
        <v>-0.55833333333333712</v>
      </c>
    </row>
    <row r="80" spans="1:13" x14ac:dyDescent="0.25">
      <c r="A80" s="2" t="s">
        <v>92</v>
      </c>
      <c r="B80" s="2" t="s">
        <v>28</v>
      </c>
      <c r="C80" s="1">
        <v>1.7193320000000001E-3</v>
      </c>
      <c r="D80" s="1">
        <v>414.23099999999999</v>
      </c>
      <c r="E80" s="1">
        <v>53.59</v>
      </c>
      <c r="F80" s="1">
        <v>9.2100000000000009</v>
      </c>
      <c r="G80" s="1">
        <v>17.154764629999999</v>
      </c>
      <c r="H80" s="1">
        <v>25.229500000000002</v>
      </c>
      <c r="I80" s="1">
        <v>2.4714999999999998</v>
      </c>
      <c r="J80">
        <v>15.951666666666664</v>
      </c>
      <c r="K80" s="3">
        <f t="shared" si="3"/>
        <v>9.2778333333333372</v>
      </c>
      <c r="L80" s="1">
        <v>16.29</v>
      </c>
      <c r="M80" s="3">
        <f t="shared" si="4"/>
        <v>0.33833333333333471</v>
      </c>
    </row>
    <row r="81" spans="1:13" x14ac:dyDescent="0.25">
      <c r="A81" s="2" t="s">
        <v>93</v>
      </c>
      <c r="B81" s="2" t="s">
        <v>20</v>
      </c>
      <c r="C81" s="1">
        <v>3.0644299999999999E-4</v>
      </c>
      <c r="D81" s="1">
        <v>95.17</v>
      </c>
      <c r="E81" s="1">
        <v>85.48</v>
      </c>
      <c r="F81" s="1">
        <v>2.62</v>
      </c>
      <c r="G81" s="1">
        <v>20.502661830000001</v>
      </c>
      <c r="H81" s="1">
        <v>19.137499999999999</v>
      </c>
      <c r="I81" s="1">
        <v>2.0070000000000001</v>
      </c>
      <c r="J81">
        <v>14.233333333333331</v>
      </c>
      <c r="K81" s="3">
        <f t="shared" si="3"/>
        <v>4.9041666666666686</v>
      </c>
      <c r="L81" s="1">
        <v>16.29</v>
      </c>
      <c r="M81" s="3">
        <f t="shared" si="4"/>
        <v>2.0566666666666684</v>
      </c>
    </row>
    <row r="82" spans="1:13" x14ac:dyDescent="0.25">
      <c r="A82" s="2" t="s">
        <v>94</v>
      </c>
      <c r="B82" s="2" t="s">
        <v>13</v>
      </c>
      <c r="C82" s="1" t="s">
        <v>15</v>
      </c>
      <c r="D82" s="1">
        <v>264.39999999999998</v>
      </c>
      <c r="E82" s="1" t="s">
        <v>15</v>
      </c>
      <c r="F82" s="1" t="s">
        <v>15</v>
      </c>
      <c r="G82" s="1" t="s">
        <v>15</v>
      </c>
      <c r="H82" s="1">
        <v>22.104500000000002</v>
      </c>
      <c r="I82" s="1">
        <v>2.1549999999999998</v>
      </c>
      <c r="J82">
        <v>15.336666666666666</v>
      </c>
      <c r="K82" s="3">
        <f t="shared" si="3"/>
        <v>6.7678333333333356</v>
      </c>
      <c r="L82" s="1">
        <v>16.29</v>
      </c>
      <c r="M82" s="3">
        <f t="shared" si="4"/>
        <v>0.95333333333333314</v>
      </c>
    </row>
    <row r="83" spans="1:13" x14ac:dyDescent="0.25">
      <c r="A83" s="2" t="s">
        <v>95</v>
      </c>
      <c r="B83" s="2" t="s">
        <v>20</v>
      </c>
      <c r="C83" s="1">
        <v>2.5606629999999999E-3</v>
      </c>
      <c r="D83" s="1">
        <v>126.07</v>
      </c>
      <c r="E83" s="1">
        <v>44.01</v>
      </c>
      <c r="F83" s="1">
        <v>11.26</v>
      </c>
      <c r="G83" s="1">
        <v>16.47151693</v>
      </c>
      <c r="H83" s="1">
        <v>20.862500000000001</v>
      </c>
      <c r="I83" s="1">
        <v>2.3319999999999999</v>
      </c>
      <c r="J83">
        <v>15.68</v>
      </c>
      <c r="K83" s="3">
        <f t="shared" si="3"/>
        <v>5.182500000000001</v>
      </c>
      <c r="L83" s="1">
        <v>16.29</v>
      </c>
      <c r="M83" s="3">
        <f t="shared" si="4"/>
        <v>0.60999999999999943</v>
      </c>
    </row>
    <row r="84" spans="1:13" x14ac:dyDescent="0.25">
      <c r="A84" s="2" t="s">
        <v>96</v>
      </c>
      <c r="B84" s="2" t="s">
        <v>13</v>
      </c>
      <c r="C84" s="1" t="s">
        <v>15</v>
      </c>
      <c r="D84" s="1" t="s">
        <v>15</v>
      </c>
      <c r="E84" s="1" t="s">
        <v>15</v>
      </c>
      <c r="F84" s="1" t="s">
        <v>15</v>
      </c>
      <c r="G84" s="1" t="s">
        <v>15</v>
      </c>
      <c r="H84" s="1">
        <v>17.168500000000002</v>
      </c>
      <c r="I84" s="1">
        <v>1.887</v>
      </c>
      <c r="J84">
        <v>14.881666666666664</v>
      </c>
      <c r="K84" s="3">
        <f t="shared" si="3"/>
        <v>2.2868333333333375</v>
      </c>
      <c r="L84" s="1">
        <v>16.29</v>
      </c>
      <c r="M84" s="3">
        <f t="shared" si="4"/>
        <v>1.408333333333335</v>
      </c>
    </row>
    <row r="85" spans="1:13" x14ac:dyDescent="0.25">
      <c r="A85" s="2" t="s">
        <v>97</v>
      </c>
      <c r="B85" s="2" t="s">
        <v>20</v>
      </c>
      <c r="C85" s="1">
        <v>1.21976E-4</v>
      </c>
      <c r="D85" s="1">
        <v>7.6177000000000001</v>
      </c>
      <c r="E85" s="1">
        <v>72.489999999999995</v>
      </c>
      <c r="F85" s="1">
        <v>0.88</v>
      </c>
      <c r="G85" s="1">
        <v>18.53473412</v>
      </c>
      <c r="H85" s="1">
        <v>18.312000000000001</v>
      </c>
      <c r="I85" s="1">
        <v>1.9219999999999999</v>
      </c>
      <c r="J85">
        <v>14.233333333333331</v>
      </c>
      <c r="K85" s="3">
        <f t="shared" si="3"/>
        <v>4.0786666666666704</v>
      </c>
      <c r="L85" s="1">
        <v>16.29</v>
      </c>
      <c r="M85" s="3">
        <f t="shared" si="4"/>
        <v>2.0566666666666684</v>
      </c>
    </row>
    <row r="86" spans="1:13" x14ac:dyDescent="0.25">
      <c r="A86" s="2" t="s">
        <v>98</v>
      </c>
      <c r="B86" s="2" t="s">
        <v>28</v>
      </c>
      <c r="C86" s="1">
        <v>9.5421700000000004E-4</v>
      </c>
      <c r="D86" s="1">
        <v>249.23419999999999</v>
      </c>
      <c r="E86" s="1">
        <v>96.68</v>
      </c>
      <c r="F86" s="1">
        <v>9.2200000000000006</v>
      </c>
      <c r="G86" s="1">
        <v>16.753660400000001</v>
      </c>
      <c r="H86" s="1">
        <v>23.116</v>
      </c>
      <c r="I86" s="1">
        <v>2.2235</v>
      </c>
      <c r="J86">
        <v>14.233333333333331</v>
      </c>
      <c r="K86" s="3">
        <f t="shared" si="3"/>
        <v>8.8826666666666689</v>
      </c>
      <c r="L86" s="1">
        <v>16.29</v>
      </c>
      <c r="M86" s="3">
        <f t="shared" si="4"/>
        <v>2.0566666666666684</v>
      </c>
    </row>
    <row r="87" spans="1:13" x14ac:dyDescent="0.25">
      <c r="A87" s="2" t="s">
        <v>99</v>
      </c>
      <c r="B87" s="2" t="s">
        <v>13</v>
      </c>
      <c r="C87" s="1">
        <v>5.4833300000000002E-4</v>
      </c>
      <c r="D87" s="1">
        <v>24.39</v>
      </c>
      <c r="E87" s="1">
        <v>82.12</v>
      </c>
      <c r="F87" s="1">
        <v>4.5</v>
      </c>
      <c r="G87" s="1">
        <v>20.081009479999999</v>
      </c>
      <c r="H87" s="1">
        <v>17.729500000000002</v>
      </c>
      <c r="I87" s="1">
        <v>1.9430000000000001</v>
      </c>
      <c r="J87">
        <v>15.336666666666666</v>
      </c>
      <c r="K87" s="3">
        <f t="shared" si="3"/>
        <v>2.3928333333333356</v>
      </c>
      <c r="L87" s="1">
        <v>16.29</v>
      </c>
      <c r="M87" s="3">
        <f t="shared" si="4"/>
        <v>0.95333333333333314</v>
      </c>
    </row>
    <row r="88" spans="1:13" x14ac:dyDescent="0.25">
      <c r="A88" s="2" t="s">
        <v>100</v>
      </c>
      <c r="B88" s="2" t="s">
        <v>20</v>
      </c>
      <c r="C88" s="1">
        <v>3.2299999999999999E-5</v>
      </c>
      <c r="D88" s="1">
        <v>9.5500000000000007</v>
      </c>
      <c r="E88" s="1">
        <v>83</v>
      </c>
      <c r="F88" s="1">
        <v>0.27</v>
      </c>
      <c r="G88" s="1">
        <v>9.8251093610000009</v>
      </c>
      <c r="H88" s="1">
        <v>17.349499999999999</v>
      </c>
      <c r="I88" s="1">
        <v>2.0619999999999998</v>
      </c>
      <c r="J88">
        <v>15.445</v>
      </c>
      <c r="K88" s="3">
        <f t="shared" si="3"/>
        <v>1.9044999999999987</v>
      </c>
      <c r="L88" s="1">
        <v>16.29</v>
      </c>
      <c r="M88" s="3">
        <f t="shared" si="4"/>
        <v>0.84499999999999886</v>
      </c>
    </row>
    <row r="89" spans="1:13" x14ac:dyDescent="0.25">
      <c r="A89" s="2" t="s">
        <v>101</v>
      </c>
      <c r="B89" s="2" t="s">
        <v>41</v>
      </c>
      <c r="C89" s="1">
        <v>1.9527170000000001E-3</v>
      </c>
      <c r="D89" s="1">
        <v>443.28</v>
      </c>
      <c r="E89" s="1">
        <v>63.82</v>
      </c>
      <c r="F89" s="1">
        <v>12.45</v>
      </c>
      <c r="G89" s="1">
        <v>22.762818729999999</v>
      </c>
      <c r="H89" s="1">
        <v>22.1325</v>
      </c>
      <c r="I89" s="1">
        <v>2.4</v>
      </c>
      <c r="J89">
        <v>15.445</v>
      </c>
      <c r="K89" s="3">
        <f t="shared" si="3"/>
        <v>6.6875</v>
      </c>
      <c r="L89" s="1">
        <v>16.29</v>
      </c>
      <c r="M89" s="3">
        <f t="shared" si="4"/>
        <v>0.84499999999999886</v>
      </c>
    </row>
    <row r="90" spans="1:13" x14ac:dyDescent="0.25">
      <c r="A90" s="2" t="s">
        <v>102</v>
      </c>
      <c r="B90" s="2" t="s">
        <v>28</v>
      </c>
      <c r="C90" s="1">
        <v>1.035806E-3</v>
      </c>
      <c r="D90" s="1">
        <v>117.6615</v>
      </c>
      <c r="E90" s="1">
        <v>26.13</v>
      </c>
      <c r="F90" s="1">
        <v>2.7</v>
      </c>
      <c r="G90" s="1">
        <v>15.887997609999999</v>
      </c>
      <c r="H90" s="1">
        <v>21.259</v>
      </c>
      <c r="I90" s="1">
        <v>2.1465000000000001</v>
      </c>
      <c r="J90">
        <v>15.445</v>
      </c>
      <c r="K90" s="3">
        <f t="shared" si="3"/>
        <v>5.8140000000000001</v>
      </c>
      <c r="L90" s="1">
        <v>16.29</v>
      </c>
      <c r="M90" s="3">
        <f t="shared" si="4"/>
        <v>0.84499999999999886</v>
      </c>
    </row>
    <row r="91" spans="1:13" x14ac:dyDescent="0.25">
      <c r="A91" s="2" t="s">
        <v>103</v>
      </c>
      <c r="B91" s="2" t="s">
        <v>28</v>
      </c>
      <c r="C91" s="1">
        <v>9.3404899999999995E-4</v>
      </c>
      <c r="D91" s="1">
        <v>146.44</v>
      </c>
      <c r="E91" s="1">
        <v>84.68</v>
      </c>
      <c r="F91" s="1">
        <v>7.9</v>
      </c>
      <c r="G91" s="1">
        <v>13.854529919999999</v>
      </c>
      <c r="H91" s="1">
        <v>21.38</v>
      </c>
      <c r="I91" s="1">
        <v>2.1735000000000002</v>
      </c>
      <c r="J91">
        <v>15.445</v>
      </c>
      <c r="K91" s="3">
        <f t="shared" si="3"/>
        <v>5.9349999999999987</v>
      </c>
      <c r="L91" s="1">
        <v>16.29</v>
      </c>
      <c r="M91" s="3">
        <f t="shared" si="4"/>
        <v>0.84499999999999886</v>
      </c>
    </row>
    <row r="92" spans="1:13" x14ac:dyDescent="0.25">
      <c r="A92" s="2" t="s">
        <v>104</v>
      </c>
      <c r="B92" s="2" t="s">
        <v>13</v>
      </c>
      <c r="C92" s="1">
        <v>1.4602529999999999E-3</v>
      </c>
      <c r="D92" s="1">
        <v>212.17</v>
      </c>
      <c r="E92" s="1">
        <v>83.87</v>
      </c>
      <c r="F92" s="1">
        <v>12.24</v>
      </c>
      <c r="G92" s="1">
        <v>22.90932098</v>
      </c>
      <c r="H92" s="1">
        <v>17.558</v>
      </c>
      <c r="I92" s="1">
        <v>1.841</v>
      </c>
      <c r="J92">
        <v>15.445</v>
      </c>
      <c r="K92" s="3">
        <f t="shared" si="3"/>
        <v>2.1129999999999995</v>
      </c>
      <c r="L92" s="1">
        <v>16.29</v>
      </c>
      <c r="M92" s="3">
        <f t="shared" si="4"/>
        <v>0.84499999999999886</v>
      </c>
    </row>
    <row r="93" spans="1:13" x14ac:dyDescent="0.25">
      <c r="A93" s="2" t="s">
        <v>105</v>
      </c>
      <c r="B93" s="2" t="s">
        <v>28</v>
      </c>
      <c r="C93" s="1">
        <v>1.778155E-3</v>
      </c>
      <c r="D93" s="1">
        <v>178.9863</v>
      </c>
      <c r="E93" s="1">
        <v>64.650000000000006</v>
      </c>
      <c r="F93" s="1">
        <v>11.49</v>
      </c>
      <c r="G93" s="1">
        <v>19.458463569999999</v>
      </c>
      <c r="H93" s="1">
        <v>21.423500000000001</v>
      </c>
      <c r="I93" s="1">
        <v>2.2145000000000001</v>
      </c>
      <c r="J93">
        <v>15.445</v>
      </c>
      <c r="K93" s="3">
        <f t="shared" si="3"/>
        <v>5.9785000000000004</v>
      </c>
      <c r="L93" s="1">
        <v>16.29</v>
      </c>
      <c r="M93" s="3">
        <f t="shared" si="4"/>
        <v>0.84499999999999886</v>
      </c>
    </row>
    <row r="94" spans="1:13" x14ac:dyDescent="0.25">
      <c r="A94" s="2" t="s">
        <v>106</v>
      </c>
      <c r="B94" s="2" t="s">
        <v>8</v>
      </c>
      <c r="C94" s="1">
        <v>8.50244E-4</v>
      </c>
      <c r="D94" s="1">
        <v>47.6</v>
      </c>
      <c r="E94" s="1">
        <v>31.48</v>
      </c>
      <c r="F94" s="1">
        <v>2.67</v>
      </c>
      <c r="G94" s="1">
        <v>17.610036040000001</v>
      </c>
      <c r="H94" s="1">
        <v>22.026499999999999</v>
      </c>
      <c r="I94" s="1">
        <v>2.1429999999999998</v>
      </c>
      <c r="J94">
        <v>15.445</v>
      </c>
      <c r="K94" s="3">
        <f t="shared" si="3"/>
        <v>6.5814999999999984</v>
      </c>
      <c r="L94" s="1">
        <v>16.29</v>
      </c>
      <c r="M94" s="3">
        <f t="shared" si="4"/>
        <v>0.84499999999999886</v>
      </c>
    </row>
  </sheetData>
  <sortState xmlns:xlrd2="http://schemas.microsoft.com/office/spreadsheetml/2017/richdata2" ref="A2:I94">
    <sortCondition ref="A2:A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2025-11-24T14:17:30Z</dcterms:modified>
</cp:coreProperties>
</file>