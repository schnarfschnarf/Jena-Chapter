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h55hipa\Downloads\"/>
    </mc:Choice>
  </mc:AlternateContent>
  <xr:revisionPtr revIDLastSave="0" documentId="13_ncr:1_{458EC06D-B638-40E3-A031-7AB2B1AE9E5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egend" sheetId="9" r:id="rId1"/>
    <sheet name="Koordinaten große Plots" sheetId="1" r:id="rId2"/>
    <sheet name="Koordinaten kleine Plots" sheetId="2" r:id="rId3"/>
    <sheet name="PresenceAbsence große Plots" sheetId="3" r:id="rId4"/>
    <sheet name="PresenceAbsence kleine Plots" sheetId="7" r:id="rId5"/>
    <sheet name="Plotinformation große Plots" sheetId="6" r:id="rId6"/>
    <sheet name="Plotinformation kleine Plots" sheetId="5" r:id="rId7"/>
  </sheets>
  <definedNames>
    <definedName name="_xlnm._FilterDatabase" localSheetId="6" hidden="1">'Plotinformation kleine Plots'!$A$1:$R$406</definedName>
    <definedName name="_xlnm._FilterDatabase" localSheetId="4" hidden="1">'PresenceAbsence kleine Plots'!#REF!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2" i="5"/>
  <c r="J3" i="5"/>
  <c r="J4" i="5"/>
  <c r="J5" i="5"/>
  <c r="J6" i="5"/>
  <c r="J8" i="5"/>
  <c r="J10" i="5"/>
  <c r="J11" i="5"/>
  <c r="J14" i="5"/>
  <c r="J16" i="5"/>
  <c r="J17" i="5"/>
  <c r="J19" i="5"/>
  <c r="J21" i="5"/>
  <c r="J22" i="5"/>
  <c r="J25" i="5"/>
  <c r="J26" i="5"/>
  <c r="J30" i="5"/>
  <c r="J31" i="5"/>
  <c r="J32" i="5"/>
  <c r="J33" i="5"/>
  <c r="J35" i="5"/>
  <c r="J37" i="5"/>
  <c r="J38" i="5"/>
  <c r="J41" i="5"/>
  <c r="J45" i="5"/>
  <c r="J46" i="5"/>
  <c r="J49" i="5"/>
  <c r="J50" i="5"/>
  <c r="J51" i="5"/>
  <c r="J52" i="5"/>
  <c r="J53" i="5"/>
  <c r="J54" i="5"/>
  <c r="J57" i="5"/>
  <c r="J58" i="5"/>
  <c r="J60" i="5"/>
  <c r="J61" i="5"/>
  <c r="J63" i="5"/>
  <c r="J64" i="5"/>
  <c r="J65" i="5"/>
  <c r="J70" i="5"/>
  <c r="J71" i="5"/>
  <c r="J73" i="5"/>
  <c r="J74" i="5"/>
  <c r="J75" i="5"/>
  <c r="J76" i="5"/>
  <c r="J77" i="5"/>
  <c r="J78" i="5"/>
  <c r="J79" i="5"/>
  <c r="J81" i="5"/>
  <c r="J82" i="5"/>
  <c r="J83" i="5"/>
  <c r="J84" i="5"/>
  <c r="J86" i="5"/>
  <c r="J88" i="5"/>
  <c r="J89" i="5"/>
  <c r="J94" i="5"/>
  <c r="J97" i="5"/>
  <c r="J98" i="5"/>
  <c r="J99" i="5"/>
  <c r="J100" i="5"/>
  <c r="J101" i="5"/>
  <c r="J102" i="5"/>
  <c r="J105" i="5"/>
  <c r="J106" i="5"/>
  <c r="J107" i="5"/>
  <c r="J108" i="5"/>
  <c r="J109" i="5"/>
  <c r="J110" i="5"/>
  <c r="J114" i="5"/>
  <c r="J117" i="5"/>
  <c r="J118" i="5"/>
  <c r="J119" i="5"/>
  <c r="J121" i="5"/>
  <c r="J123" i="5"/>
  <c r="J124" i="5"/>
  <c r="J125" i="5"/>
  <c r="J129" i="5"/>
  <c r="J131" i="5"/>
  <c r="J133" i="5"/>
  <c r="J134" i="5"/>
  <c r="J136" i="5"/>
  <c r="J137" i="5"/>
  <c r="J140" i="5"/>
  <c r="J141" i="5"/>
  <c r="J142" i="5"/>
  <c r="J144" i="5"/>
  <c r="J147" i="5"/>
  <c r="J148" i="5"/>
  <c r="J149" i="5"/>
  <c r="J150" i="5"/>
  <c r="J155" i="5"/>
  <c r="J158" i="5"/>
  <c r="J159" i="5"/>
  <c r="J160" i="5"/>
  <c r="J161" i="5"/>
  <c r="J162" i="5"/>
  <c r="J163" i="5"/>
  <c r="J165" i="5"/>
  <c r="J166" i="5"/>
  <c r="J167" i="5"/>
  <c r="J168" i="5"/>
  <c r="J169" i="5"/>
  <c r="J171" i="5"/>
  <c r="J174" i="5"/>
  <c r="J175" i="5"/>
  <c r="J177" i="5"/>
  <c r="J179" i="5"/>
  <c r="J180" i="5"/>
  <c r="J181" i="5"/>
  <c r="J182" i="5"/>
  <c r="J189" i="5"/>
  <c r="J190" i="5"/>
  <c r="J192" i="5"/>
  <c r="J195" i="5"/>
  <c r="J198" i="5"/>
  <c r="J200" i="5"/>
  <c r="J201" i="5"/>
  <c r="J202" i="5"/>
  <c r="J203" i="5"/>
  <c r="J204" i="5"/>
  <c r="J205" i="5"/>
  <c r="J206" i="5"/>
  <c r="J209" i="5"/>
  <c r="J210" i="5"/>
  <c r="J211" i="5"/>
  <c r="J212" i="5"/>
  <c r="J216" i="5"/>
  <c r="J217" i="5"/>
  <c r="J218" i="5"/>
  <c r="J221" i="5"/>
  <c r="J222" i="5"/>
  <c r="J224" i="5"/>
  <c r="J225" i="5"/>
  <c r="J229" i="5"/>
  <c r="J230" i="5"/>
  <c r="J231" i="5"/>
  <c r="J232" i="5"/>
  <c r="J233" i="5"/>
  <c r="J234" i="5"/>
  <c r="J236" i="5"/>
  <c r="J238" i="5"/>
  <c r="J239" i="5"/>
  <c r="J242" i="5"/>
  <c r="J243" i="5"/>
  <c r="J244" i="5"/>
  <c r="J245" i="5"/>
  <c r="J246" i="5"/>
  <c r="J248" i="5"/>
  <c r="J251" i="5"/>
  <c r="J252" i="5"/>
  <c r="J254" i="5"/>
  <c r="J256" i="5"/>
  <c r="J259" i="5"/>
  <c r="J262" i="5"/>
  <c r="J264" i="5"/>
  <c r="J265" i="5"/>
  <c r="J269" i="5"/>
  <c r="J271" i="5"/>
  <c r="J273" i="5"/>
  <c r="J274" i="5"/>
  <c r="J276" i="5"/>
  <c r="J277" i="5"/>
  <c r="J278" i="5"/>
  <c r="J280" i="5"/>
  <c r="J282" i="5"/>
  <c r="J283" i="5"/>
  <c r="J284" i="5"/>
  <c r="J286" i="5"/>
  <c r="J288" i="5"/>
  <c r="J291" i="5"/>
  <c r="J295" i="5"/>
  <c r="J296" i="5"/>
  <c r="J297" i="5"/>
  <c r="J298" i="5"/>
  <c r="J299" i="5"/>
  <c r="J300" i="5"/>
  <c r="J302" i="5"/>
  <c r="J303" i="5"/>
  <c r="J304" i="5"/>
  <c r="J305" i="5"/>
  <c r="J306" i="5"/>
  <c r="J307" i="5"/>
  <c r="J308" i="5"/>
  <c r="J309" i="5"/>
  <c r="J315" i="5"/>
  <c r="J316" i="5"/>
  <c r="J317" i="5"/>
  <c r="J318" i="5"/>
  <c r="J320" i="5"/>
  <c r="J321" i="5"/>
  <c r="J322" i="5"/>
  <c r="J328" i="5"/>
  <c r="J329" i="5"/>
  <c r="J330" i="5"/>
  <c r="J331" i="5"/>
  <c r="J332" i="5"/>
  <c r="J333" i="5"/>
  <c r="J334" i="5"/>
  <c r="J335" i="5"/>
  <c r="J336" i="5"/>
  <c r="J342" i="5"/>
  <c r="J343" i="5"/>
  <c r="J346" i="5"/>
  <c r="J347" i="5"/>
  <c r="J348" i="5"/>
  <c r="J350" i="5"/>
  <c r="J351" i="5"/>
  <c r="J352" i="5"/>
  <c r="J355" i="5"/>
  <c r="J361" i="5"/>
  <c r="J362" i="5"/>
  <c r="J363" i="5"/>
  <c r="J364" i="5"/>
  <c r="J365" i="5"/>
  <c r="J366" i="5"/>
  <c r="J368" i="5"/>
  <c r="J369" i="5"/>
  <c r="J370" i="5"/>
  <c r="J376" i="5"/>
  <c r="J377" i="5"/>
  <c r="J379" i="5"/>
  <c r="J380" i="5"/>
  <c r="J382" i="5"/>
  <c r="J383" i="5"/>
  <c r="J385" i="5"/>
  <c r="J386" i="5"/>
  <c r="J388" i="5"/>
  <c r="J390" i="5"/>
  <c r="J391" i="5"/>
  <c r="J392" i="5"/>
  <c r="J393" i="5"/>
  <c r="J394" i="5"/>
  <c r="J395" i="5"/>
  <c r="J396" i="5"/>
  <c r="J397" i="5"/>
  <c r="J398" i="5"/>
  <c r="J399" i="5"/>
  <c r="J400" i="5"/>
  <c r="J402" i="5"/>
  <c r="J403" i="5"/>
  <c r="J404" i="5"/>
  <c r="J405" i="5"/>
  <c r="J406" i="5"/>
  <c r="J2" i="5"/>
</calcChain>
</file>

<file path=xl/sharedStrings.xml><?xml version="1.0" encoding="utf-8"?>
<sst xmlns="http://schemas.openxmlformats.org/spreadsheetml/2006/main" count="2825" uniqueCount="864">
  <si>
    <t>NO</t>
  </si>
  <si>
    <t>SO</t>
  </si>
  <si>
    <t>SW</t>
  </si>
  <si>
    <t>NW</t>
  </si>
  <si>
    <t>Mitte</t>
  </si>
  <si>
    <t>R</t>
  </si>
  <si>
    <t>H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</si>
  <si>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</si>
  <si>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</si>
  <si>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</si>
  <si>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</si>
  <si>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</si>
  <si>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</si>
  <si>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</si>
  <si>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</si>
  <si>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</si>
  <si>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</si>
  <si>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</si>
  <si>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</si>
  <si>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</si>
  <si>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</si>
  <si>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</si>
  <si>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</si>
  <si>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</si>
  <si>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</si>
  <si>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</si>
  <si>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</si>
  <si>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</si>
  <si>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</si>
  <si>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</si>
  <si>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</si>
  <si>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</si>
  <si>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</si>
  <si>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</si>
  <si>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</si>
  <si>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</si>
  <si>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</si>
  <si>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</si>
  <si>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</si>
  <si>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B2A11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</si>
  <si>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</si>
  <si>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</si>
  <si>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</si>
  <si>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</si>
  <si>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</si>
  <si>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</si>
  <si>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</si>
  <si>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</si>
  <si>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</si>
  <si>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</si>
  <si>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</si>
  <si>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B2A23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</si>
  <si>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</si>
  <si>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</si>
  <si>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</si>
  <si>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</si>
  <si>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</si>
  <si>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</si>
  <si>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</si>
  <si>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</si>
  <si>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</si>
  <si>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</si>
  <si>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</si>
  <si>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</si>
  <si>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</si>
  <si>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</si>
  <si>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B3A15</t>
  </si>
  <si>
    <t>B3A16</t>
  </si>
  <si>
    <t>B3A17</t>
  </si>
  <si>
    <t>B3A18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</si>
  <si>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</si>
  <si>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</si>
  <si>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</si>
  <si>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</si>
  <si>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</si>
  <si>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</si>
  <si>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</si>
  <si>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</si>
  <si>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</si>
  <si>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</si>
  <si>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</si>
  <si>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</si>
  <si>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</si>
  <si>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</si>
  <si>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</si>
  <si>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</si>
  <si>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</si>
  <si>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</si>
  <si>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</si>
  <si>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</si>
  <si>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</si>
  <si>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</si>
  <si>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</si>
  <si>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</si>
  <si>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B4A19</t>
  </si>
  <si>
    <t>B4A20</t>
  </si>
  <si>
    <t>B4A21</t>
  </si>
  <si>
    <t>B4A22</t>
  </si>
  <si>
    <t>B4A23</t>
  </si>
  <si>
    <t>B1B001</t>
  </si>
  <si>
    <t>B1B002</t>
  </si>
  <si>
    <t>B1B003</t>
  </si>
  <si>
    <t>B1B004</t>
  </si>
  <si>
    <t>B1B005</t>
  </si>
  <si>
    <t>B1B006</t>
  </si>
  <si>
    <t>B1B007</t>
  </si>
  <si>
    <t>B1B008</t>
  </si>
  <si>
    <t>B1B009</t>
  </si>
  <si>
    <t>B1B010</t>
  </si>
  <si>
    <t>B1B011</t>
  </si>
  <si>
    <t>B1B012</t>
  </si>
  <si>
    <t>B1B013</t>
  </si>
  <si>
    <t>B1B014</t>
  </si>
  <si>
    <t>B1B015</t>
  </si>
  <si>
    <t>B1B016</t>
  </si>
  <si>
    <t>B1B017</t>
  </si>
  <si>
    <t>B1B018</t>
  </si>
  <si>
    <t>B1B019</t>
  </si>
  <si>
    <t>B1B020</t>
  </si>
  <si>
    <t>B1B021</t>
  </si>
  <si>
    <t>B1B022</t>
  </si>
  <si>
    <t>B1B023</t>
  </si>
  <si>
    <t>B1B024</t>
  </si>
  <si>
    <t>B1B025</t>
  </si>
  <si>
    <t>B1B026</t>
  </si>
  <si>
    <t>B1B027</t>
  </si>
  <si>
    <t>B1B028</t>
  </si>
  <si>
    <t>B1B029</t>
  </si>
  <si>
    <t>B1B030</t>
  </si>
  <si>
    <t>B1B031</t>
  </si>
  <si>
    <t>B1B032</t>
  </si>
  <si>
    <t>B1B033</t>
  </si>
  <si>
    <t>B1B034</t>
  </si>
  <si>
    <t>B1B035</t>
  </si>
  <si>
    <t>B1B036</t>
  </si>
  <si>
    <t>B1B037</t>
  </si>
  <si>
    <t>B1B038</t>
  </si>
  <si>
    <t>B1B039</t>
  </si>
  <si>
    <t>B1B040</t>
  </si>
  <si>
    <t>B1B041</t>
  </si>
  <si>
    <t>B1B042</t>
  </si>
  <si>
    <t>B1B043</t>
  </si>
  <si>
    <t>B1B044</t>
  </si>
  <si>
    <t>B1B045</t>
  </si>
  <si>
    <t>B1B046</t>
  </si>
  <si>
    <t>B1B047</t>
  </si>
  <si>
    <t>B1B048</t>
  </si>
  <si>
    <t>B1B049</t>
  </si>
  <si>
    <t>B1B050</t>
  </si>
  <si>
    <t>B1B051</t>
  </si>
  <si>
    <t>B1B052</t>
  </si>
  <si>
    <t>B1B053</t>
  </si>
  <si>
    <t>B1B054</t>
  </si>
  <si>
    <t>B1B055</t>
  </si>
  <si>
    <t>B1B056</t>
  </si>
  <si>
    <t>B1B057</t>
  </si>
  <si>
    <t>B1B058</t>
  </si>
  <si>
    <t>B1B059</t>
  </si>
  <si>
    <t>B1B060</t>
  </si>
  <si>
    <t>B1B061</t>
  </si>
  <si>
    <t>B1B062</t>
  </si>
  <si>
    <t>B1B063</t>
  </si>
  <si>
    <t>B1B064</t>
  </si>
  <si>
    <t>B1B065</t>
  </si>
  <si>
    <t>B1B066</t>
  </si>
  <si>
    <t>B1B067</t>
  </si>
  <si>
    <t>B1B068</t>
  </si>
  <si>
    <t>B1B069</t>
  </si>
  <si>
    <t>B1B070</t>
  </si>
  <si>
    <t>B1B071</t>
  </si>
  <si>
    <t>B1B072</t>
  </si>
  <si>
    <t>B1B073</t>
  </si>
  <si>
    <t>B1B074</t>
  </si>
  <si>
    <t>B1B075</t>
  </si>
  <si>
    <t>B1B076</t>
  </si>
  <si>
    <t>B1B077</t>
  </si>
  <si>
    <t>B1B078</t>
  </si>
  <si>
    <t>B1B079</t>
  </si>
  <si>
    <t>B1B080</t>
  </si>
  <si>
    <t>B1B081</t>
  </si>
  <si>
    <t>B1B082</t>
  </si>
  <si>
    <t>B1B083</t>
  </si>
  <si>
    <t>B1B084</t>
  </si>
  <si>
    <t>B1B085</t>
  </si>
  <si>
    <t>B1B086</t>
  </si>
  <si>
    <t>B1B087</t>
  </si>
  <si>
    <t>B1B088</t>
  </si>
  <si>
    <t>B1B089</t>
  </si>
  <si>
    <t>B1B090</t>
  </si>
  <si>
    <t>B1B091</t>
  </si>
  <si>
    <t>B1B092</t>
  </si>
  <si>
    <t>B1B093</t>
  </si>
  <si>
    <t>B1B094</t>
  </si>
  <si>
    <t>B1B095</t>
  </si>
  <si>
    <t>B1B096</t>
  </si>
  <si>
    <t>B1B097</t>
  </si>
  <si>
    <t>B1B098</t>
  </si>
  <si>
    <t>B1B099</t>
  </si>
  <si>
    <t>B1B100</t>
  </si>
  <si>
    <t>B1B101</t>
  </si>
  <si>
    <t>B1B102</t>
  </si>
  <si>
    <t>B2B001</t>
  </si>
  <si>
    <t>B2B002</t>
  </si>
  <si>
    <t>B2B003</t>
  </si>
  <si>
    <t>B2B004</t>
  </si>
  <si>
    <t>B2B005</t>
  </si>
  <si>
    <t>B2B006</t>
  </si>
  <si>
    <t>B2B007</t>
  </si>
  <si>
    <t>B2B008</t>
  </si>
  <si>
    <t>B2B009</t>
  </si>
  <si>
    <t>B2B010</t>
  </si>
  <si>
    <t>B2B011</t>
  </si>
  <si>
    <t>B2B012</t>
  </si>
  <si>
    <t>B2B013</t>
  </si>
  <si>
    <t>B2B014</t>
  </si>
  <si>
    <t>B2B015</t>
  </si>
  <si>
    <t>B2B016</t>
  </si>
  <si>
    <t>B2B017</t>
  </si>
  <si>
    <t>B2B018</t>
  </si>
  <si>
    <t>B2B019</t>
  </si>
  <si>
    <t>B2B020</t>
  </si>
  <si>
    <t>B2B021</t>
  </si>
  <si>
    <t>B2B022</t>
  </si>
  <si>
    <t>B2B023</t>
  </si>
  <si>
    <t>B2B024</t>
  </si>
  <si>
    <t>B2B025</t>
  </si>
  <si>
    <t>B2B026</t>
  </si>
  <si>
    <t>B2B027</t>
  </si>
  <si>
    <t>B2B028</t>
  </si>
  <si>
    <t>B2B029</t>
  </si>
  <si>
    <t>B2B030</t>
  </si>
  <si>
    <t>B2B031</t>
  </si>
  <si>
    <t>B2B032</t>
  </si>
  <si>
    <t>B2B033</t>
  </si>
  <si>
    <t>B2B034</t>
  </si>
  <si>
    <t>B2B035</t>
  </si>
  <si>
    <t>B2B036</t>
  </si>
  <si>
    <t>B2B037</t>
  </si>
  <si>
    <t>B2B038</t>
  </si>
  <si>
    <t>B2B039</t>
  </si>
  <si>
    <t>B2B040</t>
  </si>
  <si>
    <t>B2B041</t>
  </si>
  <si>
    <t>B2B042</t>
  </si>
  <si>
    <t>B2B043</t>
  </si>
  <si>
    <t>B2B044</t>
  </si>
  <si>
    <t>B2B045</t>
  </si>
  <si>
    <t>B2B046</t>
  </si>
  <si>
    <t>B2B047</t>
  </si>
  <si>
    <t>B2B048</t>
  </si>
  <si>
    <t>B2B049</t>
  </si>
  <si>
    <t>B2B050</t>
  </si>
  <si>
    <t>B2B051</t>
  </si>
  <si>
    <t>B2B052</t>
  </si>
  <si>
    <t>B2B053</t>
  </si>
  <si>
    <t>B2B054</t>
  </si>
  <si>
    <t>B2B055</t>
  </si>
  <si>
    <t>B2B056</t>
  </si>
  <si>
    <t>B2B057</t>
  </si>
  <si>
    <t>B2B058</t>
  </si>
  <si>
    <t>B2B059</t>
  </si>
  <si>
    <t>B2B060</t>
  </si>
  <si>
    <t>B2B061</t>
  </si>
  <si>
    <t>B2B062</t>
  </si>
  <si>
    <t>B2B063</t>
  </si>
  <si>
    <t>B2B064</t>
  </si>
  <si>
    <t>B2B065</t>
  </si>
  <si>
    <t>B2B066</t>
  </si>
  <si>
    <t>B2B067</t>
  </si>
  <si>
    <t>B2B068</t>
  </si>
  <si>
    <t>B2B069</t>
  </si>
  <si>
    <t>B2B070</t>
  </si>
  <si>
    <t>B2B071</t>
  </si>
  <si>
    <t>B2B072</t>
  </si>
  <si>
    <t>B2B073</t>
  </si>
  <si>
    <t>B2B074</t>
  </si>
  <si>
    <t>B2B075</t>
  </si>
  <si>
    <t>B2B076</t>
  </si>
  <si>
    <t>B2B077</t>
  </si>
  <si>
    <t>B2B078</t>
  </si>
  <si>
    <t>B2B079</t>
  </si>
  <si>
    <t>B2B080</t>
  </si>
  <si>
    <t>B2B081</t>
  </si>
  <si>
    <t>B2B082</t>
  </si>
  <si>
    <t>B2B083</t>
  </si>
  <si>
    <t>B2B084</t>
  </si>
  <si>
    <t>B2B085</t>
  </si>
  <si>
    <t>B2B086</t>
  </si>
  <si>
    <t>B2B087</t>
  </si>
  <si>
    <t>B2B088</t>
  </si>
  <si>
    <t>B2B089</t>
  </si>
  <si>
    <t>B2B090</t>
  </si>
  <si>
    <t>B2B091</t>
  </si>
  <si>
    <t>B2B092</t>
  </si>
  <si>
    <t>B2B093</t>
  </si>
  <si>
    <t>B2B094</t>
  </si>
  <si>
    <t>B2B095</t>
  </si>
  <si>
    <t>B2B096</t>
  </si>
  <si>
    <t>B2B097</t>
  </si>
  <si>
    <t>B2B098</t>
  </si>
  <si>
    <t>B2B099</t>
  </si>
  <si>
    <t>B2B100</t>
  </si>
  <si>
    <t>B2B101</t>
  </si>
  <si>
    <t>B3B001</t>
  </si>
  <si>
    <t>B3B002</t>
  </si>
  <si>
    <t>B3B003</t>
  </si>
  <si>
    <t>B3B004</t>
  </si>
  <si>
    <t>B3B005</t>
  </si>
  <si>
    <t>B3B006</t>
  </si>
  <si>
    <t>B3B007</t>
  </si>
  <si>
    <t>B3B008</t>
  </si>
  <si>
    <t>B3B009</t>
  </si>
  <si>
    <t>B3B010</t>
  </si>
  <si>
    <t>B3B011</t>
  </si>
  <si>
    <t>B3B012</t>
  </si>
  <si>
    <t>B3B013</t>
  </si>
  <si>
    <t>B3B014</t>
  </si>
  <si>
    <t>B3B015</t>
  </si>
  <si>
    <t>B3B016</t>
  </si>
  <si>
    <t>B3B017</t>
  </si>
  <si>
    <t>B3B018</t>
  </si>
  <si>
    <t>B3B019</t>
  </si>
  <si>
    <t>B3B020</t>
  </si>
  <si>
    <t>B3B021</t>
  </si>
  <si>
    <t>B3B022</t>
  </si>
  <si>
    <t>B3B023</t>
  </si>
  <si>
    <t>B3B024</t>
  </si>
  <si>
    <t>B3B025</t>
  </si>
  <si>
    <t>B3B026</t>
  </si>
  <si>
    <t>B3B027</t>
  </si>
  <si>
    <t>B3B028</t>
  </si>
  <si>
    <t>B3B029</t>
  </si>
  <si>
    <t>B3B030</t>
  </si>
  <si>
    <t>B3B031</t>
  </si>
  <si>
    <t>B3B032</t>
  </si>
  <si>
    <t>B3B033</t>
  </si>
  <si>
    <t>B3B034</t>
  </si>
  <si>
    <t>B3B035</t>
  </si>
  <si>
    <t>B3B036</t>
  </si>
  <si>
    <t>B3B037</t>
  </si>
  <si>
    <t>B3B038</t>
  </si>
  <si>
    <t>B3B039</t>
  </si>
  <si>
    <t>B3B040</t>
  </si>
  <si>
    <t>B3B041</t>
  </si>
  <si>
    <t>B3B042</t>
  </si>
  <si>
    <t>B3B043</t>
  </si>
  <si>
    <t>B3B044</t>
  </si>
  <si>
    <t>B3B045</t>
  </si>
  <si>
    <t>B3B046</t>
  </si>
  <si>
    <t>B3B047</t>
  </si>
  <si>
    <t>B3B048</t>
  </si>
  <si>
    <t>B3B049</t>
  </si>
  <si>
    <t>B3B050</t>
  </si>
  <si>
    <t>B3B051</t>
  </si>
  <si>
    <t>B3B052</t>
  </si>
  <si>
    <t>B3B053</t>
  </si>
  <si>
    <t>B3B054</t>
  </si>
  <si>
    <t>B3B055</t>
  </si>
  <si>
    <t>B3B056</t>
  </si>
  <si>
    <t>B3B057</t>
  </si>
  <si>
    <t>B3B058</t>
  </si>
  <si>
    <t>B3B059</t>
  </si>
  <si>
    <t>B3B060</t>
  </si>
  <si>
    <t>B3B061</t>
  </si>
  <si>
    <t>B3B062</t>
  </si>
  <si>
    <t>B3B063</t>
  </si>
  <si>
    <t>B3B064</t>
  </si>
  <si>
    <t>B3B065</t>
  </si>
  <si>
    <t>B3B066</t>
  </si>
  <si>
    <t>B3B067</t>
  </si>
  <si>
    <t>B3B068</t>
  </si>
  <si>
    <t>B3B069</t>
  </si>
  <si>
    <t>B3B070</t>
  </si>
  <si>
    <t>B3B071</t>
  </si>
  <si>
    <t>B3B072</t>
  </si>
  <si>
    <t>B3B073</t>
  </si>
  <si>
    <t>B3B074</t>
  </si>
  <si>
    <t>B3B075</t>
  </si>
  <si>
    <t>B3B076</t>
  </si>
  <si>
    <t>B3B077</t>
  </si>
  <si>
    <t>B3B078</t>
  </si>
  <si>
    <t>B3B079</t>
  </si>
  <si>
    <t>B3B080</t>
  </si>
  <si>
    <t>B3B081</t>
  </si>
  <si>
    <t>B3B082</t>
  </si>
  <si>
    <t>B3B083</t>
  </si>
  <si>
    <t>B3B084</t>
  </si>
  <si>
    <t>B3B085</t>
  </si>
  <si>
    <t>B3B086</t>
  </si>
  <si>
    <t>B3B087</t>
  </si>
  <si>
    <t>B3B088</t>
  </si>
  <si>
    <t>B3B089</t>
  </si>
  <si>
    <t>B3B090</t>
  </si>
  <si>
    <t>B3B091</t>
  </si>
  <si>
    <t>B3B092</t>
  </si>
  <si>
    <t>B3B093</t>
  </si>
  <si>
    <t>B3B094</t>
  </si>
  <si>
    <t>B3B095</t>
  </si>
  <si>
    <t>B3B096</t>
  </si>
  <si>
    <t>B3B097</t>
  </si>
  <si>
    <t>B3B098</t>
  </si>
  <si>
    <t>B3B099</t>
  </si>
  <si>
    <t>B3B100</t>
  </si>
  <si>
    <t>B3B101</t>
  </si>
  <si>
    <t>B3B102</t>
  </si>
  <si>
    <t>B4B001</t>
  </si>
  <si>
    <t>B4B002</t>
  </si>
  <si>
    <t>B4B003</t>
  </si>
  <si>
    <t>B4B004</t>
  </si>
  <si>
    <t>B4B005</t>
  </si>
  <si>
    <t>B4B006</t>
  </si>
  <si>
    <t>B4B007</t>
  </si>
  <si>
    <t>B4B008</t>
  </si>
  <si>
    <t>B4B009</t>
  </si>
  <si>
    <t>B4B010</t>
  </si>
  <si>
    <t>B4B011</t>
  </si>
  <si>
    <t>B4B012</t>
  </si>
  <si>
    <t>B4B013</t>
  </si>
  <si>
    <t>B4B014</t>
  </si>
  <si>
    <t>B4B015</t>
  </si>
  <si>
    <t>B4B016</t>
  </si>
  <si>
    <t>B4B017</t>
  </si>
  <si>
    <t>B4B018</t>
  </si>
  <si>
    <t>B4B019</t>
  </si>
  <si>
    <t>B4B020</t>
  </si>
  <si>
    <t>B4B021</t>
  </si>
  <si>
    <t>B4B022</t>
  </si>
  <si>
    <t>B4B023</t>
  </si>
  <si>
    <t>B4B024</t>
  </si>
  <si>
    <t>B4B025</t>
  </si>
  <si>
    <t>B4B026</t>
  </si>
  <si>
    <t>B4B027</t>
  </si>
  <si>
    <t>B4B028</t>
  </si>
  <si>
    <t>B4B029</t>
  </si>
  <si>
    <t>B4B030</t>
  </si>
  <si>
    <t>B4B031</t>
  </si>
  <si>
    <t>B4B032</t>
  </si>
  <si>
    <t>B4B033</t>
  </si>
  <si>
    <t>B4B034</t>
  </si>
  <si>
    <t>B4B035</t>
  </si>
  <si>
    <t>B4B036</t>
  </si>
  <si>
    <t>B4B037</t>
  </si>
  <si>
    <t>B4B038</t>
  </si>
  <si>
    <t>B4B039</t>
  </si>
  <si>
    <t>B4B040</t>
  </si>
  <si>
    <t>B4B041</t>
  </si>
  <si>
    <t>B4B042</t>
  </si>
  <si>
    <t>B4B043</t>
  </si>
  <si>
    <t>B4B044</t>
  </si>
  <si>
    <t>B4B045</t>
  </si>
  <si>
    <t>B4B046</t>
  </si>
  <si>
    <t>B4B047</t>
  </si>
  <si>
    <t>B4B048</t>
  </si>
  <si>
    <t>B4B049</t>
  </si>
  <si>
    <t>B4B050</t>
  </si>
  <si>
    <t>B4B051</t>
  </si>
  <si>
    <t>B4B052</t>
  </si>
  <si>
    <t>B4B053</t>
  </si>
  <si>
    <t>B4B054</t>
  </si>
  <si>
    <t>B4B055</t>
  </si>
  <si>
    <t>B4B056</t>
  </si>
  <si>
    <t>B4B057</t>
  </si>
  <si>
    <t>B4B058</t>
  </si>
  <si>
    <t>B4B059</t>
  </si>
  <si>
    <t>B4B060</t>
  </si>
  <si>
    <t>B4B061</t>
  </si>
  <si>
    <t>B4B062</t>
  </si>
  <si>
    <t>B4B063</t>
  </si>
  <si>
    <t>B4B064</t>
  </si>
  <si>
    <t>B4B065</t>
  </si>
  <si>
    <t>B4B066</t>
  </si>
  <si>
    <t>B4B067</t>
  </si>
  <si>
    <t>B4B068</t>
  </si>
  <si>
    <t>B4B069</t>
  </si>
  <si>
    <t>B4B070</t>
  </si>
  <si>
    <t>B4B071</t>
  </si>
  <si>
    <t>B4B072</t>
  </si>
  <si>
    <t>B4B073</t>
  </si>
  <si>
    <t>B4B074</t>
  </si>
  <si>
    <t>B4B075</t>
  </si>
  <si>
    <t>B4B076</t>
  </si>
  <si>
    <t>B4B077</t>
  </si>
  <si>
    <t>B4B078</t>
  </si>
  <si>
    <t>B4B079</t>
  </si>
  <si>
    <t>B4B080</t>
  </si>
  <si>
    <t>B4B081</t>
  </si>
  <si>
    <t>B4B082</t>
  </si>
  <si>
    <t>B4B083</t>
  </si>
  <si>
    <t>B4B084</t>
  </si>
  <si>
    <t>B4B085</t>
  </si>
  <si>
    <t>B4B086</t>
  </si>
  <si>
    <t>B4B087</t>
  </si>
  <si>
    <t>B4B088</t>
  </si>
  <si>
    <t>B4B089</t>
  </si>
  <si>
    <t>B4B090</t>
  </si>
  <si>
    <t>B4B091</t>
  </si>
  <si>
    <t>B4B092</t>
  </si>
  <si>
    <t>B4B093</t>
  </si>
  <si>
    <t>B4B094</t>
  </si>
  <si>
    <t>B4B095</t>
  </si>
  <si>
    <t>B4B096</t>
  </si>
  <si>
    <t>B4B097</t>
  </si>
  <si>
    <t>B4B098</t>
  </si>
  <si>
    <t>B4B099</t>
  </si>
  <si>
    <t>B4B100</t>
  </si>
  <si>
    <t>sowndiv</t>
  </si>
  <si>
    <t>funcgr</t>
  </si>
  <si>
    <t>numgrass</t>
  </si>
  <si>
    <t>numsherb</t>
  </si>
  <si>
    <t>numtherb</t>
  </si>
  <si>
    <t>numleg</t>
  </si>
  <si>
    <t>grass</t>
  </si>
  <si>
    <t>sherb</t>
  </si>
  <si>
    <t>therb</t>
  </si>
  <si>
    <t>leg</t>
  </si>
  <si>
    <t>mixcode</t>
  </si>
  <si>
    <t>plotcode</t>
  </si>
  <si>
    <t>block</t>
  </si>
  <si>
    <t>plot</t>
  </si>
  <si>
    <t>S16M12</t>
  </si>
  <si>
    <t>S08M07</t>
  </si>
  <si>
    <t>S08M11</t>
  </si>
  <si>
    <t>S04M16</t>
  </si>
  <si>
    <t>S02M07</t>
  </si>
  <si>
    <t>S16M03</t>
  </si>
  <si>
    <t>S02M06</t>
  </si>
  <si>
    <t>S01M16</t>
  </si>
  <si>
    <t>S01M01</t>
  </si>
  <si>
    <t>S00M01</t>
  </si>
  <si>
    <t>S16M14</t>
  </si>
  <si>
    <t>S08M04</t>
  </si>
  <si>
    <t>S04M04</t>
  </si>
  <si>
    <t>S08M15</t>
  </si>
  <si>
    <t>S01M11</t>
  </si>
  <si>
    <t>S02M10</t>
  </si>
  <si>
    <t>S02M14</t>
  </si>
  <si>
    <t>S01M07</t>
  </si>
  <si>
    <t>S04M09</t>
  </si>
  <si>
    <t>S16M08</t>
  </si>
  <si>
    <t>S04M07</t>
  </si>
  <si>
    <t>S60M01</t>
  </si>
  <si>
    <t>S04M15</t>
  </si>
  <si>
    <t>S02M02</t>
  </si>
  <si>
    <t>S01M10</t>
  </si>
  <si>
    <t>S01M02</t>
  </si>
  <si>
    <t>S04M08</t>
  </si>
  <si>
    <t>S02M11</t>
  </si>
  <si>
    <t>S04M02</t>
  </si>
  <si>
    <t>S16M01</t>
  </si>
  <si>
    <t>S08M03</t>
  </si>
  <si>
    <t>S01M05</t>
  </si>
  <si>
    <t>S08M13</t>
  </si>
  <si>
    <t>S01M15</t>
  </si>
  <si>
    <t>S04M12</t>
  </si>
  <si>
    <t>S08M08</t>
  </si>
  <si>
    <t>S16M11</t>
  </si>
  <si>
    <t>S02M03</t>
  </si>
  <si>
    <t>S02M16</t>
  </si>
  <si>
    <t>S08M12</t>
  </si>
  <si>
    <t>S16M06</t>
  </si>
  <si>
    <t>S01M12</t>
  </si>
  <si>
    <t>S02M13</t>
  </si>
  <si>
    <t>S04M11</t>
  </si>
  <si>
    <t>S08M01</t>
  </si>
  <si>
    <t>S08M10</t>
  </si>
  <si>
    <t>S01M03</t>
  </si>
  <si>
    <t>S08M16</t>
  </si>
  <si>
    <t>S02M01</t>
  </si>
  <si>
    <t>S16M13</t>
  </si>
  <si>
    <t>S04M05</t>
  </si>
  <si>
    <t>S01M13</t>
  </si>
  <si>
    <t>S04M01</t>
  </si>
  <si>
    <t>S16M04</t>
  </si>
  <si>
    <t>S01M08</t>
  </si>
  <si>
    <t>S02M09</t>
  </si>
  <si>
    <t>S08M06</t>
  </si>
  <si>
    <t>S02M08</t>
  </si>
  <si>
    <t>S16M10</t>
  </si>
  <si>
    <t>S04M13</t>
  </si>
  <si>
    <t>S16M07</t>
  </si>
  <si>
    <t>S16M05</t>
  </si>
  <si>
    <t>S01M06</t>
  </si>
  <si>
    <t>S04M14</t>
  </si>
  <si>
    <t>S08M02</t>
  </si>
  <si>
    <t>S04M06</t>
  </si>
  <si>
    <t>S08M05</t>
  </si>
  <si>
    <t>S01M14</t>
  </si>
  <si>
    <t>S08M09</t>
  </si>
  <si>
    <t>S04M10</t>
  </si>
  <si>
    <t>S01M04</t>
  </si>
  <si>
    <t>S01M09</t>
  </si>
  <si>
    <t>S02M04</t>
  </si>
  <si>
    <t>S02M15</t>
  </si>
  <si>
    <t>S08M14</t>
  </si>
  <si>
    <t>S02M05</t>
  </si>
  <si>
    <t>S16M09</t>
  </si>
  <si>
    <t>S16M02</t>
  </si>
  <si>
    <t>S02M12</t>
  </si>
  <si>
    <t>S04M03</t>
  </si>
  <si>
    <t>S99M02</t>
  </si>
  <si>
    <t>S99M03</t>
  </si>
  <si>
    <t>S99M04</t>
  </si>
  <si>
    <t>Alo pra</t>
  </si>
  <si>
    <t>Ant odo</t>
  </si>
  <si>
    <t>Arr ela</t>
  </si>
  <si>
    <t>Ave pub</t>
  </si>
  <si>
    <t>Bro ere</t>
  </si>
  <si>
    <t>Bro hor</t>
  </si>
  <si>
    <t>Cyn cri</t>
  </si>
  <si>
    <t>Dac glo</t>
  </si>
  <si>
    <t>Fes pra</t>
  </si>
  <si>
    <t>Fes rub</t>
  </si>
  <si>
    <t>Hol lan</t>
  </si>
  <si>
    <t>Luz cam</t>
  </si>
  <si>
    <t>Phl pra</t>
  </si>
  <si>
    <t>Poa pra</t>
  </si>
  <si>
    <t>Poa tri</t>
  </si>
  <si>
    <t>Tri fla</t>
  </si>
  <si>
    <t>Aju rep</t>
  </si>
  <si>
    <t>Bel per</t>
  </si>
  <si>
    <t>Gle hed</t>
  </si>
  <si>
    <t>Leo aut</t>
  </si>
  <si>
    <t>Leo his</t>
  </si>
  <si>
    <t>Pla lan</t>
  </si>
  <si>
    <t>Pla med</t>
  </si>
  <si>
    <t>Pri ver</t>
  </si>
  <si>
    <t>Pru vul</t>
  </si>
  <si>
    <t>Ran rep</t>
  </si>
  <si>
    <t>Tar off</t>
  </si>
  <si>
    <t>Ver cha</t>
  </si>
  <si>
    <t>Ach mil</t>
  </si>
  <si>
    <t>Ant syl</t>
  </si>
  <si>
    <t>Cam pat</t>
  </si>
  <si>
    <t>Car pra</t>
  </si>
  <si>
    <t>Car car</t>
  </si>
  <si>
    <t>Cen jac</t>
  </si>
  <si>
    <t>Cir ole</t>
  </si>
  <si>
    <t>Cre bie</t>
  </si>
  <si>
    <t>Dau car</t>
  </si>
  <si>
    <t>Gal mol</t>
  </si>
  <si>
    <t>Ger pra</t>
  </si>
  <si>
    <t>Her sph</t>
  </si>
  <si>
    <t>Kna arv</t>
  </si>
  <si>
    <t>Leu vul</t>
  </si>
  <si>
    <t>Pas sat</t>
  </si>
  <si>
    <t>Pim maj</t>
  </si>
  <si>
    <t>Ran acr</t>
  </si>
  <si>
    <t>Rum ace</t>
  </si>
  <si>
    <t>San off</t>
  </si>
  <si>
    <t>Tra pra</t>
  </si>
  <si>
    <t>Lat pra</t>
  </si>
  <si>
    <t>Lot cor</t>
  </si>
  <si>
    <t>Med lup</t>
  </si>
  <si>
    <t>Med var</t>
  </si>
  <si>
    <t>Ono vic</t>
  </si>
  <si>
    <t>Tri cam</t>
  </si>
  <si>
    <t>Tri dub</t>
  </si>
  <si>
    <t>Tri hyb</t>
  </si>
  <si>
    <t>Tri pra</t>
  </si>
  <si>
    <t>Tri rep</t>
  </si>
  <si>
    <t>Vic cra</t>
  </si>
  <si>
    <t>Tri fra</t>
  </si>
  <si>
    <t>bare</t>
  </si>
  <si>
    <t>succ mow</t>
  </si>
  <si>
    <t>free succ</t>
  </si>
  <si>
    <t>comment</t>
  </si>
  <si>
    <t>B1</t>
  </si>
  <si>
    <t>B2</t>
  </si>
  <si>
    <t>B3</t>
  </si>
  <si>
    <t>B4</t>
  </si>
  <si>
    <t>C4</t>
  </si>
  <si>
    <t>Dominanz</t>
  </si>
  <si>
    <t>S01M17</t>
  </si>
  <si>
    <t>S01M18</t>
  </si>
  <si>
    <t>S01M19</t>
  </si>
  <si>
    <t>S01M20</t>
  </si>
  <si>
    <t>S01M63</t>
  </si>
  <si>
    <t>S99M05</t>
  </si>
  <si>
    <t>S09M01</t>
  </si>
  <si>
    <t>S06M01</t>
  </si>
  <si>
    <t>S06M02</t>
  </si>
  <si>
    <t>S06M03</t>
  </si>
  <si>
    <t>S06M04</t>
  </si>
  <si>
    <t>S06M05</t>
  </si>
  <si>
    <t>S06M06</t>
  </si>
  <si>
    <t>S06M07</t>
  </si>
  <si>
    <t>S06M08</t>
  </si>
  <si>
    <t>S06M09</t>
  </si>
  <si>
    <t>S06M10</t>
  </si>
  <si>
    <t>S06M11</t>
  </si>
  <si>
    <t>S06M12</t>
  </si>
  <si>
    <t>S01M21</t>
  </si>
  <si>
    <t>S01M22</t>
  </si>
  <si>
    <t>S01M23</t>
  </si>
  <si>
    <t>S01M24</t>
  </si>
  <si>
    <t>S01M25</t>
  </si>
  <si>
    <t>S01M26</t>
  </si>
  <si>
    <t>S01M27</t>
  </si>
  <si>
    <t>S01M28</t>
  </si>
  <si>
    <t>S01M29</t>
  </si>
  <si>
    <t>S01M30</t>
  </si>
  <si>
    <t>S01M31</t>
  </si>
  <si>
    <t>S01M32</t>
  </si>
  <si>
    <t>S01M33</t>
  </si>
  <si>
    <t>S01M34</t>
  </si>
  <si>
    <t>S01M35</t>
  </si>
  <si>
    <t>S01M36</t>
  </si>
  <si>
    <t>S01M37</t>
  </si>
  <si>
    <t>S01M38</t>
  </si>
  <si>
    <t>S01M39</t>
  </si>
  <si>
    <t>S01M40</t>
  </si>
  <si>
    <t>S01M41</t>
  </si>
  <si>
    <t>S01M42</t>
  </si>
  <si>
    <t>S01M43</t>
  </si>
  <si>
    <t>S01M44</t>
  </si>
  <si>
    <t>S01M45</t>
  </si>
  <si>
    <t>S01M46</t>
  </si>
  <si>
    <t>S01M47</t>
  </si>
  <si>
    <t>S01M48</t>
  </si>
  <si>
    <t>S01M49</t>
  </si>
  <si>
    <t>S01M50</t>
  </si>
  <si>
    <t>S01M51</t>
  </si>
  <si>
    <t>S01M52</t>
  </si>
  <si>
    <t>S01M53</t>
  </si>
  <si>
    <t>S01M54</t>
  </si>
  <si>
    <t>S01M55</t>
  </si>
  <si>
    <t>S01M56</t>
  </si>
  <si>
    <t>S01M57</t>
  </si>
  <si>
    <t>S01M58</t>
  </si>
  <si>
    <t>S01M59</t>
  </si>
  <si>
    <t>S01M60</t>
  </si>
  <si>
    <t>S01M61</t>
  </si>
  <si>
    <t>S01M62</t>
  </si>
  <si>
    <t>S02M17</t>
  </si>
  <si>
    <t>S02M18</t>
  </si>
  <si>
    <t>S02M19</t>
  </si>
  <si>
    <t>S02M20</t>
  </si>
  <si>
    <t>S02M21</t>
  </si>
  <si>
    <t>S02M22</t>
  </si>
  <si>
    <t>S02M23</t>
  </si>
  <si>
    <t>S02M24</t>
  </si>
  <si>
    <t>S02M25</t>
  </si>
  <si>
    <t>S02M26</t>
  </si>
  <si>
    <t>S02M27</t>
  </si>
  <si>
    <t>S02M28</t>
  </si>
  <si>
    <t>S02M29</t>
  </si>
  <si>
    <t>S02M30</t>
  </si>
  <si>
    <t>S02M31</t>
  </si>
  <si>
    <t>S02M32</t>
  </si>
  <si>
    <t>S02M33</t>
  </si>
  <si>
    <t>S02M34</t>
  </si>
  <si>
    <t>S02M35</t>
  </si>
  <si>
    <t>S02M36</t>
  </si>
  <si>
    <t>S02M37</t>
  </si>
  <si>
    <t>S02M38</t>
  </si>
  <si>
    <t>S02M39</t>
  </si>
  <si>
    <t>S02M40</t>
  </si>
  <si>
    <t>S02M41</t>
  </si>
  <si>
    <t>S02M42</t>
  </si>
  <si>
    <t>S02M43</t>
  </si>
  <si>
    <t>S02M44</t>
  </si>
  <si>
    <t>S02M45</t>
  </si>
  <si>
    <t>S02M46</t>
  </si>
  <si>
    <t>S02M47</t>
  </si>
  <si>
    <t>S02M48</t>
  </si>
  <si>
    <t>S02M49</t>
  </si>
  <si>
    <t>S02M50</t>
  </si>
  <si>
    <t>S02M51</t>
  </si>
  <si>
    <t>S02M52</t>
  </si>
  <si>
    <t>S03M10</t>
  </si>
  <si>
    <t>S03M11</t>
  </si>
  <si>
    <t>S03M12</t>
  </si>
  <si>
    <t>S03M13</t>
  </si>
  <si>
    <t>S03M14</t>
  </si>
  <si>
    <t>S03M15</t>
  </si>
  <si>
    <t>S03M16</t>
  </si>
  <si>
    <t>S03M17</t>
  </si>
  <si>
    <t>S03M18</t>
  </si>
  <si>
    <t>S03M19</t>
  </si>
  <si>
    <t>S03M20</t>
  </si>
  <si>
    <t>S03M21</t>
  </si>
  <si>
    <t>S03M22</t>
  </si>
  <si>
    <t>S03M23</t>
  </si>
  <si>
    <t>S03M24</t>
  </si>
  <si>
    <t>S04M17</t>
  </si>
  <si>
    <t>S04M18</t>
  </si>
  <si>
    <t>S04M19</t>
  </si>
  <si>
    <t>S04M20</t>
  </si>
  <si>
    <t>S04M21</t>
  </si>
  <si>
    <t>S04M22</t>
  </si>
  <si>
    <t>S04M23</t>
  </si>
  <si>
    <t>S04M24</t>
  </si>
  <si>
    <t>S04M25</t>
  </si>
  <si>
    <t>S04M26</t>
  </si>
  <si>
    <t>S04M27</t>
  </si>
  <si>
    <t>S04M28</t>
  </si>
  <si>
    <t>S04M29</t>
  </si>
  <si>
    <t>S04M30</t>
  </si>
  <si>
    <t>S04M31</t>
  </si>
  <si>
    <t>S04M32</t>
  </si>
  <si>
    <t>S04M33</t>
  </si>
  <si>
    <t>S04M34</t>
  </si>
  <si>
    <t>S03M01</t>
  </si>
  <si>
    <t>S03M02</t>
  </si>
  <si>
    <t>S03M03</t>
  </si>
  <si>
    <t>S03M04</t>
  </si>
  <si>
    <t>S03M05</t>
  </si>
  <si>
    <t>S03M06</t>
  </si>
  <si>
    <t>S03M07</t>
  </si>
  <si>
    <t>S03M08</t>
  </si>
  <si>
    <t>S03M09</t>
  </si>
  <si>
    <t>S03M0+A2632</t>
  </si>
  <si>
    <t>Monoculture</t>
  </si>
  <si>
    <t>Replication</t>
  </si>
  <si>
    <t>Evenness</t>
  </si>
  <si>
    <t xml:space="preserve">Diese Datei enthält Angaben zu einer einheitlichen Kodierung der Plots und der Artenmischungen sowie </t>
  </si>
  <si>
    <t>allgemeine Informationen zu den einzelnen Plots, die als Templates für verschiedene statistische Auswertungen verwendet werden können.</t>
  </si>
  <si>
    <t xml:space="preserve">Plotcode: </t>
  </si>
  <si>
    <r>
      <t xml:space="preserve">Aus Blocknummer und Plotnummer habe wurde eine Code zusammengesetzt, so dass die Plots durch </t>
    </r>
    <r>
      <rPr>
        <b/>
        <sz val="10"/>
        <rFont val="Arial"/>
        <family val="2"/>
      </rPr>
      <t xml:space="preserve">eine </t>
    </r>
    <r>
      <rPr>
        <sz val="10"/>
        <rFont val="Arial"/>
        <family val="2"/>
      </rPr>
      <t xml:space="preserve">Variable </t>
    </r>
  </si>
  <si>
    <t>eindeutig identifiziert werden können.</t>
  </si>
  <si>
    <t>Mixcode:</t>
  </si>
  <si>
    <t>Der Code für die Artenmischungen setzt sich aus der Artenzahl ( z.B.S01) und einer laufenden Nummer für die Mischung zusammen.</t>
  </si>
  <si>
    <t>Die Nummerierung beginnt jeweils mit den im großen Experiment verwendeten Mischungen und wird dann für die zusätzlichen Mischungen</t>
  </si>
  <si>
    <t>auf den kleinen Plots fortgesetzt.</t>
  </si>
  <si>
    <t>Die "Sonderflächen" sind folgendermaßen codiert:</t>
  </si>
  <si>
    <t>S00M01 - bare ground</t>
  </si>
  <si>
    <t>S99M02 - Succession with mowing</t>
  </si>
  <si>
    <t>S99M03 - Free Succession</t>
  </si>
  <si>
    <t>S99M04 - C4</t>
  </si>
  <si>
    <t>S99M05 - Meteorology-Plot (Block 2 Plot B030)</t>
  </si>
  <si>
    <t>Koordinaten große Plots:</t>
  </si>
  <si>
    <t>Für jeden Plot sind die Koordinaten (in m) der vier Plotecken (NO,SO;SW,NW) in einem von Jussi Baade gewählten Koordinatensystem</t>
  </si>
  <si>
    <t>angegeben. Norden ist deshalb nicht exakt Norden, sondern an der Ausrichtung der Fläche orientiert!</t>
  </si>
  <si>
    <t>Koordinaten kleine Plots:</t>
  </si>
  <si>
    <t>Diese Informationen können für Analysen verwendet werden, die die räumliche Anordnung der plots explizit berücksichtigen.</t>
  </si>
  <si>
    <t>Presence/Absence</t>
  </si>
  <si>
    <t>große und kleine Plots</t>
  </si>
  <si>
    <t>Für die Sonderflächen( bare ground, Sukzession, C4) enthalten die entsprechenden Zeilen daher nur Nullen.</t>
  </si>
  <si>
    <t>Die ausgesäten Artenmischungen aller Plots sind in Form einer Presence/Absence-Matrix aller 60 Arten des Artenpools angegeben.</t>
  </si>
  <si>
    <t>Das gleiche gilt für Flächen, auf denen nur Arten ausgesät wurden, die nicht im 60-Artenpool enthalten sind (Lolium per., Vicia sep., Solanum nig.).</t>
  </si>
  <si>
    <t>Plotinformation große Plots</t>
  </si>
  <si>
    <t>Die Tabelle enthält die wichtigsten "unabhängigen" Variablen für die statistische Auswertung des Versuchs. Dies sind im Einzelnen:</t>
  </si>
  <si>
    <t>Plotinformation kleine Plots</t>
  </si>
  <si>
    <t>Zusätzlich zu den Informationen bei den großen Plots gibt es hier Informationen, für welche Teilexperimente die Plots Verwendung finden.</t>
  </si>
  <si>
    <t>Zu beachten ist, dass einige Plots für mehrere Experimente Verwendung finden, aber häufig nicht der gesamte Plot.</t>
  </si>
  <si>
    <r>
      <t>Monoculture</t>
    </r>
    <r>
      <rPr>
        <sz val="10"/>
        <rFont val="Arial"/>
      </rPr>
      <t xml:space="preserve">: Lolium, Vicia sepium und Solanum nigrum-Plots werden mit zu den Monokulturen gezählt, auch wenn die Arten nicht zum </t>
    </r>
  </si>
  <si>
    <t xml:space="preserve">                      60-Arten-Pool gehören. Die entsprechenden Plots sind mit einem zusätzlichen Kommentar versehen.</t>
  </si>
  <si>
    <r>
      <t>Replication</t>
    </r>
    <r>
      <rPr>
        <sz val="10"/>
        <rFont val="Arial"/>
      </rPr>
      <t>:   alle Plots, die Wiederholungen von Artenmischungen der großen Plots darstellen, auch bare ground, succession</t>
    </r>
  </si>
  <si>
    <r>
      <t xml:space="preserve">Evenness:      </t>
    </r>
    <r>
      <rPr>
        <sz val="10"/>
        <rFont val="Arial"/>
        <family val="2"/>
      </rPr>
      <t xml:space="preserve">alle Plots, die für das Evenness-Experiment Verwendung finden. </t>
    </r>
  </si>
  <si>
    <t xml:space="preserve">                      Dies sind alles auch Wiederholungen der großen Plots.</t>
  </si>
  <si>
    <r>
      <t>Dominanz:</t>
    </r>
    <r>
      <rPr>
        <sz val="10"/>
        <rFont val="Arial"/>
        <family val="2"/>
      </rPr>
      <t xml:space="preserve">     alle Plots, die für das Dominanz-Experiment Verwendung finden.</t>
    </r>
  </si>
  <si>
    <t>Mischungen große Plots</t>
  </si>
  <si>
    <t>Mischungen kleine Plots</t>
  </si>
  <si>
    <t>Hier gibt es noch einmal die Information über die in den Aussaat-Mischungen enthaltenen Arten,</t>
  </si>
  <si>
    <t>ohne dass man sich durch die Presence/Absence-Matrizen durchkämpfen muss.</t>
  </si>
  <si>
    <r>
      <t xml:space="preserve">sowndiv       </t>
    </r>
    <r>
      <rPr>
        <sz val="10"/>
        <rFont val="Arial"/>
        <family val="2"/>
      </rPr>
      <t>- Anzahl ausgesäter Arten</t>
    </r>
  </si>
  <si>
    <r>
      <t xml:space="preserve">funcgr          </t>
    </r>
    <r>
      <rPr>
        <sz val="10"/>
        <rFont val="Arial"/>
        <family val="2"/>
      </rPr>
      <t>- Anzahl funktioneller Gruppen in der Aussaat</t>
    </r>
  </si>
  <si>
    <r>
      <t>numgrass    -</t>
    </r>
    <r>
      <rPr>
        <sz val="10"/>
        <rFont val="Arial"/>
        <family val="2"/>
      </rPr>
      <t xml:space="preserve"> Anzahl Gräser</t>
    </r>
  </si>
  <si>
    <r>
      <t xml:space="preserve">numsherb   </t>
    </r>
    <r>
      <rPr>
        <sz val="10"/>
        <rFont val="Arial"/>
        <family val="2"/>
      </rPr>
      <t xml:space="preserve"> - Anzahl kleiner Kräuter</t>
    </r>
  </si>
  <si>
    <r>
      <t>numtherb</t>
    </r>
    <r>
      <rPr>
        <sz val="10"/>
        <rFont val="Arial"/>
        <family val="2"/>
      </rPr>
      <t xml:space="preserve">    - Anzahl großer Kräuter</t>
    </r>
  </si>
  <si>
    <r>
      <t>numleg       -</t>
    </r>
    <r>
      <rPr>
        <sz val="10"/>
        <rFont val="Arial"/>
        <family val="2"/>
      </rPr>
      <t xml:space="preserve"> Anzahl Leguminosen</t>
    </r>
  </si>
  <si>
    <r>
      <t>grass           -</t>
    </r>
    <r>
      <rPr>
        <sz val="10"/>
        <rFont val="Arial"/>
        <family val="2"/>
      </rPr>
      <t xml:space="preserve"> Indikatorvariable: 1 - Gras in der Mischung, 0 - kein Gras in der Mischung</t>
    </r>
  </si>
  <si>
    <r>
      <t xml:space="preserve">sherb           </t>
    </r>
    <r>
      <rPr>
        <sz val="10"/>
        <rFont val="Arial"/>
        <family val="2"/>
      </rPr>
      <t>- Indikatorvariable: 1 - Kleine Kräuter in der Mischung, 0 - keine kleinen Kräuter in der Mischung</t>
    </r>
  </si>
  <si>
    <r>
      <t>therb           -</t>
    </r>
    <r>
      <rPr>
        <sz val="10"/>
        <rFont val="Arial"/>
        <family val="2"/>
      </rPr>
      <t xml:space="preserve"> Indikatorvariable: 1 - Große Kräuter in der Mischung, 0 - keine großen Kräuter in der Mischung</t>
    </r>
  </si>
  <si>
    <r>
      <t xml:space="preserve">leg              - </t>
    </r>
    <r>
      <rPr>
        <sz val="10"/>
        <rFont val="Arial"/>
        <family val="2"/>
      </rPr>
      <t>Indikatorvariable: 1 - Leguminosen in der Mischung, 0 - keine Leguminosen in der Mischung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</si>
</sst>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Border="1"/>
    <xf numFmtId="164" fontId="1" fillId="0" borderId="0" xfId="0" applyNumberFormat="1" applyFont="1" applyBorder="1"/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4" xfId="0" applyBorder="1"/>
    <xf numFmtId="49" fontId="1" fillId="0" borderId="1" xfId="0" applyNumberFormat="1" applyFont="1" applyBorder="1" applyAlignment="1">
      <alignment textRotation="90"/>
    </xf>
    <xf numFmtId="0" fontId="3" fillId="0" borderId="0" xfId="0" applyFont="1"/>
    <xf numFmtId="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5" xfId="0" applyFont="1" applyBorder="1"/>
    <xf numFmtId="1" fontId="3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3"/>
  <sheetViews>
    <sheetView workbookViewId="0">
      <selection activeCell="B18" sqref="B18"/>
    </sheetView>
  </sheetViews>
  <sheetFormatPr defaultRowHeight="12.75" x14ac:dyDescent="0.2"/>
  <cols>
    <col min="1" max="1" width="26.140625" customWidth="1"/>
    <col min="2" max="2" width="121.5703125" customWidth="1"/>
  </cols>
  <sheetData>
    <row r="2" spans="1:2" x14ac:dyDescent="0.2">
      <c r="B2" t="s">
        <v>814</v>
      </c>
    </row>
    <row r="3" spans="1:2" x14ac:dyDescent="0.2">
      <c r="B3" t="s">
        <v>815</v>
      </c>
    </row>
    <row r="5" spans="1:2" x14ac:dyDescent="0.2">
      <c r="A5" s="5" t="s">
        <v>816</v>
      </c>
      <c r="B5" t="s">
        <v>817</v>
      </c>
    </row>
    <row r="6" spans="1:2" x14ac:dyDescent="0.2">
      <c r="B6" t="s">
        <v>818</v>
      </c>
    </row>
    <row r="8" spans="1:2" x14ac:dyDescent="0.2">
      <c r="A8" s="5" t="s">
        <v>819</v>
      </c>
      <c r="B8" t="s">
        <v>820</v>
      </c>
    </row>
    <row r="9" spans="1:2" x14ac:dyDescent="0.2">
      <c r="B9" t="s">
        <v>821</v>
      </c>
    </row>
    <row r="10" spans="1:2" x14ac:dyDescent="0.2">
      <c r="B10" t="s">
        <v>822</v>
      </c>
    </row>
    <row r="11" spans="1:2" x14ac:dyDescent="0.2">
      <c r="B11" t="s">
        <v>823</v>
      </c>
    </row>
    <row r="12" spans="1:2" x14ac:dyDescent="0.2">
      <c r="B12" t="s">
        <v>824</v>
      </c>
    </row>
    <row r="13" spans="1:2" x14ac:dyDescent="0.2">
      <c r="B13" t="s">
        <v>825</v>
      </c>
    </row>
    <row r="14" spans="1:2" x14ac:dyDescent="0.2">
      <c r="B14" t="s">
        <v>826</v>
      </c>
    </row>
    <row r="15" spans="1:2" x14ac:dyDescent="0.2">
      <c r="B15" t="s">
        <v>827</v>
      </c>
    </row>
    <row r="16" spans="1:2" x14ac:dyDescent="0.2">
      <c r="B16" t="s">
        <v>828</v>
      </c>
    </row>
    <row r="18" spans="1:2" x14ac:dyDescent="0.2">
      <c r="A18" s="5" t="s">
        <v>829</v>
      </c>
      <c r="B18" t="s">
        <v>830</v>
      </c>
    </row>
    <row r="19" spans="1:2" x14ac:dyDescent="0.2">
      <c r="A19" s="5" t="s">
        <v>832</v>
      </c>
      <c r="B19" t="s">
        <v>831</v>
      </c>
    </row>
    <row r="20" spans="1:2" x14ac:dyDescent="0.2">
      <c r="B20" t="s">
        <v>833</v>
      </c>
    </row>
    <row r="22" spans="1:2" x14ac:dyDescent="0.2">
      <c r="A22" s="5" t="s">
        <v>834</v>
      </c>
      <c r="B22" t="s">
        <v>837</v>
      </c>
    </row>
    <row r="23" spans="1:2" x14ac:dyDescent="0.2">
      <c r="A23" s="5" t="s">
        <v>835</v>
      </c>
      <c r="B23" t="s">
        <v>836</v>
      </c>
    </row>
    <row r="24" spans="1:2" x14ac:dyDescent="0.2">
      <c r="B24" t="s">
        <v>838</v>
      </c>
    </row>
    <row r="27" spans="1:2" x14ac:dyDescent="0.2">
      <c r="A27" s="5" t="s">
        <v>839</v>
      </c>
      <c r="B27" t="s">
        <v>840</v>
      </c>
    </row>
    <row r="28" spans="1:2" ht="13.5" thickBot="1" x14ac:dyDescent="0.25">
      <c r="B28" s="24" t="s">
        <v>515</v>
      </c>
    </row>
    <row r="29" spans="1:2" ht="13.5" thickBot="1" x14ac:dyDescent="0.25">
      <c r="B29" s="26" t="s">
        <v>514</v>
      </c>
    </row>
    <row r="30" spans="1:2" ht="13.5" thickBot="1" x14ac:dyDescent="0.25">
      <c r="B30" s="24" t="s">
        <v>516</v>
      </c>
    </row>
    <row r="31" spans="1:2" ht="13.5" thickBot="1" x14ac:dyDescent="0.25">
      <c r="B31" s="24" t="s">
        <v>517</v>
      </c>
    </row>
    <row r="32" spans="1:2" ht="13.5" thickBot="1" x14ac:dyDescent="0.25">
      <c r="B32" s="24" t="s">
        <v>854</v>
      </c>
    </row>
    <row r="33" spans="1:2" ht="13.5" thickBot="1" x14ac:dyDescent="0.25">
      <c r="B33" s="24" t="s">
        <v>855</v>
      </c>
    </row>
    <row r="34" spans="1:2" ht="13.5" thickBot="1" x14ac:dyDescent="0.25">
      <c r="B34" s="24" t="s">
        <v>856</v>
      </c>
    </row>
    <row r="35" spans="1:2" ht="13.5" thickBot="1" x14ac:dyDescent="0.25">
      <c r="B35" s="24" t="s">
        <v>857</v>
      </c>
    </row>
    <row r="36" spans="1:2" ht="13.5" thickBot="1" x14ac:dyDescent="0.25">
      <c r="B36" s="24" t="s">
        <v>858</v>
      </c>
    </row>
    <row r="37" spans="1:2" ht="13.5" thickBot="1" x14ac:dyDescent="0.25">
      <c r="B37" s="24" t="s">
        <v>859</v>
      </c>
    </row>
    <row r="38" spans="1:2" ht="13.5" thickBot="1" x14ac:dyDescent="0.25">
      <c r="B38" s="24" t="s">
        <v>860</v>
      </c>
    </row>
    <row r="39" spans="1:2" ht="13.5" thickBot="1" x14ac:dyDescent="0.25">
      <c r="B39" s="24" t="s">
        <v>861</v>
      </c>
    </row>
    <row r="40" spans="1:2" ht="13.5" thickBot="1" x14ac:dyDescent="0.25">
      <c r="B40" s="24" t="s">
        <v>862</v>
      </c>
    </row>
    <row r="41" spans="1:2" ht="13.5" thickBot="1" x14ac:dyDescent="0.25">
      <c r="B41" s="24" t="s">
        <v>863</v>
      </c>
    </row>
    <row r="43" spans="1:2" x14ac:dyDescent="0.2">
      <c r="A43" s="5" t="s">
        <v>841</v>
      </c>
      <c r="B43" t="s">
        <v>842</v>
      </c>
    </row>
    <row r="44" spans="1:2" x14ac:dyDescent="0.2">
      <c r="B44" t="s">
        <v>843</v>
      </c>
    </row>
    <row r="45" spans="1:2" x14ac:dyDescent="0.2">
      <c r="B45" s="5" t="s">
        <v>844</v>
      </c>
    </row>
    <row r="46" spans="1:2" x14ac:dyDescent="0.2">
      <c r="B46" t="s">
        <v>845</v>
      </c>
    </row>
    <row r="47" spans="1:2" x14ac:dyDescent="0.2">
      <c r="B47" s="5" t="s">
        <v>846</v>
      </c>
    </row>
    <row r="48" spans="1:2" x14ac:dyDescent="0.2">
      <c r="B48" s="5" t="s">
        <v>847</v>
      </c>
    </row>
    <row r="49" spans="1:2" x14ac:dyDescent="0.2">
      <c r="B49" s="9" t="s">
        <v>848</v>
      </c>
    </row>
    <row r="50" spans="1:2" x14ac:dyDescent="0.2">
      <c r="B50" s="5" t="s">
        <v>849</v>
      </c>
    </row>
    <row r="52" spans="1:2" x14ac:dyDescent="0.2">
      <c r="A52" s="5" t="s">
        <v>850</v>
      </c>
      <c r="B52" t="s">
        <v>852</v>
      </c>
    </row>
    <row r="53" spans="1:2" x14ac:dyDescent="0.2">
      <c r="A53" s="5" t="s">
        <v>851</v>
      </c>
      <c r="B53" t="s">
        <v>853</v>
      </c>
    </row>
  </sheetData>
  <sheetProtection password="C06F" sheet="1" objects="1" scenarios="1"/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5" sqref="I25"/>
    </sheetView>
  </sheetViews>
  <sheetFormatPr defaultColWidth="11.42578125" defaultRowHeight="12.75" x14ac:dyDescent="0.2"/>
  <cols>
    <col min="1" max="1" width="8.140625" style="5" customWidth="1"/>
    <col min="2" max="3" width="6.28515625" style="2" customWidth="1"/>
    <col min="4" max="12" width="6.28515625" customWidth="1"/>
    <col min="13" max="13" width="6.28515625" style="1" customWidth="1"/>
  </cols>
  <sheetData>
    <row r="1" spans="1:13" s="5" customFormat="1" x14ac:dyDescent="0.2">
      <c r="A1" s="5" t="s">
        <v>515</v>
      </c>
      <c r="B1" s="12" t="s">
        <v>0</v>
      </c>
      <c r="D1" s="5" t="s">
        <v>1</v>
      </c>
      <c r="F1" s="5" t="s">
        <v>2</v>
      </c>
      <c r="H1" s="5" t="s">
        <v>3</v>
      </c>
      <c r="J1" s="5" t="s">
        <v>4</v>
      </c>
      <c r="K1" s="6"/>
    </row>
    <row r="2" spans="1:13" s="7" customFormat="1" ht="13.5" thickBot="1" x14ac:dyDescent="0.25">
      <c r="A2" s="10"/>
      <c r="B2" s="13" t="s">
        <v>5</v>
      </c>
      <c r="C2" s="10" t="s">
        <v>6</v>
      </c>
      <c r="D2" s="10" t="s">
        <v>5</v>
      </c>
      <c r="E2" s="10" t="s">
        <v>6</v>
      </c>
      <c r="F2" s="10" t="s">
        <v>5</v>
      </c>
      <c r="G2" s="10" t="s">
        <v>6</v>
      </c>
      <c r="H2" s="10" t="s">
        <v>5</v>
      </c>
      <c r="I2" s="10" t="s">
        <v>6</v>
      </c>
      <c r="J2" s="10"/>
      <c r="K2" s="11"/>
    </row>
    <row r="3" spans="1:13" x14ac:dyDescent="0.2">
      <c r="A3" s="7" t="s">
        <v>7</v>
      </c>
      <c r="B3" s="14">
        <v>1360</v>
      </c>
      <c r="C3">
        <v>1077</v>
      </c>
      <c r="D3">
        <v>1360</v>
      </c>
      <c r="E3">
        <v>1057</v>
      </c>
      <c r="F3">
        <v>1340</v>
      </c>
      <c r="G3">
        <v>1057</v>
      </c>
      <c r="H3">
        <v>1340</v>
      </c>
      <c r="I3">
        <v>1077</v>
      </c>
      <c r="J3">
        <v>1350</v>
      </c>
      <c r="K3" s="1">
        <v>1064.5</v>
      </c>
      <c r="M3"/>
    </row>
    <row r="4" spans="1:13" x14ac:dyDescent="0.2">
      <c r="A4" s="7" t="s">
        <v>8</v>
      </c>
      <c r="B4" s="14">
        <v>1360</v>
      </c>
      <c r="C4">
        <v>1099</v>
      </c>
      <c r="D4">
        <v>1360</v>
      </c>
      <c r="E4">
        <v>1079</v>
      </c>
      <c r="F4">
        <v>1340</v>
      </c>
      <c r="G4">
        <v>1079</v>
      </c>
      <c r="H4">
        <v>1340</v>
      </c>
      <c r="I4">
        <v>1099</v>
      </c>
      <c r="J4">
        <v>1350</v>
      </c>
      <c r="K4" s="1">
        <v>1091.5</v>
      </c>
      <c r="M4"/>
    </row>
    <row r="5" spans="1:13" x14ac:dyDescent="0.2">
      <c r="A5" s="7" t="s">
        <v>9</v>
      </c>
      <c r="B5" s="14">
        <v>1360</v>
      </c>
      <c r="C5">
        <v>1121</v>
      </c>
      <c r="D5">
        <v>1360</v>
      </c>
      <c r="E5">
        <v>1101</v>
      </c>
      <c r="F5">
        <v>1340</v>
      </c>
      <c r="G5">
        <v>1101</v>
      </c>
      <c r="H5">
        <v>1340</v>
      </c>
      <c r="I5">
        <v>1121</v>
      </c>
      <c r="J5">
        <v>1350</v>
      </c>
      <c r="K5" s="1">
        <v>1108.5</v>
      </c>
      <c r="M5"/>
    </row>
    <row r="6" spans="1:13" x14ac:dyDescent="0.2">
      <c r="A6" s="7" t="s">
        <v>10</v>
      </c>
      <c r="B6" s="14">
        <v>1360</v>
      </c>
      <c r="C6">
        <v>1143</v>
      </c>
      <c r="D6">
        <v>1360</v>
      </c>
      <c r="E6">
        <v>1123</v>
      </c>
      <c r="F6">
        <v>1340</v>
      </c>
      <c r="G6">
        <v>1123</v>
      </c>
      <c r="H6">
        <v>1340</v>
      </c>
      <c r="I6">
        <v>1143</v>
      </c>
      <c r="J6">
        <v>1350</v>
      </c>
      <c r="K6" s="1">
        <v>1135.5</v>
      </c>
      <c r="M6"/>
    </row>
    <row r="7" spans="1:13" x14ac:dyDescent="0.2">
      <c r="A7" s="7" t="s">
        <v>11</v>
      </c>
      <c r="B7" s="14">
        <v>1360</v>
      </c>
      <c r="C7">
        <v>1168</v>
      </c>
      <c r="D7">
        <v>1360</v>
      </c>
      <c r="E7">
        <v>1148</v>
      </c>
      <c r="F7">
        <v>1340</v>
      </c>
      <c r="G7">
        <v>1148</v>
      </c>
      <c r="H7">
        <v>1340</v>
      </c>
      <c r="I7">
        <v>1168</v>
      </c>
      <c r="J7">
        <v>1350</v>
      </c>
      <c r="K7" s="1">
        <v>1155.5</v>
      </c>
      <c r="M7"/>
    </row>
    <row r="8" spans="1:13" x14ac:dyDescent="0.2">
      <c r="A8" s="7" t="s">
        <v>12</v>
      </c>
      <c r="B8" s="14">
        <v>1360</v>
      </c>
      <c r="C8">
        <v>1190</v>
      </c>
      <c r="D8">
        <v>1360</v>
      </c>
      <c r="E8">
        <v>1170</v>
      </c>
      <c r="F8">
        <v>1340</v>
      </c>
      <c r="G8">
        <v>1170</v>
      </c>
      <c r="H8">
        <v>1340</v>
      </c>
      <c r="I8">
        <v>1190</v>
      </c>
      <c r="J8">
        <v>1350</v>
      </c>
      <c r="K8" s="1">
        <v>1182.5</v>
      </c>
      <c r="M8"/>
    </row>
    <row r="9" spans="1:13" x14ac:dyDescent="0.2">
      <c r="A9" s="7" t="s">
        <v>13</v>
      </c>
      <c r="B9" s="14">
        <v>1360</v>
      </c>
      <c r="C9">
        <v>1212</v>
      </c>
      <c r="D9">
        <v>1360</v>
      </c>
      <c r="E9">
        <v>1192</v>
      </c>
      <c r="F9">
        <v>1340</v>
      </c>
      <c r="G9">
        <v>1192</v>
      </c>
      <c r="H9">
        <v>1340</v>
      </c>
      <c r="I9">
        <v>1212</v>
      </c>
      <c r="J9">
        <v>1350</v>
      </c>
      <c r="K9" s="1">
        <v>1199.5</v>
      </c>
      <c r="M9"/>
    </row>
    <row r="10" spans="1:13" x14ac:dyDescent="0.2">
      <c r="A10" s="7" t="s">
        <v>14</v>
      </c>
      <c r="B10" s="14">
        <v>1360</v>
      </c>
      <c r="C10">
        <v>1234</v>
      </c>
      <c r="D10">
        <v>1360</v>
      </c>
      <c r="E10">
        <v>1214</v>
      </c>
      <c r="F10">
        <v>1340</v>
      </c>
      <c r="G10">
        <v>1214</v>
      </c>
      <c r="H10">
        <v>1340</v>
      </c>
      <c r="I10">
        <v>1234</v>
      </c>
      <c r="J10">
        <v>1350</v>
      </c>
      <c r="K10" s="1">
        <v>1226.5</v>
      </c>
      <c r="M10"/>
    </row>
    <row r="11" spans="1:13" x14ac:dyDescent="0.2">
      <c r="A11" s="7" t="s">
        <v>15</v>
      </c>
      <c r="B11" s="14">
        <v>1360</v>
      </c>
      <c r="C11">
        <v>1256</v>
      </c>
      <c r="D11">
        <v>1360</v>
      </c>
      <c r="E11">
        <v>1236</v>
      </c>
      <c r="F11">
        <v>1340</v>
      </c>
      <c r="G11">
        <v>1236</v>
      </c>
      <c r="H11">
        <v>1340</v>
      </c>
      <c r="I11">
        <v>1256</v>
      </c>
      <c r="J11">
        <v>1350</v>
      </c>
      <c r="K11" s="1">
        <v>1243.5</v>
      </c>
      <c r="M11"/>
    </row>
    <row r="12" spans="1:13" x14ac:dyDescent="0.2">
      <c r="A12" s="7" t="s">
        <v>16</v>
      </c>
      <c r="B12" s="14">
        <v>1360</v>
      </c>
      <c r="C12">
        <v>1278</v>
      </c>
      <c r="D12">
        <v>1360</v>
      </c>
      <c r="E12">
        <v>1258</v>
      </c>
      <c r="F12">
        <v>1340</v>
      </c>
      <c r="G12">
        <v>1258</v>
      </c>
      <c r="H12">
        <v>1340</v>
      </c>
      <c r="I12">
        <v>1278</v>
      </c>
      <c r="J12">
        <v>1350</v>
      </c>
      <c r="K12" s="1">
        <v>1270.5</v>
      </c>
      <c r="M12"/>
    </row>
    <row r="13" spans="1:13" s="2" customFormat="1" x14ac:dyDescent="0.2">
      <c r="A13" s="7" t="s">
        <v>17</v>
      </c>
      <c r="B13" s="14">
        <v>1360</v>
      </c>
      <c r="C13" s="2">
        <v>1300</v>
      </c>
      <c r="D13" s="2">
        <v>1360</v>
      </c>
      <c r="E13" s="2">
        <v>1280</v>
      </c>
      <c r="F13" s="2">
        <v>1340</v>
      </c>
      <c r="G13" s="2">
        <v>1280</v>
      </c>
      <c r="H13" s="2">
        <v>1340</v>
      </c>
      <c r="I13" s="2">
        <v>1300</v>
      </c>
      <c r="J13" s="2">
        <v>1350</v>
      </c>
      <c r="K13" s="3">
        <v>1287.5</v>
      </c>
    </row>
    <row r="14" spans="1:13" x14ac:dyDescent="0.2">
      <c r="A14" s="7" t="s">
        <v>18</v>
      </c>
      <c r="B14" s="14">
        <v>1335</v>
      </c>
      <c r="C14">
        <v>1077</v>
      </c>
      <c r="D14">
        <v>1335</v>
      </c>
      <c r="E14">
        <v>1057</v>
      </c>
      <c r="F14">
        <v>1315</v>
      </c>
      <c r="G14">
        <v>1057</v>
      </c>
      <c r="H14">
        <v>1315</v>
      </c>
      <c r="I14">
        <v>1077</v>
      </c>
      <c r="J14">
        <v>1325</v>
      </c>
      <c r="K14" s="1">
        <v>1064.5</v>
      </c>
      <c r="M14"/>
    </row>
    <row r="15" spans="1:13" x14ac:dyDescent="0.2">
      <c r="A15" s="7" t="s">
        <v>19</v>
      </c>
      <c r="B15" s="14">
        <v>1335</v>
      </c>
      <c r="C15">
        <v>1099</v>
      </c>
      <c r="D15">
        <v>1335</v>
      </c>
      <c r="E15">
        <v>1079</v>
      </c>
      <c r="F15">
        <v>1315</v>
      </c>
      <c r="G15">
        <v>1079</v>
      </c>
      <c r="H15">
        <v>1315</v>
      </c>
      <c r="I15">
        <v>1099</v>
      </c>
      <c r="J15">
        <v>1325</v>
      </c>
      <c r="K15" s="1">
        <v>1091.5</v>
      </c>
      <c r="M15"/>
    </row>
    <row r="16" spans="1:13" x14ac:dyDescent="0.2">
      <c r="A16" s="7" t="s">
        <v>20</v>
      </c>
      <c r="B16" s="14">
        <v>1335</v>
      </c>
      <c r="C16">
        <v>1121</v>
      </c>
      <c r="D16">
        <v>1335</v>
      </c>
      <c r="E16">
        <v>1101</v>
      </c>
      <c r="F16">
        <v>1315</v>
      </c>
      <c r="G16">
        <v>1101</v>
      </c>
      <c r="H16">
        <v>1315</v>
      </c>
      <c r="I16">
        <v>1121</v>
      </c>
      <c r="J16">
        <v>1325</v>
      </c>
      <c r="K16" s="1">
        <v>1108.5</v>
      </c>
      <c r="M16"/>
    </row>
    <row r="17" spans="1:13" x14ac:dyDescent="0.2">
      <c r="A17" s="7" t="s">
        <v>21</v>
      </c>
      <c r="B17" s="14">
        <v>1335</v>
      </c>
      <c r="C17">
        <v>1143</v>
      </c>
      <c r="D17">
        <v>1335</v>
      </c>
      <c r="E17">
        <v>1123</v>
      </c>
      <c r="F17">
        <v>1315</v>
      </c>
      <c r="G17">
        <v>1123</v>
      </c>
      <c r="H17">
        <v>1315</v>
      </c>
      <c r="I17">
        <v>1143</v>
      </c>
      <c r="J17">
        <v>1325</v>
      </c>
      <c r="K17" s="1">
        <v>1135.5</v>
      </c>
      <c r="M17"/>
    </row>
    <row r="18" spans="1:13" x14ac:dyDescent="0.2">
      <c r="A18" s="7" t="s">
        <v>22</v>
      </c>
      <c r="B18" s="14">
        <v>1335</v>
      </c>
      <c r="C18">
        <v>1168</v>
      </c>
      <c r="D18">
        <v>1335</v>
      </c>
      <c r="E18">
        <v>1148</v>
      </c>
      <c r="F18">
        <v>1315</v>
      </c>
      <c r="G18">
        <v>1148</v>
      </c>
      <c r="H18">
        <v>1315</v>
      </c>
      <c r="I18">
        <v>1168</v>
      </c>
      <c r="J18">
        <v>1325</v>
      </c>
      <c r="K18" s="1">
        <v>1155.5</v>
      </c>
      <c r="M18"/>
    </row>
    <row r="19" spans="1:13" x14ac:dyDescent="0.2">
      <c r="A19" s="7" t="s">
        <v>23</v>
      </c>
      <c r="B19" s="14">
        <v>1335</v>
      </c>
      <c r="C19">
        <v>1190</v>
      </c>
      <c r="D19">
        <v>1335</v>
      </c>
      <c r="E19">
        <v>1170</v>
      </c>
      <c r="F19">
        <v>1315</v>
      </c>
      <c r="G19">
        <v>1170</v>
      </c>
      <c r="H19">
        <v>1315</v>
      </c>
      <c r="I19">
        <v>1190</v>
      </c>
      <c r="J19">
        <v>1325</v>
      </c>
      <c r="K19" s="1">
        <v>1182.5</v>
      </c>
      <c r="M19"/>
    </row>
    <row r="20" spans="1:13" x14ac:dyDescent="0.2">
      <c r="A20" s="7" t="s">
        <v>24</v>
      </c>
      <c r="B20" s="14">
        <v>1335</v>
      </c>
      <c r="C20">
        <v>1212</v>
      </c>
      <c r="D20">
        <v>1335</v>
      </c>
      <c r="E20">
        <v>1192</v>
      </c>
      <c r="F20">
        <v>1315</v>
      </c>
      <c r="G20">
        <v>1192</v>
      </c>
      <c r="H20">
        <v>1315</v>
      </c>
      <c r="I20">
        <v>1212</v>
      </c>
      <c r="J20">
        <v>1325</v>
      </c>
      <c r="K20" s="1">
        <v>1199.5</v>
      </c>
      <c r="M20"/>
    </row>
    <row r="21" spans="1:13" x14ac:dyDescent="0.2">
      <c r="A21" s="7" t="s">
        <v>25</v>
      </c>
      <c r="B21" s="14">
        <v>1335</v>
      </c>
      <c r="C21">
        <v>1234</v>
      </c>
      <c r="D21">
        <v>1335</v>
      </c>
      <c r="E21">
        <v>1214</v>
      </c>
      <c r="F21">
        <v>1315</v>
      </c>
      <c r="G21">
        <v>1214</v>
      </c>
      <c r="H21">
        <v>1315</v>
      </c>
      <c r="I21">
        <v>1234</v>
      </c>
      <c r="J21">
        <v>1325</v>
      </c>
      <c r="K21" s="1">
        <v>1226.5</v>
      </c>
      <c r="M21"/>
    </row>
    <row r="22" spans="1:13" x14ac:dyDescent="0.2">
      <c r="A22" s="7" t="s">
        <v>26</v>
      </c>
      <c r="B22" s="14">
        <v>1335</v>
      </c>
      <c r="C22">
        <v>1256</v>
      </c>
      <c r="D22">
        <v>1335</v>
      </c>
      <c r="E22">
        <v>1236</v>
      </c>
      <c r="F22">
        <v>1315</v>
      </c>
      <c r="G22">
        <v>1236</v>
      </c>
      <c r="H22">
        <v>1315</v>
      </c>
      <c r="I22">
        <v>1256</v>
      </c>
      <c r="J22">
        <v>1325</v>
      </c>
      <c r="K22" s="1">
        <v>1243.5</v>
      </c>
      <c r="M22"/>
    </row>
    <row r="23" spans="1:13" x14ac:dyDescent="0.2">
      <c r="A23" s="7" t="s">
        <v>27</v>
      </c>
      <c r="B23" s="14">
        <v>1335</v>
      </c>
      <c r="C23">
        <v>1278</v>
      </c>
      <c r="D23">
        <v>1335</v>
      </c>
      <c r="E23">
        <v>1258</v>
      </c>
      <c r="F23">
        <v>1315</v>
      </c>
      <c r="G23">
        <v>1258</v>
      </c>
      <c r="H23">
        <v>1315</v>
      </c>
      <c r="I23">
        <v>1278</v>
      </c>
      <c r="J23">
        <v>1325</v>
      </c>
      <c r="K23" s="1">
        <v>1270.5</v>
      </c>
      <c r="M23"/>
    </row>
    <row r="24" spans="1:13" x14ac:dyDescent="0.2">
      <c r="A24" s="7" t="s">
        <v>28</v>
      </c>
      <c r="B24" s="14">
        <v>1335</v>
      </c>
      <c r="C24">
        <v>1300</v>
      </c>
      <c r="D24">
        <v>1335</v>
      </c>
      <c r="E24">
        <v>1280</v>
      </c>
      <c r="F24">
        <v>1315</v>
      </c>
      <c r="G24">
        <v>1280</v>
      </c>
      <c r="H24">
        <v>1315</v>
      </c>
      <c r="I24">
        <v>1300</v>
      </c>
      <c r="J24">
        <v>1325</v>
      </c>
      <c r="K24" s="1">
        <v>1287.5</v>
      </c>
      <c r="M24"/>
    </row>
    <row r="25" spans="1:13" x14ac:dyDescent="0.2">
      <c r="A25" s="7" t="s">
        <v>29</v>
      </c>
      <c r="B25" s="14">
        <v>1303</v>
      </c>
      <c r="C25">
        <v>1055</v>
      </c>
      <c r="D25">
        <v>1303</v>
      </c>
      <c r="E25">
        <v>1035</v>
      </c>
      <c r="F25">
        <v>1283</v>
      </c>
      <c r="G25">
        <v>1035</v>
      </c>
      <c r="H25">
        <v>1283</v>
      </c>
      <c r="I25">
        <v>1055</v>
      </c>
      <c r="J25">
        <v>1293</v>
      </c>
      <c r="K25" s="1">
        <v>1047.5</v>
      </c>
      <c r="M25"/>
    </row>
    <row r="26" spans="1:13" x14ac:dyDescent="0.2">
      <c r="A26" s="7" t="s">
        <v>30</v>
      </c>
      <c r="B26" s="14">
        <v>1303</v>
      </c>
      <c r="C26">
        <v>1077</v>
      </c>
      <c r="D26">
        <v>1303</v>
      </c>
      <c r="E26">
        <v>1057</v>
      </c>
      <c r="F26">
        <v>1283</v>
      </c>
      <c r="G26">
        <v>1057</v>
      </c>
      <c r="H26">
        <v>1283</v>
      </c>
      <c r="I26">
        <v>1077</v>
      </c>
      <c r="J26">
        <v>1293</v>
      </c>
      <c r="K26" s="1">
        <v>1064.5</v>
      </c>
      <c r="M26"/>
    </row>
    <row r="27" spans="1:13" x14ac:dyDescent="0.2">
      <c r="A27" s="7" t="s">
        <v>31</v>
      </c>
      <c r="B27" s="14">
        <v>1303</v>
      </c>
      <c r="C27">
        <v>1099</v>
      </c>
      <c r="D27">
        <v>1303</v>
      </c>
      <c r="E27">
        <v>1079</v>
      </c>
      <c r="F27">
        <v>1283</v>
      </c>
      <c r="G27">
        <v>1079</v>
      </c>
      <c r="H27">
        <v>1283</v>
      </c>
      <c r="I27">
        <v>1099</v>
      </c>
      <c r="J27">
        <v>1293</v>
      </c>
      <c r="K27" s="1">
        <v>1091.5</v>
      </c>
      <c r="M27"/>
    </row>
    <row r="28" spans="1:13" x14ac:dyDescent="0.2">
      <c r="A28" s="7" t="s">
        <v>32</v>
      </c>
      <c r="B28" s="14">
        <v>1303</v>
      </c>
      <c r="C28">
        <v>1121</v>
      </c>
      <c r="D28">
        <v>1303</v>
      </c>
      <c r="E28">
        <v>1101</v>
      </c>
      <c r="F28">
        <v>1283</v>
      </c>
      <c r="G28">
        <v>1101</v>
      </c>
      <c r="H28">
        <v>1283</v>
      </c>
      <c r="I28">
        <v>1121</v>
      </c>
      <c r="J28">
        <v>1293</v>
      </c>
      <c r="K28" s="1">
        <v>1108.5</v>
      </c>
      <c r="M28"/>
    </row>
    <row r="29" spans="1:13" x14ac:dyDescent="0.2">
      <c r="A29" s="7" t="s">
        <v>33</v>
      </c>
      <c r="B29" s="14">
        <v>1303</v>
      </c>
      <c r="C29">
        <v>1143</v>
      </c>
      <c r="D29">
        <v>1303</v>
      </c>
      <c r="E29">
        <v>1123</v>
      </c>
      <c r="F29">
        <v>1283</v>
      </c>
      <c r="G29">
        <v>1123</v>
      </c>
      <c r="H29">
        <v>1283</v>
      </c>
      <c r="I29">
        <v>1143</v>
      </c>
      <c r="J29">
        <v>1293</v>
      </c>
      <c r="K29" s="1">
        <v>1135.5</v>
      </c>
      <c r="M29"/>
    </row>
    <row r="30" spans="1:13" x14ac:dyDescent="0.2">
      <c r="A30" s="7" t="s">
        <v>34</v>
      </c>
      <c r="B30" s="14">
        <v>1303</v>
      </c>
      <c r="C30">
        <v>1168</v>
      </c>
      <c r="D30">
        <v>1303</v>
      </c>
      <c r="E30">
        <v>1148</v>
      </c>
      <c r="F30">
        <v>1283</v>
      </c>
      <c r="G30">
        <v>1148</v>
      </c>
      <c r="H30">
        <v>1283</v>
      </c>
      <c r="I30">
        <v>1168</v>
      </c>
      <c r="J30">
        <v>1293</v>
      </c>
      <c r="K30" s="1">
        <v>1155.5</v>
      </c>
      <c r="M30"/>
    </row>
    <row r="31" spans="1:13" x14ac:dyDescent="0.2">
      <c r="A31" s="7" t="s">
        <v>35</v>
      </c>
      <c r="B31" s="14">
        <v>1303</v>
      </c>
      <c r="C31">
        <v>1190</v>
      </c>
      <c r="D31">
        <v>1303</v>
      </c>
      <c r="E31">
        <v>1170</v>
      </c>
      <c r="F31">
        <v>1283</v>
      </c>
      <c r="G31">
        <v>1170</v>
      </c>
      <c r="H31">
        <v>1283</v>
      </c>
      <c r="I31">
        <v>1190</v>
      </c>
      <c r="J31">
        <v>1293</v>
      </c>
      <c r="K31" s="1">
        <v>1182.5</v>
      </c>
      <c r="M31"/>
    </row>
    <row r="32" spans="1:13" x14ac:dyDescent="0.2">
      <c r="A32" s="7" t="s">
        <v>36</v>
      </c>
      <c r="B32" s="14">
        <v>1303</v>
      </c>
      <c r="C32">
        <v>1212</v>
      </c>
      <c r="D32">
        <v>1303</v>
      </c>
      <c r="E32">
        <v>1192</v>
      </c>
      <c r="F32">
        <v>1283</v>
      </c>
      <c r="G32">
        <v>1192</v>
      </c>
      <c r="H32">
        <v>1283</v>
      </c>
      <c r="I32">
        <v>1212</v>
      </c>
      <c r="J32">
        <v>1293</v>
      </c>
      <c r="K32" s="1">
        <v>1199.5</v>
      </c>
      <c r="M32"/>
    </row>
    <row r="33" spans="1:13" x14ac:dyDescent="0.2">
      <c r="A33" s="7" t="s">
        <v>37</v>
      </c>
      <c r="B33" s="14">
        <v>1303</v>
      </c>
      <c r="C33">
        <v>1234</v>
      </c>
      <c r="D33">
        <v>1303</v>
      </c>
      <c r="E33">
        <v>1214</v>
      </c>
      <c r="F33">
        <v>1283</v>
      </c>
      <c r="G33">
        <v>1214</v>
      </c>
      <c r="H33">
        <v>1283</v>
      </c>
      <c r="I33">
        <v>1234</v>
      </c>
      <c r="J33">
        <v>1293</v>
      </c>
      <c r="K33" s="1">
        <v>1226.5</v>
      </c>
      <c r="M33"/>
    </row>
    <row r="34" spans="1:13" x14ac:dyDescent="0.2">
      <c r="A34" s="7" t="s">
        <v>38</v>
      </c>
      <c r="B34" s="14">
        <v>1303</v>
      </c>
      <c r="C34">
        <v>1256</v>
      </c>
      <c r="D34">
        <v>1303</v>
      </c>
      <c r="E34">
        <v>1236</v>
      </c>
      <c r="F34">
        <v>1283</v>
      </c>
      <c r="G34">
        <v>1236</v>
      </c>
      <c r="H34">
        <v>1283</v>
      </c>
      <c r="I34">
        <v>1256</v>
      </c>
      <c r="J34">
        <v>1293</v>
      </c>
      <c r="K34" s="1">
        <v>1243.5</v>
      </c>
      <c r="M34"/>
    </row>
    <row r="35" spans="1:13" x14ac:dyDescent="0.2">
      <c r="A35" s="7" t="s">
        <v>39</v>
      </c>
      <c r="B35" s="14">
        <v>1303</v>
      </c>
      <c r="C35">
        <v>1278</v>
      </c>
      <c r="D35">
        <v>1303</v>
      </c>
      <c r="E35">
        <v>1258</v>
      </c>
      <c r="F35">
        <v>1283</v>
      </c>
      <c r="G35">
        <v>1258</v>
      </c>
      <c r="H35">
        <v>1283</v>
      </c>
      <c r="I35">
        <v>1278</v>
      </c>
      <c r="J35">
        <v>1293</v>
      </c>
      <c r="K35" s="1">
        <v>1270.5</v>
      </c>
      <c r="M35"/>
    </row>
    <row r="36" spans="1:13" x14ac:dyDescent="0.2">
      <c r="A36" s="7" t="s">
        <v>40</v>
      </c>
      <c r="B36" s="14">
        <v>1278</v>
      </c>
      <c r="C36">
        <v>1055</v>
      </c>
      <c r="D36">
        <v>1278</v>
      </c>
      <c r="E36">
        <v>1035</v>
      </c>
      <c r="F36">
        <v>1258</v>
      </c>
      <c r="G36">
        <v>1035</v>
      </c>
      <c r="H36">
        <v>1258</v>
      </c>
      <c r="I36">
        <v>1055</v>
      </c>
      <c r="J36">
        <v>1268</v>
      </c>
      <c r="K36" s="1">
        <v>1047.5</v>
      </c>
      <c r="M36"/>
    </row>
    <row r="37" spans="1:13" x14ac:dyDescent="0.2">
      <c r="A37" s="7" t="s">
        <v>41</v>
      </c>
      <c r="B37" s="14">
        <v>1278</v>
      </c>
      <c r="C37">
        <v>1077</v>
      </c>
      <c r="D37">
        <v>1278</v>
      </c>
      <c r="E37">
        <v>1057</v>
      </c>
      <c r="F37">
        <v>1258</v>
      </c>
      <c r="G37">
        <v>1057</v>
      </c>
      <c r="H37">
        <v>1258</v>
      </c>
      <c r="I37">
        <v>1077</v>
      </c>
      <c r="J37">
        <v>1268</v>
      </c>
      <c r="K37" s="1">
        <v>1064.5</v>
      </c>
      <c r="M37"/>
    </row>
    <row r="38" spans="1:13" x14ac:dyDescent="0.2">
      <c r="A38" s="7" t="s">
        <v>42</v>
      </c>
      <c r="B38" s="14">
        <v>1278</v>
      </c>
      <c r="C38">
        <v>1099</v>
      </c>
      <c r="D38">
        <v>1278</v>
      </c>
      <c r="E38">
        <v>1079</v>
      </c>
      <c r="F38">
        <v>1258</v>
      </c>
      <c r="G38">
        <v>1079</v>
      </c>
      <c r="H38">
        <v>1258</v>
      </c>
      <c r="I38">
        <v>1099</v>
      </c>
      <c r="J38">
        <v>1268</v>
      </c>
      <c r="K38" s="1">
        <v>1091.5</v>
      </c>
      <c r="M38"/>
    </row>
    <row r="39" spans="1:13" x14ac:dyDescent="0.2">
      <c r="A39" s="7" t="s">
        <v>43</v>
      </c>
      <c r="B39" s="14">
        <v>1278</v>
      </c>
      <c r="C39">
        <v>1121</v>
      </c>
      <c r="D39">
        <v>1278</v>
      </c>
      <c r="E39">
        <v>1101</v>
      </c>
      <c r="F39">
        <v>1258</v>
      </c>
      <c r="G39">
        <v>1101</v>
      </c>
      <c r="H39">
        <v>1258</v>
      </c>
      <c r="I39">
        <v>1121</v>
      </c>
      <c r="J39">
        <v>1268</v>
      </c>
      <c r="K39" s="1">
        <v>1108.5</v>
      </c>
      <c r="M39"/>
    </row>
    <row r="40" spans="1:13" x14ac:dyDescent="0.2">
      <c r="A40" s="7" t="s">
        <v>44</v>
      </c>
      <c r="B40" s="14">
        <v>1278</v>
      </c>
      <c r="C40">
        <v>1143</v>
      </c>
      <c r="D40">
        <v>1278</v>
      </c>
      <c r="E40">
        <v>1123</v>
      </c>
      <c r="F40">
        <v>1258</v>
      </c>
      <c r="G40">
        <v>1123</v>
      </c>
      <c r="H40">
        <v>1258</v>
      </c>
      <c r="I40">
        <v>1143</v>
      </c>
      <c r="J40">
        <v>1268</v>
      </c>
      <c r="K40" s="1">
        <v>1135.5</v>
      </c>
      <c r="M40"/>
    </row>
    <row r="41" spans="1:13" x14ac:dyDescent="0.2">
      <c r="A41" s="7" t="s">
        <v>45</v>
      </c>
      <c r="B41" s="14">
        <v>1278</v>
      </c>
      <c r="C41">
        <v>1168</v>
      </c>
      <c r="D41">
        <v>1278</v>
      </c>
      <c r="E41">
        <v>1148</v>
      </c>
      <c r="F41">
        <v>1258</v>
      </c>
      <c r="G41">
        <v>1148</v>
      </c>
      <c r="H41">
        <v>1258</v>
      </c>
      <c r="I41">
        <v>1168</v>
      </c>
      <c r="J41">
        <v>1268</v>
      </c>
      <c r="K41" s="1">
        <v>1155.5</v>
      </c>
      <c r="M41"/>
    </row>
    <row r="42" spans="1:13" x14ac:dyDescent="0.2">
      <c r="A42" s="7" t="s">
        <v>46</v>
      </c>
      <c r="B42" s="14">
        <v>1278</v>
      </c>
      <c r="C42">
        <v>1190</v>
      </c>
      <c r="D42">
        <v>1278</v>
      </c>
      <c r="E42">
        <v>1170</v>
      </c>
      <c r="F42">
        <v>1258</v>
      </c>
      <c r="G42">
        <v>1170</v>
      </c>
      <c r="H42">
        <v>1258</v>
      </c>
      <c r="I42">
        <v>1190</v>
      </c>
      <c r="J42">
        <v>1268</v>
      </c>
      <c r="K42" s="1">
        <v>1182.5</v>
      </c>
      <c r="M42"/>
    </row>
    <row r="43" spans="1:13" x14ac:dyDescent="0.2">
      <c r="A43" s="7" t="s">
        <v>47</v>
      </c>
      <c r="B43" s="14">
        <v>1278</v>
      </c>
      <c r="C43">
        <v>1212</v>
      </c>
      <c r="D43">
        <v>1278</v>
      </c>
      <c r="E43">
        <v>1192</v>
      </c>
      <c r="F43">
        <v>1258</v>
      </c>
      <c r="G43">
        <v>1192</v>
      </c>
      <c r="H43">
        <v>1258</v>
      </c>
      <c r="I43">
        <v>1212</v>
      </c>
      <c r="J43">
        <v>1268</v>
      </c>
      <c r="K43" s="1">
        <v>1199.5</v>
      </c>
      <c r="M43"/>
    </row>
    <row r="44" spans="1:13" x14ac:dyDescent="0.2">
      <c r="A44" s="7" t="s">
        <v>48</v>
      </c>
      <c r="B44" s="14">
        <v>1278</v>
      </c>
      <c r="C44">
        <v>1234</v>
      </c>
      <c r="D44">
        <v>1278</v>
      </c>
      <c r="E44">
        <v>1214</v>
      </c>
      <c r="F44">
        <v>1258</v>
      </c>
      <c r="G44">
        <v>1214</v>
      </c>
      <c r="H44">
        <v>1258</v>
      </c>
      <c r="I44">
        <v>1234</v>
      </c>
      <c r="J44">
        <v>1268</v>
      </c>
      <c r="K44" s="1">
        <v>1226.5</v>
      </c>
      <c r="M44"/>
    </row>
    <row r="45" spans="1:13" x14ac:dyDescent="0.2">
      <c r="A45" s="7" t="s">
        <v>49</v>
      </c>
      <c r="B45" s="14">
        <v>1278</v>
      </c>
      <c r="C45">
        <v>1256</v>
      </c>
      <c r="D45">
        <v>1278</v>
      </c>
      <c r="E45">
        <v>1236</v>
      </c>
      <c r="F45">
        <v>1258</v>
      </c>
      <c r="G45">
        <v>1236</v>
      </c>
      <c r="H45">
        <v>1258</v>
      </c>
      <c r="I45">
        <v>1256</v>
      </c>
      <c r="J45">
        <v>1268</v>
      </c>
      <c r="K45" s="1">
        <v>1243.5</v>
      </c>
      <c r="M45"/>
    </row>
    <row r="46" spans="1:13" x14ac:dyDescent="0.2">
      <c r="A46" s="7" t="s">
        <v>50</v>
      </c>
      <c r="B46" s="14">
        <v>1278</v>
      </c>
      <c r="C46">
        <v>1278</v>
      </c>
      <c r="D46">
        <v>1278</v>
      </c>
      <c r="E46">
        <v>1258</v>
      </c>
      <c r="F46">
        <v>1258</v>
      </c>
      <c r="G46">
        <v>1258</v>
      </c>
      <c r="H46">
        <v>1258</v>
      </c>
      <c r="I46">
        <v>1278</v>
      </c>
      <c r="J46">
        <v>1268</v>
      </c>
      <c r="K46" s="1">
        <v>1270.5</v>
      </c>
      <c r="M46"/>
    </row>
    <row r="47" spans="1:13" x14ac:dyDescent="0.2">
      <c r="A47" s="7" t="s">
        <v>51</v>
      </c>
      <c r="B47" s="14">
        <v>1278</v>
      </c>
      <c r="C47">
        <v>1033</v>
      </c>
      <c r="D47">
        <v>1278</v>
      </c>
      <c r="E47">
        <v>1023</v>
      </c>
      <c r="F47">
        <v>1258</v>
      </c>
      <c r="G47">
        <v>1023</v>
      </c>
      <c r="H47">
        <v>1258</v>
      </c>
      <c r="I47">
        <v>1033</v>
      </c>
      <c r="K47" s="1"/>
      <c r="M47"/>
    </row>
    <row r="48" spans="1:13" x14ac:dyDescent="0.2">
      <c r="A48" s="7" t="s">
        <v>52</v>
      </c>
      <c r="B48" s="14">
        <v>1246</v>
      </c>
      <c r="C48">
        <v>1033</v>
      </c>
      <c r="D48">
        <v>1246</v>
      </c>
      <c r="E48">
        <v>1013</v>
      </c>
      <c r="F48">
        <v>1226</v>
      </c>
      <c r="G48">
        <v>1013</v>
      </c>
      <c r="H48">
        <v>1226</v>
      </c>
      <c r="I48">
        <v>1033</v>
      </c>
      <c r="J48">
        <v>1236</v>
      </c>
      <c r="K48" s="1">
        <v>1020.5</v>
      </c>
      <c r="M48"/>
    </row>
    <row r="49" spans="1:13" x14ac:dyDescent="0.2">
      <c r="A49" s="7" t="s">
        <v>53</v>
      </c>
      <c r="B49" s="14">
        <v>1246</v>
      </c>
      <c r="C49">
        <v>1055</v>
      </c>
      <c r="D49">
        <v>1246</v>
      </c>
      <c r="E49">
        <v>1035</v>
      </c>
      <c r="F49">
        <v>1226</v>
      </c>
      <c r="G49">
        <v>1035</v>
      </c>
      <c r="H49">
        <v>1226</v>
      </c>
      <c r="I49">
        <v>1055</v>
      </c>
      <c r="J49">
        <v>1236</v>
      </c>
      <c r="K49" s="1">
        <v>1047.5</v>
      </c>
      <c r="M49"/>
    </row>
    <row r="50" spans="1:13" x14ac:dyDescent="0.2">
      <c r="A50" s="7" t="s">
        <v>54</v>
      </c>
      <c r="B50" s="14">
        <v>1246</v>
      </c>
      <c r="C50">
        <v>1077</v>
      </c>
      <c r="D50">
        <v>1246</v>
      </c>
      <c r="E50">
        <v>1057</v>
      </c>
      <c r="F50">
        <v>1226</v>
      </c>
      <c r="G50">
        <v>1057</v>
      </c>
      <c r="H50">
        <v>1226</v>
      </c>
      <c r="I50">
        <v>1077</v>
      </c>
      <c r="J50">
        <v>1236</v>
      </c>
      <c r="K50" s="1">
        <v>1064.5</v>
      </c>
      <c r="M50"/>
    </row>
    <row r="51" spans="1:13" x14ac:dyDescent="0.2">
      <c r="A51" s="7" t="s">
        <v>55</v>
      </c>
      <c r="B51" s="14">
        <v>1246</v>
      </c>
      <c r="C51">
        <v>1099</v>
      </c>
      <c r="D51">
        <v>1246</v>
      </c>
      <c r="E51">
        <v>1079</v>
      </c>
      <c r="F51">
        <v>1226</v>
      </c>
      <c r="G51">
        <v>1079</v>
      </c>
      <c r="H51">
        <v>1226</v>
      </c>
      <c r="I51">
        <v>1099</v>
      </c>
      <c r="J51">
        <v>1236</v>
      </c>
      <c r="K51" s="1">
        <v>1091.5</v>
      </c>
      <c r="M51"/>
    </row>
    <row r="52" spans="1:13" x14ac:dyDescent="0.2">
      <c r="A52" s="7" t="s">
        <v>56</v>
      </c>
      <c r="B52" s="14">
        <v>1246</v>
      </c>
      <c r="C52">
        <v>1121</v>
      </c>
      <c r="D52">
        <v>1246</v>
      </c>
      <c r="E52">
        <v>1101</v>
      </c>
      <c r="F52">
        <v>1226</v>
      </c>
      <c r="G52">
        <v>1101</v>
      </c>
      <c r="H52">
        <v>1226</v>
      </c>
      <c r="I52">
        <v>1121</v>
      </c>
      <c r="J52">
        <v>1236</v>
      </c>
      <c r="K52" s="1">
        <v>1108.5</v>
      </c>
      <c r="M52"/>
    </row>
    <row r="53" spans="1:13" x14ac:dyDescent="0.2">
      <c r="A53" s="7" t="s">
        <v>57</v>
      </c>
      <c r="B53" s="14">
        <v>1246</v>
      </c>
      <c r="C53">
        <v>1143</v>
      </c>
      <c r="D53">
        <v>1246</v>
      </c>
      <c r="E53">
        <v>1123</v>
      </c>
      <c r="F53">
        <v>1226</v>
      </c>
      <c r="G53">
        <v>1123</v>
      </c>
      <c r="H53">
        <v>1226</v>
      </c>
      <c r="I53">
        <v>1143</v>
      </c>
      <c r="J53">
        <v>1236</v>
      </c>
      <c r="K53" s="1">
        <v>1135.5</v>
      </c>
      <c r="M53"/>
    </row>
    <row r="54" spans="1:13" x14ac:dyDescent="0.2">
      <c r="A54" s="7" t="s">
        <v>58</v>
      </c>
      <c r="B54" s="14">
        <v>1246</v>
      </c>
      <c r="C54">
        <v>1168</v>
      </c>
      <c r="D54">
        <v>1246</v>
      </c>
      <c r="E54">
        <v>1148</v>
      </c>
      <c r="F54">
        <v>1226</v>
      </c>
      <c r="G54">
        <v>1148</v>
      </c>
      <c r="H54">
        <v>1226</v>
      </c>
      <c r="I54">
        <v>1168</v>
      </c>
      <c r="J54">
        <v>1236</v>
      </c>
      <c r="K54" s="1">
        <v>1155.5</v>
      </c>
      <c r="M54"/>
    </row>
    <row r="55" spans="1:13" x14ac:dyDescent="0.2">
      <c r="A55" s="7" t="s">
        <v>59</v>
      </c>
      <c r="B55" s="14">
        <v>1246</v>
      </c>
      <c r="C55">
        <v>1190</v>
      </c>
      <c r="D55">
        <v>1246</v>
      </c>
      <c r="E55">
        <v>1170</v>
      </c>
      <c r="F55">
        <v>1226</v>
      </c>
      <c r="G55">
        <v>1170</v>
      </c>
      <c r="H55">
        <v>1226</v>
      </c>
      <c r="I55">
        <v>1190</v>
      </c>
      <c r="J55">
        <v>1236</v>
      </c>
      <c r="K55" s="1">
        <v>1182.5</v>
      </c>
      <c r="M55"/>
    </row>
    <row r="56" spans="1:13" x14ac:dyDescent="0.2">
      <c r="A56" s="7" t="s">
        <v>60</v>
      </c>
      <c r="B56" s="14">
        <v>1246</v>
      </c>
      <c r="C56">
        <v>1212</v>
      </c>
      <c r="D56">
        <v>1246</v>
      </c>
      <c r="E56">
        <v>1192</v>
      </c>
      <c r="F56">
        <v>1226</v>
      </c>
      <c r="G56">
        <v>1192</v>
      </c>
      <c r="H56">
        <v>1226</v>
      </c>
      <c r="I56">
        <v>1212</v>
      </c>
      <c r="J56">
        <v>1236</v>
      </c>
      <c r="K56" s="1">
        <v>1199.5</v>
      </c>
      <c r="M56"/>
    </row>
    <row r="57" spans="1:13" x14ac:dyDescent="0.2">
      <c r="A57" s="7" t="s">
        <v>61</v>
      </c>
      <c r="B57" s="14">
        <v>1246</v>
      </c>
      <c r="C57">
        <v>1234</v>
      </c>
      <c r="D57">
        <v>1246</v>
      </c>
      <c r="E57">
        <v>1214</v>
      </c>
      <c r="F57">
        <v>1226</v>
      </c>
      <c r="G57">
        <v>1214</v>
      </c>
      <c r="H57">
        <v>1226</v>
      </c>
      <c r="I57">
        <v>1234</v>
      </c>
      <c r="J57">
        <v>1236</v>
      </c>
      <c r="K57" s="1">
        <v>1226.5</v>
      </c>
      <c r="M57"/>
    </row>
    <row r="58" spans="1:13" x14ac:dyDescent="0.2">
      <c r="A58" s="7" t="s">
        <v>62</v>
      </c>
      <c r="B58" s="14">
        <v>1246</v>
      </c>
      <c r="C58">
        <v>1256</v>
      </c>
      <c r="D58">
        <v>1246</v>
      </c>
      <c r="E58">
        <v>1236</v>
      </c>
      <c r="F58">
        <v>1226</v>
      </c>
      <c r="G58">
        <v>1236</v>
      </c>
      <c r="H58">
        <v>1226</v>
      </c>
      <c r="I58">
        <v>1256</v>
      </c>
      <c r="J58">
        <v>1236</v>
      </c>
      <c r="K58" s="1">
        <v>1243.5</v>
      </c>
      <c r="M58"/>
    </row>
    <row r="59" spans="1:13" x14ac:dyDescent="0.2">
      <c r="A59" s="7" t="s">
        <v>63</v>
      </c>
      <c r="B59" s="14">
        <v>1246</v>
      </c>
      <c r="C59">
        <v>1278</v>
      </c>
      <c r="D59">
        <v>1246</v>
      </c>
      <c r="E59">
        <v>1258</v>
      </c>
      <c r="F59">
        <v>1226</v>
      </c>
      <c r="G59">
        <v>1258</v>
      </c>
      <c r="H59">
        <v>1226</v>
      </c>
      <c r="I59">
        <v>1278</v>
      </c>
      <c r="J59">
        <v>1236</v>
      </c>
      <c r="K59" s="1">
        <v>1270.5</v>
      </c>
      <c r="M59"/>
    </row>
    <row r="60" spans="1:13" x14ac:dyDescent="0.2">
      <c r="A60" s="7" t="s">
        <v>64</v>
      </c>
      <c r="B60" s="14">
        <v>1221</v>
      </c>
      <c r="C60">
        <v>1033</v>
      </c>
      <c r="D60">
        <v>1221</v>
      </c>
      <c r="E60">
        <v>1013</v>
      </c>
      <c r="F60">
        <v>1201</v>
      </c>
      <c r="G60">
        <v>1013</v>
      </c>
      <c r="H60">
        <v>1201</v>
      </c>
      <c r="I60">
        <v>1033</v>
      </c>
      <c r="J60">
        <v>1211</v>
      </c>
      <c r="K60" s="1">
        <v>1020.5</v>
      </c>
      <c r="M60"/>
    </row>
    <row r="61" spans="1:13" x14ac:dyDescent="0.2">
      <c r="A61" s="7" t="s">
        <v>65</v>
      </c>
      <c r="B61" s="14">
        <v>1221</v>
      </c>
      <c r="C61">
        <v>1055</v>
      </c>
      <c r="D61">
        <v>1221</v>
      </c>
      <c r="E61">
        <v>1035</v>
      </c>
      <c r="F61">
        <v>1201</v>
      </c>
      <c r="G61">
        <v>1035</v>
      </c>
      <c r="H61">
        <v>1201</v>
      </c>
      <c r="I61">
        <v>1055</v>
      </c>
      <c r="J61">
        <v>1211</v>
      </c>
      <c r="K61" s="1">
        <v>1047.5</v>
      </c>
      <c r="M61"/>
    </row>
    <row r="62" spans="1:13" x14ac:dyDescent="0.2">
      <c r="A62" s="7" t="s">
        <v>66</v>
      </c>
      <c r="B62" s="14">
        <v>1221</v>
      </c>
      <c r="C62">
        <v>1077</v>
      </c>
      <c r="D62">
        <v>1221</v>
      </c>
      <c r="E62">
        <v>1057</v>
      </c>
      <c r="F62">
        <v>1201</v>
      </c>
      <c r="G62">
        <v>1057</v>
      </c>
      <c r="H62">
        <v>1201</v>
      </c>
      <c r="I62">
        <v>1077</v>
      </c>
      <c r="J62">
        <v>1211</v>
      </c>
      <c r="K62" s="1">
        <v>1064.5</v>
      </c>
      <c r="M62"/>
    </row>
    <row r="63" spans="1:13" x14ac:dyDescent="0.2">
      <c r="A63" s="7" t="s">
        <v>67</v>
      </c>
      <c r="B63" s="14">
        <v>1221</v>
      </c>
      <c r="C63">
        <v>1099</v>
      </c>
      <c r="D63">
        <v>1221</v>
      </c>
      <c r="E63">
        <v>1079</v>
      </c>
      <c r="F63">
        <v>1201</v>
      </c>
      <c r="G63">
        <v>1079</v>
      </c>
      <c r="H63">
        <v>1201</v>
      </c>
      <c r="I63">
        <v>1099</v>
      </c>
      <c r="J63">
        <v>1211</v>
      </c>
      <c r="K63" s="1">
        <v>1091.5</v>
      </c>
      <c r="M63"/>
    </row>
    <row r="64" spans="1:13" x14ac:dyDescent="0.2">
      <c r="A64" s="7" t="s">
        <v>68</v>
      </c>
      <c r="B64" s="14">
        <v>1221</v>
      </c>
      <c r="C64">
        <v>1121</v>
      </c>
      <c r="D64">
        <v>1221</v>
      </c>
      <c r="E64">
        <v>1101</v>
      </c>
      <c r="F64">
        <v>1201</v>
      </c>
      <c r="G64">
        <v>1101</v>
      </c>
      <c r="H64">
        <v>1201</v>
      </c>
      <c r="I64">
        <v>1121</v>
      </c>
      <c r="J64">
        <v>1211</v>
      </c>
      <c r="K64" s="1">
        <v>1108.5</v>
      </c>
      <c r="M64"/>
    </row>
    <row r="65" spans="1:13" x14ac:dyDescent="0.2">
      <c r="A65" s="7" t="s">
        <v>69</v>
      </c>
      <c r="B65" s="14">
        <v>1221</v>
      </c>
      <c r="C65">
        <v>1143</v>
      </c>
      <c r="D65">
        <v>1221</v>
      </c>
      <c r="E65">
        <v>1123</v>
      </c>
      <c r="F65">
        <v>1211</v>
      </c>
      <c r="G65">
        <v>1123</v>
      </c>
      <c r="H65">
        <v>1211</v>
      </c>
      <c r="I65">
        <v>1143</v>
      </c>
      <c r="K65" s="1"/>
      <c r="M65"/>
    </row>
    <row r="66" spans="1:13" x14ac:dyDescent="0.2">
      <c r="A66" s="7" t="s">
        <v>70</v>
      </c>
      <c r="B66" s="14">
        <v>1221</v>
      </c>
      <c r="C66">
        <v>1168</v>
      </c>
      <c r="D66">
        <v>1221</v>
      </c>
      <c r="E66">
        <v>1148</v>
      </c>
      <c r="F66">
        <v>1201</v>
      </c>
      <c r="G66">
        <v>1148</v>
      </c>
      <c r="H66">
        <v>1201</v>
      </c>
      <c r="I66">
        <v>1168</v>
      </c>
      <c r="J66">
        <v>1211</v>
      </c>
      <c r="K66" s="1">
        <v>1155.5</v>
      </c>
      <c r="M66"/>
    </row>
    <row r="67" spans="1:13" x14ac:dyDescent="0.2">
      <c r="A67" s="7" t="s">
        <v>71</v>
      </c>
      <c r="B67" s="14">
        <v>1221</v>
      </c>
      <c r="C67">
        <v>1190</v>
      </c>
      <c r="D67">
        <v>1221</v>
      </c>
      <c r="E67">
        <v>1170</v>
      </c>
      <c r="F67">
        <v>1201</v>
      </c>
      <c r="G67">
        <v>1170</v>
      </c>
      <c r="H67">
        <v>1201</v>
      </c>
      <c r="I67">
        <v>1190</v>
      </c>
      <c r="J67">
        <v>1211</v>
      </c>
      <c r="K67" s="1">
        <v>1182.5</v>
      </c>
      <c r="M67"/>
    </row>
    <row r="68" spans="1:13" x14ac:dyDescent="0.2">
      <c r="A68" s="7" t="s">
        <v>72</v>
      </c>
      <c r="B68" s="14">
        <v>1221</v>
      </c>
      <c r="C68">
        <v>1212</v>
      </c>
      <c r="D68">
        <v>1221</v>
      </c>
      <c r="E68">
        <v>1192</v>
      </c>
      <c r="F68">
        <v>1201</v>
      </c>
      <c r="G68">
        <v>1192</v>
      </c>
      <c r="H68">
        <v>1201</v>
      </c>
      <c r="I68">
        <v>1212</v>
      </c>
      <c r="J68">
        <v>1211</v>
      </c>
      <c r="K68" s="1">
        <v>1199.5</v>
      </c>
      <c r="M68"/>
    </row>
    <row r="69" spans="1:13" x14ac:dyDescent="0.2">
      <c r="A69" s="7" t="s">
        <v>73</v>
      </c>
      <c r="B69" s="14">
        <v>1221</v>
      </c>
      <c r="C69">
        <v>1234</v>
      </c>
      <c r="D69">
        <v>1221</v>
      </c>
      <c r="E69">
        <v>1214</v>
      </c>
      <c r="F69">
        <v>1201</v>
      </c>
      <c r="G69">
        <v>1214</v>
      </c>
      <c r="H69">
        <v>1201</v>
      </c>
      <c r="I69">
        <v>1234</v>
      </c>
      <c r="J69">
        <v>1211</v>
      </c>
      <c r="K69" s="1">
        <v>1226.5</v>
      </c>
      <c r="M69"/>
    </row>
    <row r="70" spans="1:13" x14ac:dyDescent="0.2">
      <c r="A70" s="7" t="s">
        <v>74</v>
      </c>
      <c r="B70" s="14">
        <v>1221</v>
      </c>
      <c r="C70">
        <v>1256</v>
      </c>
      <c r="D70">
        <v>1221</v>
      </c>
      <c r="E70">
        <v>1236</v>
      </c>
      <c r="F70">
        <v>1201</v>
      </c>
      <c r="G70">
        <v>1236</v>
      </c>
      <c r="H70">
        <v>1201</v>
      </c>
      <c r="I70">
        <v>1256</v>
      </c>
      <c r="J70">
        <v>1211</v>
      </c>
      <c r="K70" s="1">
        <v>1243.5</v>
      </c>
      <c r="M70"/>
    </row>
    <row r="71" spans="1:13" x14ac:dyDescent="0.2">
      <c r="A71" s="7" t="s">
        <v>75</v>
      </c>
      <c r="B71" s="14">
        <v>1221</v>
      </c>
      <c r="C71">
        <v>1278</v>
      </c>
      <c r="D71">
        <v>1221</v>
      </c>
      <c r="E71">
        <v>1258</v>
      </c>
      <c r="F71">
        <v>1201</v>
      </c>
      <c r="G71">
        <v>1258</v>
      </c>
      <c r="H71">
        <v>1201</v>
      </c>
      <c r="I71">
        <v>1278</v>
      </c>
      <c r="J71">
        <v>1211</v>
      </c>
      <c r="K71" s="1">
        <v>1270.5</v>
      </c>
      <c r="M71"/>
    </row>
    <row r="72" spans="1:13" x14ac:dyDescent="0.2">
      <c r="A72" s="7" t="s">
        <v>76</v>
      </c>
      <c r="B72" s="14">
        <v>1169</v>
      </c>
      <c r="C72">
        <v>1033</v>
      </c>
      <c r="D72">
        <v>1169</v>
      </c>
      <c r="E72">
        <v>1013</v>
      </c>
      <c r="F72">
        <v>1149</v>
      </c>
      <c r="G72">
        <v>1013</v>
      </c>
      <c r="H72">
        <v>1149</v>
      </c>
      <c r="I72">
        <v>1033</v>
      </c>
      <c r="J72">
        <v>1159</v>
      </c>
      <c r="K72" s="1">
        <v>1020.5</v>
      </c>
      <c r="M72"/>
    </row>
    <row r="73" spans="1:13" x14ac:dyDescent="0.2">
      <c r="A73" s="7" t="s">
        <v>77</v>
      </c>
      <c r="B73" s="14">
        <v>1169</v>
      </c>
      <c r="C73">
        <v>1055</v>
      </c>
      <c r="D73">
        <v>1169</v>
      </c>
      <c r="E73">
        <v>1035</v>
      </c>
      <c r="F73">
        <v>1149</v>
      </c>
      <c r="G73">
        <v>1035</v>
      </c>
      <c r="H73">
        <v>1149</v>
      </c>
      <c r="I73">
        <v>1055</v>
      </c>
      <c r="J73">
        <v>1159</v>
      </c>
      <c r="K73" s="1">
        <v>1047.5</v>
      </c>
      <c r="M73"/>
    </row>
    <row r="74" spans="1:13" x14ac:dyDescent="0.2">
      <c r="A74" s="7" t="s">
        <v>78</v>
      </c>
      <c r="B74" s="14">
        <v>1169</v>
      </c>
      <c r="C74">
        <v>1077</v>
      </c>
      <c r="D74">
        <v>1169</v>
      </c>
      <c r="E74">
        <v>1057</v>
      </c>
      <c r="F74">
        <v>1149</v>
      </c>
      <c r="G74">
        <v>1057</v>
      </c>
      <c r="H74">
        <v>1149</v>
      </c>
      <c r="I74">
        <v>1077</v>
      </c>
      <c r="J74">
        <v>1159</v>
      </c>
      <c r="K74" s="1">
        <v>1064.5</v>
      </c>
      <c r="M74"/>
    </row>
    <row r="75" spans="1:13" x14ac:dyDescent="0.2">
      <c r="A75" s="7" t="s">
        <v>79</v>
      </c>
      <c r="B75" s="14">
        <v>1169</v>
      </c>
      <c r="C75">
        <v>1099</v>
      </c>
      <c r="D75">
        <v>1169</v>
      </c>
      <c r="E75">
        <v>1079</v>
      </c>
      <c r="F75">
        <v>1149</v>
      </c>
      <c r="G75">
        <v>1079</v>
      </c>
      <c r="H75">
        <v>1149</v>
      </c>
      <c r="I75">
        <v>1099</v>
      </c>
      <c r="J75">
        <v>1159</v>
      </c>
      <c r="K75" s="1">
        <v>1091.5</v>
      </c>
      <c r="M75"/>
    </row>
    <row r="76" spans="1:13" x14ac:dyDescent="0.2">
      <c r="A76" s="7" t="s">
        <v>80</v>
      </c>
      <c r="B76" s="14">
        <v>1144</v>
      </c>
      <c r="C76">
        <v>1033</v>
      </c>
      <c r="D76">
        <v>1144</v>
      </c>
      <c r="E76">
        <v>1013</v>
      </c>
      <c r="F76">
        <v>1124</v>
      </c>
      <c r="G76">
        <v>1013</v>
      </c>
      <c r="H76">
        <v>1124</v>
      </c>
      <c r="I76">
        <v>1033</v>
      </c>
      <c r="J76">
        <v>1134</v>
      </c>
      <c r="K76" s="1">
        <v>1020.5</v>
      </c>
      <c r="M76"/>
    </row>
    <row r="77" spans="1:13" x14ac:dyDescent="0.2">
      <c r="A77" s="7" t="s">
        <v>81</v>
      </c>
      <c r="B77" s="14">
        <v>1144</v>
      </c>
      <c r="C77">
        <v>1055</v>
      </c>
      <c r="D77">
        <v>1144</v>
      </c>
      <c r="E77">
        <v>1035</v>
      </c>
      <c r="F77">
        <v>1124</v>
      </c>
      <c r="G77">
        <v>1035</v>
      </c>
      <c r="H77">
        <v>1124</v>
      </c>
      <c r="I77">
        <v>1055</v>
      </c>
      <c r="J77">
        <v>1134</v>
      </c>
      <c r="K77" s="1">
        <v>1047.5</v>
      </c>
      <c r="M77"/>
    </row>
    <row r="78" spans="1:13" x14ac:dyDescent="0.2">
      <c r="A78" s="7" t="s">
        <v>82</v>
      </c>
      <c r="B78" s="14">
        <v>1144</v>
      </c>
      <c r="C78">
        <v>1077</v>
      </c>
      <c r="D78">
        <v>1144</v>
      </c>
      <c r="E78">
        <v>1057</v>
      </c>
      <c r="F78">
        <v>1124</v>
      </c>
      <c r="G78">
        <v>1057</v>
      </c>
      <c r="H78">
        <v>1124</v>
      </c>
      <c r="I78">
        <v>1077</v>
      </c>
      <c r="J78">
        <v>1134</v>
      </c>
      <c r="K78" s="1">
        <v>1064.5</v>
      </c>
      <c r="M78"/>
    </row>
    <row r="79" spans="1:13" x14ac:dyDescent="0.2">
      <c r="A79" s="7" t="s">
        <v>83</v>
      </c>
      <c r="B79" s="14">
        <v>1144</v>
      </c>
      <c r="C79">
        <v>1099</v>
      </c>
      <c r="D79">
        <v>1144</v>
      </c>
      <c r="E79">
        <v>1079</v>
      </c>
      <c r="F79">
        <v>1124</v>
      </c>
      <c r="G79">
        <v>1079</v>
      </c>
      <c r="H79">
        <v>1124</v>
      </c>
      <c r="I79">
        <v>1099</v>
      </c>
      <c r="J79">
        <v>1134</v>
      </c>
      <c r="K79" s="1">
        <v>1091.5</v>
      </c>
      <c r="M79"/>
    </row>
    <row r="80" spans="1:13" x14ac:dyDescent="0.2">
      <c r="A80" s="7" t="s">
        <v>84</v>
      </c>
      <c r="B80" s="14">
        <v>1112</v>
      </c>
      <c r="C80">
        <v>1033</v>
      </c>
      <c r="D80">
        <v>1112</v>
      </c>
      <c r="E80">
        <v>1013</v>
      </c>
      <c r="F80">
        <v>1092</v>
      </c>
      <c r="G80">
        <v>1013</v>
      </c>
      <c r="H80">
        <v>1092</v>
      </c>
      <c r="I80">
        <v>1033</v>
      </c>
      <c r="J80">
        <v>1102</v>
      </c>
      <c r="K80" s="1">
        <v>1020.5</v>
      </c>
      <c r="M80"/>
    </row>
    <row r="81" spans="1:13" x14ac:dyDescent="0.2">
      <c r="A81" s="7" t="s">
        <v>85</v>
      </c>
      <c r="B81" s="14">
        <v>1112</v>
      </c>
      <c r="C81">
        <v>1055</v>
      </c>
      <c r="D81">
        <v>1112</v>
      </c>
      <c r="E81">
        <v>1035</v>
      </c>
      <c r="F81">
        <v>1092</v>
      </c>
      <c r="G81">
        <v>1035</v>
      </c>
      <c r="H81">
        <v>1092</v>
      </c>
      <c r="I81">
        <v>1055</v>
      </c>
      <c r="J81">
        <v>1102</v>
      </c>
      <c r="K81" s="1">
        <v>1047.5</v>
      </c>
      <c r="M81"/>
    </row>
    <row r="82" spans="1:13" x14ac:dyDescent="0.2">
      <c r="A82" s="7" t="s">
        <v>86</v>
      </c>
      <c r="B82" s="14">
        <v>1112</v>
      </c>
      <c r="C82">
        <v>1077</v>
      </c>
      <c r="D82">
        <v>1112</v>
      </c>
      <c r="E82">
        <v>1057</v>
      </c>
      <c r="F82">
        <v>1092</v>
      </c>
      <c r="G82">
        <v>1057</v>
      </c>
      <c r="H82">
        <v>1092</v>
      </c>
      <c r="I82">
        <v>1077</v>
      </c>
      <c r="J82">
        <v>1102</v>
      </c>
      <c r="K82" s="1">
        <v>1064.5</v>
      </c>
      <c r="M82"/>
    </row>
    <row r="83" spans="1:13" x14ac:dyDescent="0.2">
      <c r="A83" s="7" t="s">
        <v>87</v>
      </c>
      <c r="B83" s="14">
        <v>1112</v>
      </c>
      <c r="C83">
        <v>1099</v>
      </c>
      <c r="D83">
        <v>1112</v>
      </c>
      <c r="E83">
        <v>1079</v>
      </c>
      <c r="F83">
        <v>1092</v>
      </c>
      <c r="G83">
        <v>1079</v>
      </c>
      <c r="H83">
        <v>1092</v>
      </c>
      <c r="I83">
        <v>1099</v>
      </c>
      <c r="J83">
        <v>1102</v>
      </c>
      <c r="K83" s="1">
        <v>1091.5</v>
      </c>
      <c r="M83"/>
    </row>
    <row r="84" spans="1:13" x14ac:dyDescent="0.2">
      <c r="A84" s="7" t="s">
        <v>88</v>
      </c>
      <c r="B84" s="14">
        <v>1087</v>
      </c>
      <c r="C84">
        <v>1033</v>
      </c>
      <c r="D84">
        <v>1087</v>
      </c>
      <c r="E84">
        <v>1013</v>
      </c>
      <c r="F84">
        <v>1067</v>
      </c>
      <c r="G84">
        <v>1013</v>
      </c>
      <c r="H84">
        <v>1067</v>
      </c>
      <c r="I84">
        <v>1033</v>
      </c>
      <c r="J84">
        <v>1077</v>
      </c>
      <c r="K84" s="1">
        <v>1020.5</v>
      </c>
      <c r="M84"/>
    </row>
    <row r="85" spans="1:13" x14ac:dyDescent="0.2">
      <c r="A85" s="7" t="s">
        <v>89</v>
      </c>
      <c r="B85" s="14">
        <v>1087</v>
      </c>
      <c r="C85">
        <v>1055</v>
      </c>
      <c r="D85">
        <v>1087</v>
      </c>
      <c r="E85">
        <v>1035</v>
      </c>
      <c r="F85">
        <v>1067</v>
      </c>
      <c r="G85">
        <v>1035</v>
      </c>
      <c r="H85">
        <v>1067</v>
      </c>
      <c r="I85">
        <v>1055</v>
      </c>
      <c r="J85">
        <v>1077</v>
      </c>
      <c r="K85" s="1">
        <v>1047.5</v>
      </c>
      <c r="M85"/>
    </row>
    <row r="86" spans="1:13" x14ac:dyDescent="0.2">
      <c r="A86" s="7" t="s">
        <v>90</v>
      </c>
      <c r="B86" s="14">
        <v>1087</v>
      </c>
      <c r="C86">
        <v>1077</v>
      </c>
      <c r="D86">
        <v>1087</v>
      </c>
      <c r="E86">
        <v>1057</v>
      </c>
      <c r="F86">
        <v>1067</v>
      </c>
      <c r="G86">
        <v>1057</v>
      </c>
      <c r="H86">
        <v>1067</v>
      </c>
      <c r="I86">
        <v>1077</v>
      </c>
      <c r="J86">
        <v>1077</v>
      </c>
      <c r="K86" s="1">
        <v>1064.5</v>
      </c>
      <c r="M86"/>
    </row>
    <row r="87" spans="1:13" x14ac:dyDescent="0.2">
      <c r="A87" s="7" t="s">
        <v>91</v>
      </c>
      <c r="B87" s="14">
        <v>1087</v>
      </c>
      <c r="C87">
        <v>1099</v>
      </c>
      <c r="D87">
        <v>1087</v>
      </c>
      <c r="E87">
        <v>1079</v>
      </c>
      <c r="F87">
        <v>1067</v>
      </c>
      <c r="G87">
        <v>1079</v>
      </c>
      <c r="H87">
        <v>1067</v>
      </c>
      <c r="I87">
        <v>1099</v>
      </c>
      <c r="J87">
        <v>1077</v>
      </c>
      <c r="K87" s="1">
        <v>1091.5</v>
      </c>
      <c r="M87"/>
    </row>
    <row r="88" spans="1:13" x14ac:dyDescent="0.2">
      <c r="A88" s="7" t="s">
        <v>92</v>
      </c>
      <c r="B88" s="14">
        <v>1055</v>
      </c>
      <c r="C88">
        <v>1033</v>
      </c>
      <c r="D88">
        <v>1055</v>
      </c>
      <c r="E88">
        <v>1013</v>
      </c>
      <c r="F88">
        <v>1035</v>
      </c>
      <c r="G88">
        <v>1013</v>
      </c>
      <c r="H88">
        <v>1035</v>
      </c>
      <c r="I88">
        <v>1033</v>
      </c>
      <c r="J88">
        <v>1045</v>
      </c>
      <c r="K88" s="1">
        <v>1020.5</v>
      </c>
      <c r="M88"/>
    </row>
    <row r="89" spans="1:13" x14ac:dyDescent="0.2">
      <c r="A89" s="7" t="s">
        <v>93</v>
      </c>
      <c r="B89" s="14">
        <v>1055</v>
      </c>
      <c r="C89">
        <v>1055</v>
      </c>
      <c r="D89">
        <v>1055</v>
      </c>
      <c r="E89">
        <v>1035</v>
      </c>
      <c r="F89">
        <v>1035</v>
      </c>
      <c r="G89">
        <v>1035</v>
      </c>
      <c r="H89">
        <v>1035</v>
      </c>
      <c r="I89">
        <v>1055</v>
      </c>
      <c r="J89">
        <v>1045</v>
      </c>
      <c r="K89" s="1">
        <v>1047.5</v>
      </c>
      <c r="M89"/>
    </row>
    <row r="90" spans="1:13" x14ac:dyDescent="0.2">
      <c r="A90" s="7" t="s">
        <v>94</v>
      </c>
      <c r="B90" s="14">
        <v>1055</v>
      </c>
      <c r="C90">
        <v>1077</v>
      </c>
      <c r="D90">
        <v>1055</v>
      </c>
      <c r="E90">
        <v>1057</v>
      </c>
      <c r="F90">
        <v>1035</v>
      </c>
      <c r="G90">
        <v>1057</v>
      </c>
      <c r="H90">
        <v>1035</v>
      </c>
      <c r="I90">
        <v>1077</v>
      </c>
      <c r="J90">
        <v>1045</v>
      </c>
      <c r="K90" s="1">
        <v>1064.5</v>
      </c>
      <c r="M90"/>
    </row>
    <row r="91" spans="1:13" x14ac:dyDescent="0.2">
      <c r="A91" s="7" t="s">
        <v>95</v>
      </c>
      <c r="B91" s="14">
        <v>1055</v>
      </c>
      <c r="C91">
        <v>1099</v>
      </c>
      <c r="D91">
        <v>1055</v>
      </c>
      <c r="E91">
        <v>1079</v>
      </c>
      <c r="F91">
        <v>1035</v>
      </c>
      <c r="G91">
        <v>1079</v>
      </c>
      <c r="H91">
        <v>1035</v>
      </c>
      <c r="I91">
        <v>1099</v>
      </c>
      <c r="J91">
        <v>1045</v>
      </c>
      <c r="K91" s="1">
        <v>1091.5</v>
      </c>
      <c r="M91"/>
    </row>
    <row r="92" spans="1:13" x14ac:dyDescent="0.2">
      <c r="A92" s="7" t="s">
        <v>96</v>
      </c>
      <c r="B92" s="14">
        <v>1030</v>
      </c>
      <c r="C92">
        <v>1033</v>
      </c>
      <c r="D92">
        <v>1030</v>
      </c>
      <c r="E92">
        <v>1013</v>
      </c>
      <c r="F92">
        <v>1010</v>
      </c>
      <c r="G92">
        <v>1013</v>
      </c>
      <c r="H92">
        <v>1010</v>
      </c>
      <c r="I92">
        <v>1033</v>
      </c>
      <c r="J92">
        <v>1020</v>
      </c>
      <c r="K92" s="1">
        <v>1020.5</v>
      </c>
      <c r="M92"/>
    </row>
    <row r="93" spans="1:13" x14ac:dyDescent="0.2">
      <c r="A93" s="7" t="s">
        <v>97</v>
      </c>
      <c r="B93" s="14">
        <v>1030</v>
      </c>
      <c r="C93">
        <v>1055</v>
      </c>
      <c r="D93">
        <v>1030</v>
      </c>
      <c r="E93">
        <v>1035</v>
      </c>
      <c r="F93">
        <v>1010</v>
      </c>
      <c r="G93">
        <v>1035</v>
      </c>
      <c r="H93">
        <v>1010</v>
      </c>
      <c r="I93">
        <v>1055</v>
      </c>
      <c r="J93">
        <v>1020</v>
      </c>
      <c r="K93" s="1">
        <v>1047.5</v>
      </c>
      <c r="M93"/>
    </row>
    <row r="94" spans="1:13" x14ac:dyDescent="0.2">
      <c r="A94" s="7" t="s">
        <v>98</v>
      </c>
      <c r="B94" s="14">
        <v>1030</v>
      </c>
      <c r="C94">
        <v>1077</v>
      </c>
      <c r="D94">
        <v>1030</v>
      </c>
      <c r="E94">
        <v>1057</v>
      </c>
      <c r="F94">
        <v>1010</v>
      </c>
      <c r="G94">
        <v>1057</v>
      </c>
      <c r="H94">
        <v>1010</v>
      </c>
      <c r="I94">
        <v>1077</v>
      </c>
      <c r="J94">
        <v>1020</v>
      </c>
      <c r="K94" s="1">
        <v>1064.5</v>
      </c>
      <c r="M94"/>
    </row>
    <row r="95" spans="1:13" x14ac:dyDescent="0.2">
      <c r="A95" s="7"/>
      <c r="B95"/>
      <c r="C95"/>
      <c r="K95" s="1"/>
      <c r="M95"/>
    </row>
    <row r="96" spans="1:13" x14ac:dyDescent="0.2">
      <c r="A96" s="7"/>
      <c r="B96"/>
      <c r="C96"/>
      <c r="K96" s="1"/>
      <c r="M96"/>
    </row>
    <row r="97" spans="1:13" x14ac:dyDescent="0.2">
      <c r="A97" s="7"/>
      <c r="B97"/>
      <c r="C97"/>
      <c r="K97" s="1"/>
      <c r="M97"/>
    </row>
    <row r="98" spans="1:13" x14ac:dyDescent="0.2">
      <c r="A98" s="7"/>
      <c r="B98"/>
      <c r="C98"/>
      <c r="K98" s="1"/>
      <c r="M98"/>
    </row>
    <row r="99" spans="1:13" x14ac:dyDescent="0.2">
      <c r="A99" s="7"/>
      <c r="B99"/>
      <c r="C99"/>
      <c r="K99" s="1"/>
      <c r="M99"/>
    </row>
    <row r="100" spans="1:13" x14ac:dyDescent="0.2">
      <c r="A100" s="7"/>
      <c r="B100"/>
      <c r="C100"/>
      <c r="K100" s="1"/>
      <c r="M100"/>
    </row>
    <row r="101" spans="1:13" x14ac:dyDescent="0.2">
      <c r="A101" s="7"/>
      <c r="B101"/>
      <c r="C101"/>
      <c r="K101" s="1"/>
      <c r="M101"/>
    </row>
    <row r="102" spans="1:13" x14ac:dyDescent="0.2">
      <c r="A102" s="7"/>
      <c r="B102"/>
      <c r="C102"/>
      <c r="K102" s="1"/>
      <c r="M102"/>
    </row>
    <row r="103" spans="1:13" x14ac:dyDescent="0.2">
      <c r="A103" s="7"/>
      <c r="B103"/>
      <c r="C103"/>
      <c r="K103" s="1"/>
      <c r="M103"/>
    </row>
    <row r="104" spans="1:13" x14ac:dyDescent="0.2">
      <c r="A104" s="7"/>
      <c r="B104"/>
      <c r="C104"/>
      <c r="K104" s="1"/>
      <c r="M104"/>
    </row>
    <row r="105" spans="1:13" x14ac:dyDescent="0.2">
      <c r="A105" s="7"/>
      <c r="B105"/>
      <c r="C105"/>
      <c r="K105" s="1"/>
      <c r="M105"/>
    </row>
    <row r="106" spans="1:13" x14ac:dyDescent="0.2">
      <c r="A106" s="7"/>
      <c r="B106"/>
      <c r="C106"/>
      <c r="K106" s="1"/>
      <c r="M106"/>
    </row>
    <row r="107" spans="1:13" x14ac:dyDescent="0.2">
      <c r="A107" s="7"/>
      <c r="B107"/>
      <c r="C107"/>
      <c r="K107" s="1"/>
      <c r="M107"/>
    </row>
    <row r="108" spans="1:13" x14ac:dyDescent="0.2">
      <c r="A108" s="7"/>
      <c r="B108"/>
      <c r="C108"/>
      <c r="K108" s="1"/>
      <c r="M108"/>
    </row>
    <row r="109" spans="1:13" x14ac:dyDescent="0.2">
      <c r="A109" s="7"/>
      <c r="B109"/>
      <c r="C109"/>
      <c r="K109" s="1"/>
      <c r="M109"/>
    </row>
    <row r="110" spans="1:13" x14ac:dyDescent="0.2">
      <c r="A110" s="7"/>
      <c r="B110"/>
      <c r="C110"/>
      <c r="K110" s="1"/>
      <c r="M110"/>
    </row>
    <row r="111" spans="1:13" x14ac:dyDescent="0.2">
      <c r="A111" s="7"/>
      <c r="B111"/>
      <c r="C111"/>
      <c r="K111" s="1"/>
      <c r="M111"/>
    </row>
    <row r="112" spans="1:13" x14ac:dyDescent="0.2">
      <c r="A112" s="7"/>
      <c r="B112"/>
      <c r="C112"/>
      <c r="K112" s="1"/>
      <c r="M112"/>
    </row>
    <row r="113" spans="1:13" x14ac:dyDescent="0.2">
      <c r="A113" s="7"/>
      <c r="B113"/>
      <c r="C113"/>
      <c r="K113" s="1"/>
      <c r="M113"/>
    </row>
    <row r="114" spans="1:13" x14ac:dyDescent="0.2">
      <c r="A114" s="7"/>
      <c r="B114"/>
      <c r="C114"/>
      <c r="K114" s="1"/>
      <c r="M114"/>
    </row>
    <row r="115" spans="1:13" x14ac:dyDescent="0.2">
      <c r="A115" s="7"/>
      <c r="B115"/>
      <c r="C115"/>
      <c r="K115" s="1"/>
      <c r="M115"/>
    </row>
    <row r="116" spans="1:13" x14ac:dyDescent="0.2">
      <c r="A116" s="7"/>
      <c r="B116"/>
      <c r="C116"/>
      <c r="K116" s="1"/>
      <c r="M116"/>
    </row>
    <row r="117" spans="1:13" x14ac:dyDescent="0.2">
      <c r="A117" s="7"/>
      <c r="B117"/>
      <c r="C117"/>
      <c r="K117" s="1"/>
      <c r="M117"/>
    </row>
    <row r="118" spans="1:13" x14ac:dyDescent="0.2">
      <c r="A118" s="7"/>
      <c r="B118"/>
      <c r="C118"/>
      <c r="K118" s="1"/>
      <c r="M118"/>
    </row>
    <row r="119" spans="1:13" x14ac:dyDescent="0.2">
      <c r="A119" s="7"/>
      <c r="B119"/>
      <c r="C119"/>
      <c r="K119" s="1"/>
      <c r="M119"/>
    </row>
    <row r="120" spans="1:13" x14ac:dyDescent="0.2">
      <c r="A120" s="7"/>
      <c r="B120"/>
      <c r="C120"/>
      <c r="K120" s="1"/>
      <c r="M120"/>
    </row>
    <row r="121" spans="1:13" x14ac:dyDescent="0.2">
      <c r="A121" s="7"/>
      <c r="B121"/>
      <c r="C121"/>
      <c r="K121" s="1"/>
      <c r="M121"/>
    </row>
    <row r="122" spans="1:13" x14ac:dyDescent="0.2">
      <c r="A122" s="7"/>
      <c r="B122"/>
      <c r="C122"/>
      <c r="K122" s="1"/>
      <c r="M122"/>
    </row>
    <row r="123" spans="1:13" x14ac:dyDescent="0.2">
      <c r="A123" s="7"/>
      <c r="B123"/>
      <c r="C123"/>
      <c r="K123" s="1"/>
      <c r="M123"/>
    </row>
    <row r="124" spans="1:13" x14ac:dyDescent="0.2">
      <c r="A124" s="7"/>
      <c r="B124"/>
      <c r="C124"/>
      <c r="K124" s="1"/>
      <c r="M124"/>
    </row>
    <row r="125" spans="1:13" x14ac:dyDescent="0.2">
      <c r="A125" s="7"/>
      <c r="B125"/>
      <c r="C125"/>
      <c r="K125" s="1"/>
      <c r="M125"/>
    </row>
    <row r="126" spans="1:13" x14ac:dyDescent="0.2">
      <c r="A126" s="7"/>
      <c r="B126"/>
      <c r="C126"/>
      <c r="K126" s="1"/>
      <c r="M126"/>
    </row>
    <row r="127" spans="1:13" x14ac:dyDescent="0.2">
      <c r="A127" s="7"/>
      <c r="B127"/>
      <c r="C127"/>
      <c r="K127" s="1"/>
      <c r="M127"/>
    </row>
    <row r="128" spans="1:13" x14ac:dyDescent="0.2">
      <c r="A128" s="7"/>
      <c r="B128"/>
      <c r="C128"/>
      <c r="K128" s="1"/>
      <c r="M128"/>
    </row>
    <row r="129" spans="1:13" x14ac:dyDescent="0.2">
      <c r="A129" s="7"/>
      <c r="B129"/>
      <c r="C129"/>
      <c r="K129" s="1"/>
      <c r="M129"/>
    </row>
    <row r="130" spans="1:13" x14ac:dyDescent="0.2">
      <c r="A130" s="7"/>
      <c r="B130"/>
      <c r="C130"/>
      <c r="K130" s="1"/>
      <c r="M130"/>
    </row>
    <row r="131" spans="1:13" x14ac:dyDescent="0.2">
      <c r="A131" s="7"/>
      <c r="B131"/>
      <c r="C131"/>
      <c r="K131" s="1"/>
      <c r="M131"/>
    </row>
    <row r="132" spans="1:13" x14ac:dyDescent="0.2">
      <c r="A132" s="7"/>
      <c r="B132"/>
      <c r="C132"/>
      <c r="K132" s="1"/>
      <c r="M132"/>
    </row>
    <row r="133" spans="1:13" x14ac:dyDescent="0.2">
      <c r="A133" s="7"/>
      <c r="B133"/>
      <c r="C133"/>
      <c r="K133" s="1"/>
      <c r="M133"/>
    </row>
    <row r="134" spans="1:13" x14ac:dyDescent="0.2">
      <c r="A134" s="7"/>
      <c r="B134"/>
      <c r="C134"/>
      <c r="K134" s="1"/>
      <c r="M134"/>
    </row>
    <row r="135" spans="1:13" x14ac:dyDescent="0.2">
      <c r="A135" s="7"/>
      <c r="B135"/>
      <c r="C135"/>
      <c r="K135" s="1"/>
      <c r="M135"/>
    </row>
    <row r="136" spans="1:13" x14ac:dyDescent="0.2">
      <c r="A136" s="7"/>
      <c r="B136"/>
      <c r="C136"/>
      <c r="K136" s="1"/>
      <c r="M136"/>
    </row>
    <row r="137" spans="1:13" x14ac:dyDescent="0.2">
      <c r="A137" s="7"/>
      <c r="B137"/>
      <c r="C137"/>
      <c r="K137" s="1"/>
      <c r="M137"/>
    </row>
    <row r="138" spans="1:13" x14ac:dyDescent="0.2">
      <c r="A138" s="7"/>
      <c r="B138"/>
      <c r="C138"/>
      <c r="K138" s="1"/>
      <c r="M138"/>
    </row>
    <row r="139" spans="1:13" x14ac:dyDescent="0.2">
      <c r="A139" s="7"/>
      <c r="B139"/>
      <c r="C139"/>
      <c r="K139" s="1"/>
      <c r="M139"/>
    </row>
    <row r="140" spans="1:13" x14ac:dyDescent="0.2">
      <c r="A140" s="7"/>
      <c r="B140"/>
      <c r="C140"/>
      <c r="K140" s="1"/>
      <c r="M140"/>
    </row>
    <row r="141" spans="1:13" x14ac:dyDescent="0.2">
      <c r="A141" s="7"/>
      <c r="B141"/>
      <c r="C141"/>
      <c r="K141" s="1"/>
      <c r="M141"/>
    </row>
    <row r="142" spans="1:13" x14ac:dyDescent="0.2">
      <c r="A142" s="7"/>
      <c r="B142"/>
      <c r="C142"/>
      <c r="K142" s="1"/>
      <c r="M142"/>
    </row>
    <row r="143" spans="1:13" x14ac:dyDescent="0.2">
      <c r="A143" s="7"/>
      <c r="B143"/>
      <c r="C143"/>
      <c r="K143" s="1"/>
      <c r="M143"/>
    </row>
    <row r="144" spans="1:13" x14ac:dyDescent="0.2">
      <c r="A144" s="7"/>
      <c r="B144"/>
      <c r="C144"/>
      <c r="K144" s="1"/>
      <c r="M144"/>
    </row>
    <row r="145" spans="1:13" x14ac:dyDescent="0.2">
      <c r="A145" s="7"/>
      <c r="B145"/>
      <c r="C145"/>
      <c r="K145" s="1"/>
      <c r="M145"/>
    </row>
    <row r="146" spans="1:13" x14ac:dyDescent="0.2">
      <c r="A146" s="7"/>
      <c r="B146"/>
      <c r="C146"/>
      <c r="K146" s="1"/>
      <c r="M146"/>
    </row>
    <row r="147" spans="1:13" x14ac:dyDescent="0.2">
      <c r="A147" s="7"/>
      <c r="B147"/>
      <c r="C147"/>
      <c r="K147" s="1"/>
      <c r="M147"/>
    </row>
    <row r="148" spans="1:13" x14ac:dyDescent="0.2">
      <c r="A148" s="7"/>
      <c r="B148"/>
      <c r="C148"/>
      <c r="K148" s="1"/>
      <c r="M148"/>
    </row>
    <row r="149" spans="1:13" x14ac:dyDescent="0.2">
      <c r="A149" s="7"/>
      <c r="B149"/>
      <c r="C149"/>
      <c r="K149" s="1"/>
      <c r="M149"/>
    </row>
    <row r="150" spans="1:13" x14ac:dyDescent="0.2">
      <c r="A150" s="7"/>
      <c r="B150"/>
      <c r="C150"/>
      <c r="K150" s="1"/>
      <c r="M150"/>
    </row>
    <row r="151" spans="1:13" x14ac:dyDescent="0.2">
      <c r="A151" s="7"/>
      <c r="B151"/>
      <c r="C151"/>
      <c r="K151" s="1"/>
      <c r="M151"/>
    </row>
    <row r="152" spans="1:13" x14ac:dyDescent="0.2">
      <c r="A152" s="7"/>
      <c r="B152"/>
      <c r="C152"/>
      <c r="K152" s="1"/>
      <c r="M152"/>
    </row>
    <row r="153" spans="1:13" x14ac:dyDescent="0.2">
      <c r="A153" s="7"/>
      <c r="B153"/>
      <c r="C153"/>
      <c r="K153" s="1"/>
      <c r="M153"/>
    </row>
    <row r="154" spans="1:13" x14ac:dyDescent="0.2">
      <c r="A154" s="7"/>
      <c r="B154"/>
      <c r="C154"/>
      <c r="K154" s="1"/>
      <c r="M154"/>
    </row>
    <row r="155" spans="1:13" x14ac:dyDescent="0.2">
      <c r="A155" s="7"/>
      <c r="B155"/>
      <c r="C155"/>
      <c r="K155" s="1"/>
      <c r="M155"/>
    </row>
    <row r="156" spans="1:13" x14ac:dyDescent="0.2">
      <c r="A156" s="7"/>
      <c r="B156"/>
      <c r="C156"/>
      <c r="K156" s="1"/>
      <c r="M156"/>
    </row>
    <row r="157" spans="1:13" x14ac:dyDescent="0.2">
      <c r="A157" s="7"/>
      <c r="B157"/>
      <c r="C157"/>
      <c r="K157" s="1"/>
      <c r="M157"/>
    </row>
    <row r="158" spans="1:13" x14ac:dyDescent="0.2">
      <c r="A158" s="7"/>
      <c r="B158"/>
      <c r="C158"/>
      <c r="K158" s="1"/>
      <c r="M158"/>
    </row>
    <row r="159" spans="1:13" x14ac:dyDescent="0.2">
      <c r="A159" s="7"/>
      <c r="B159"/>
      <c r="C159"/>
      <c r="K159" s="1"/>
      <c r="M159"/>
    </row>
    <row r="160" spans="1:13" x14ac:dyDescent="0.2">
      <c r="A160" s="7"/>
      <c r="B160"/>
      <c r="C160"/>
      <c r="K160" s="1"/>
      <c r="M160"/>
    </row>
    <row r="161" spans="1:13" x14ac:dyDescent="0.2">
      <c r="A161" s="7"/>
      <c r="B161"/>
      <c r="C161"/>
      <c r="K161" s="1"/>
      <c r="M161"/>
    </row>
    <row r="162" spans="1:13" x14ac:dyDescent="0.2">
      <c r="A162" s="7"/>
      <c r="B162"/>
      <c r="C162"/>
      <c r="K162" s="1"/>
      <c r="M162"/>
    </row>
    <row r="163" spans="1:13" x14ac:dyDescent="0.2">
      <c r="A163" s="7"/>
      <c r="B163"/>
      <c r="C163"/>
      <c r="K163" s="1"/>
      <c r="M163"/>
    </row>
    <row r="164" spans="1:13" x14ac:dyDescent="0.2">
      <c r="A164" s="7"/>
      <c r="B164"/>
      <c r="C164"/>
      <c r="K164" s="1"/>
      <c r="M164"/>
    </row>
    <row r="165" spans="1:13" x14ac:dyDescent="0.2">
      <c r="A165" s="7"/>
      <c r="B165"/>
      <c r="C165"/>
      <c r="K165" s="1"/>
      <c r="M165"/>
    </row>
    <row r="166" spans="1:13" x14ac:dyDescent="0.2">
      <c r="A166" s="7"/>
      <c r="B166"/>
      <c r="C166"/>
      <c r="K166" s="1"/>
      <c r="M166"/>
    </row>
    <row r="167" spans="1:13" x14ac:dyDescent="0.2">
      <c r="A167" s="7"/>
      <c r="B167"/>
      <c r="C167"/>
      <c r="K167" s="1"/>
      <c r="M167"/>
    </row>
    <row r="168" spans="1:13" x14ac:dyDescent="0.2">
      <c r="A168" s="7"/>
      <c r="B168"/>
      <c r="C168"/>
      <c r="K168" s="1"/>
      <c r="M168"/>
    </row>
    <row r="169" spans="1:13" x14ac:dyDescent="0.2">
      <c r="A169" s="7"/>
      <c r="B169"/>
      <c r="C169"/>
      <c r="K169" s="1"/>
      <c r="M169"/>
    </row>
    <row r="170" spans="1:13" x14ac:dyDescent="0.2">
      <c r="A170" s="7"/>
      <c r="B170"/>
      <c r="C170"/>
      <c r="K170" s="1"/>
      <c r="M170"/>
    </row>
    <row r="171" spans="1:13" x14ac:dyDescent="0.2">
      <c r="A171" s="7"/>
      <c r="B171"/>
      <c r="C171"/>
      <c r="K171" s="1"/>
      <c r="M171"/>
    </row>
    <row r="172" spans="1:13" x14ac:dyDescent="0.2">
      <c r="A172" s="7"/>
      <c r="B172"/>
      <c r="C172"/>
      <c r="K172" s="1"/>
      <c r="M172"/>
    </row>
    <row r="173" spans="1:13" x14ac:dyDescent="0.2">
      <c r="A173" s="7"/>
      <c r="B173"/>
      <c r="C173"/>
      <c r="K173" s="1"/>
      <c r="M173"/>
    </row>
    <row r="174" spans="1:13" x14ac:dyDescent="0.2">
      <c r="A174" s="7"/>
      <c r="B174"/>
      <c r="C174"/>
      <c r="K174" s="1"/>
      <c r="M174"/>
    </row>
    <row r="175" spans="1:13" x14ac:dyDescent="0.2">
      <c r="A175" s="7"/>
      <c r="B175"/>
      <c r="C175"/>
      <c r="K175" s="1"/>
      <c r="M175"/>
    </row>
    <row r="176" spans="1:13" x14ac:dyDescent="0.2">
      <c r="A176" s="7"/>
      <c r="B176"/>
      <c r="C176"/>
      <c r="K176" s="1"/>
      <c r="M176"/>
    </row>
    <row r="177" spans="1:13" x14ac:dyDescent="0.2">
      <c r="A177" s="7"/>
      <c r="B177"/>
      <c r="C177"/>
      <c r="K177" s="1"/>
      <c r="M177"/>
    </row>
    <row r="178" spans="1:13" x14ac:dyDescent="0.2">
      <c r="A178" s="7"/>
      <c r="B178"/>
      <c r="C178"/>
      <c r="K178" s="1"/>
      <c r="M178"/>
    </row>
    <row r="179" spans="1:13" x14ac:dyDescent="0.2">
      <c r="A179" s="7"/>
      <c r="B179"/>
      <c r="C179"/>
      <c r="K179" s="1"/>
      <c r="M179"/>
    </row>
    <row r="180" spans="1:13" x14ac:dyDescent="0.2">
      <c r="A180" s="7"/>
      <c r="B180"/>
      <c r="C180"/>
      <c r="K180" s="1"/>
      <c r="M180"/>
    </row>
    <row r="181" spans="1:13" x14ac:dyDescent="0.2">
      <c r="A181" s="7"/>
      <c r="B181"/>
      <c r="C181"/>
      <c r="K181" s="1"/>
      <c r="M181"/>
    </row>
    <row r="182" spans="1:13" x14ac:dyDescent="0.2">
      <c r="A182" s="7"/>
      <c r="B182"/>
      <c r="C182"/>
      <c r="K182" s="1"/>
      <c r="M182"/>
    </row>
    <row r="183" spans="1:13" x14ac:dyDescent="0.2">
      <c r="A183" s="7"/>
      <c r="B183"/>
      <c r="C183"/>
      <c r="K183" s="1"/>
      <c r="M183"/>
    </row>
    <row r="184" spans="1:13" x14ac:dyDescent="0.2">
      <c r="A184" s="7"/>
      <c r="B184"/>
      <c r="C184"/>
      <c r="K184" s="1"/>
      <c r="M184"/>
    </row>
    <row r="185" spans="1:13" x14ac:dyDescent="0.2">
      <c r="A185" s="7"/>
      <c r="B185"/>
      <c r="C185"/>
      <c r="K185" s="1"/>
      <c r="M185"/>
    </row>
    <row r="186" spans="1:13" x14ac:dyDescent="0.2">
      <c r="A186" s="7"/>
      <c r="B186"/>
      <c r="C186"/>
      <c r="K186" s="1"/>
      <c r="M186"/>
    </row>
    <row r="187" spans="1:13" x14ac:dyDescent="0.2">
      <c r="A187" s="7"/>
      <c r="B187"/>
      <c r="C187"/>
      <c r="K187" s="1"/>
      <c r="M187"/>
    </row>
    <row r="188" spans="1:13" x14ac:dyDescent="0.2">
      <c r="A188" s="7"/>
      <c r="B188"/>
      <c r="C188"/>
      <c r="K188" s="1"/>
      <c r="M188"/>
    </row>
    <row r="189" spans="1:13" x14ac:dyDescent="0.2">
      <c r="A189" s="7"/>
      <c r="B189"/>
      <c r="C189"/>
      <c r="K189" s="1"/>
      <c r="M189"/>
    </row>
    <row r="190" spans="1:13" x14ac:dyDescent="0.2">
      <c r="A190" s="7"/>
      <c r="B190"/>
      <c r="C190"/>
      <c r="K190" s="1"/>
      <c r="M190"/>
    </row>
    <row r="191" spans="1:13" x14ac:dyDescent="0.2">
      <c r="A191" s="7"/>
      <c r="B191"/>
      <c r="C191"/>
      <c r="K191" s="1"/>
      <c r="M191"/>
    </row>
    <row r="192" spans="1:13" x14ac:dyDescent="0.2">
      <c r="A192" s="7"/>
      <c r="B192"/>
      <c r="C192"/>
      <c r="K192" s="1"/>
      <c r="M192"/>
    </row>
    <row r="193" spans="1:13" x14ac:dyDescent="0.2">
      <c r="A193" s="7"/>
      <c r="B193"/>
      <c r="C193"/>
      <c r="K193" s="1"/>
      <c r="M193"/>
    </row>
    <row r="194" spans="1:13" x14ac:dyDescent="0.2">
      <c r="A194" s="7"/>
      <c r="B194"/>
      <c r="C194"/>
      <c r="K194" s="1"/>
      <c r="M194"/>
    </row>
    <row r="195" spans="1:13" x14ac:dyDescent="0.2">
      <c r="A195" s="7"/>
      <c r="B195"/>
      <c r="C195"/>
      <c r="K195" s="1"/>
      <c r="M195"/>
    </row>
    <row r="196" spans="1:13" x14ac:dyDescent="0.2">
      <c r="A196" s="7"/>
      <c r="B196"/>
      <c r="C196"/>
      <c r="K196" s="1"/>
      <c r="M196"/>
    </row>
    <row r="197" spans="1:13" x14ac:dyDescent="0.2">
      <c r="A197" s="7"/>
      <c r="B197"/>
      <c r="C197"/>
      <c r="K197" s="1"/>
      <c r="M197"/>
    </row>
    <row r="198" spans="1:13" x14ac:dyDescent="0.2">
      <c r="A198" s="7"/>
      <c r="B198"/>
      <c r="C198"/>
      <c r="K198" s="1"/>
      <c r="M198"/>
    </row>
    <row r="199" spans="1:13" x14ac:dyDescent="0.2">
      <c r="A199" s="7"/>
      <c r="B199"/>
      <c r="C199"/>
      <c r="K199" s="1"/>
      <c r="M199"/>
    </row>
    <row r="200" spans="1:13" x14ac:dyDescent="0.2">
      <c r="A200" s="7"/>
      <c r="B200"/>
      <c r="C200"/>
      <c r="K200" s="1"/>
      <c r="M200"/>
    </row>
    <row r="201" spans="1:13" x14ac:dyDescent="0.2">
      <c r="A201" s="7"/>
      <c r="B201"/>
      <c r="C201"/>
      <c r="K201" s="1"/>
      <c r="M201"/>
    </row>
    <row r="202" spans="1:13" x14ac:dyDescent="0.2">
      <c r="A202" s="7"/>
      <c r="B202"/>
      <c r="C202"/>
      <c r="K202" s="1"/>
      <c r="M202"/>
    </row>
    <row r="203" spans="1:13" x14ac:dyDescent="0.2">
      <c r="A203" s="7"/>
      <c r="B203"/>
      <c r="C203"/>
      <c r="K203" s="1"/>
      <c r="M203"/>
    </row>
    <row r="204" spans="1:13" x14ac:dyDescent="0.2">
      <c r="A204" s="7"/>
      <c r="B204"/>
      <c r="C204"/>
      <c r="K204" s="1"/>
      <c r="M204"/>
    </row>
    <row r="205" spans="1:13" x14ac:dyDescent="0.2">
      <c r="A205" s="7"/>
      <c r="B205"/>
      <c r="C205"/>
      <c r="K205" s="1"/>
      <c r="M205"/>
    </row>
    <row r="206" spans="1:13" x14ac:dyDescent="0.2">
      <c r="A206" s="7"/>
      <c r="B206"/>
      <c r="C206"/>
      <c r="K206" s="1"/>
      <c r="M206"/>
    </row>
    <row r="207" spans="1:13" x14ac:dyDescent="0.2">
      <c r="A207" s="7"/>
      <c r="B207"/>
      <c r="C207"/>
      <c r="K207" s="1"/>
      <c r="M207"/>
    </row>
    <row r="208" spans="1:13" x14ac:dyDescent="0.2">
      <c r="A208" s="7"/>
      <c r="B208"/>
      <c r="C208"/>
      <c r="K208" s="1"/>
      <c r="M208"/>
    </row>
    <row r="209" spans="1:13" x14ac:dyDescent="0.2">
      <c r="A209" s="7"/>
      <c r="B209"/>
      <c r="C209"/>
      <c r="K209" s="1"/>
      <c r="M209"/>
    </row>
    <row r="210" spans="1:13" x14ac:dyDescent="0.2">
      <c r="A210" s="7"/>
      <c r="B210"/>
      <c r="C210"/>
      <c r="K210" s="1"/>
      <c r="M210"/>
    </row>
    <row r="211" spans="1:13" x14ac:dyDescent="0.2">
      <c r="A211" s="7"/>
      <c r="B211"/>
      <c r="C211"/>
      <c r="K211" s="1"/>
      <c r="M211"/>
    </row>
    <row r="212" spans="1:13" x14ac:dyDescent="0.2">
      <c r="A212" s="7"/>
      <c r="B212"/>
      <c r="C212"/>
      <c r="K212" s="1"/>
      <c r="M212"/>
    </row>
    <row r="213" spans="1:13" x14ac:dyDescent="0.2">
      <c r="A213" s="7"/>
      <c r="B213"/>
      <c r="C213"/>
      <c r="K213" s="1"/>
      <c r="M213"/>
    </row>
    <row r="214" spans="1:13" x14ac:dyDescent="0.2">
      <c r="A214" s="7"/>
      <c r="B214"/>
      <c r="C214"/>
      <c r="K214" s="1"/>
      <c r="M214"/>
    </row>
    <row r="215" spans="1:13" x14ac:dyDescent="0.2">
      <c r="A215" s="7"/>
      <c r="B215"/>
      <c r="C215"/>
      <c r="K215" s="1"/>
      <c r="M215"/>
    </row>
    <row r="216" spans="1:13" x14ac:dyDescent="0.2">
      <c r="A216" s="7"/>
      <c r="B216"/>
      <c r="C216"/>
      <c r="K216" s="1"/>
      <c r="M216"/>
    </row>
    <row r="217" spans="1:13" x14ac:dyDescent="0.2">
      <c r="A217" s="7"/>
      <c r="B217"/>
      <c r="C217"/>
      <c r="K217" s="1"/>
      <c r="M217"/>
    </row>
    <row r="218" spans="1:13" x14ac:dyDescent="0.2">
      <c r="A218" s="7"/>
      <c r="B218"/>
      <c r="C218"/>
      <c r="K218" s="1"/>
      <c r="M218"/>
    </row>
    <row r="219" spans="1:13" x14ac:dyDescent="0.2">
      <c r="A219" s="7"/>
      <c r="B219"/>
      <c r="C219"/>
      <c r="K219" s="1"/>
      <c r="M219"/>
    </row>
    <row r="220" spans="1:13" x14ac:dyDescent="0.2">
      <c r="A220" s="7"/>
      <c r="B220"/>
      <c r="C220"/>
      <c r="K220" s="1"/>
      <c r="M220"/>
    </row>
    <row r="221" spans="1:13" x14ac:dyDescent="0.2">
      <c r="A221" s="7"/>
      <c r="B221"/>
      <c r="C221"/>
      <c r="K221" s="1"/>
      <c r="M221"/>
    </row>
    <row r="222" spans="1:13" x14ac:dyDescent="0.2">
      <c r="A222" s="7"/>
      <c r="B222"/>
      <c r="C222"/>
      <c r="K222" s="1"/>
      <c r="M222"/>
    </row>
    <row r="223" spans="1:13" x14ac:dyDescent="0.2">
      <c r="A223" s="7"/>
      <c r="B223"/>
      <c r="C223"/>
      <c r="K223" s="1"/>
      <c r="M223"/>
    </row>
    <row r="224" spans="1:13" x14ac:dyDescent="0.2">
      <c r="A224" s="7"/>
      <c r="B224"/>
      <c r="C224"/>
      <c r="K224" s="1"/>
      <c r="M224"/>
    </row>
    <row r="225" spans="1:13" x14ac:dyDescent="0.2">
      <c r="A225" s="7"/>
      <c r="B225"/>
      <c r="C225"/>
      <c r="K225" s="1"/>
      <c r="M225"/>
    </row>
    <row r="226" spans="1:13" x14ac:dyDescent="0.2">
      <c r="A226" s="7"/>
      <c r="B226"/>
      <c r="C226"/>
      <c r="K226" s="1"/>
      <c r="M226"/>
    </row>
    <row r="227" spans="1:13" x14ac:dyDescent="0.2">
      <c r="A227" s="7"/>
      <c r="B227"/>
      <c r="C227"/>
      <c r="K227" s="1"/>
      <c r="M227"/>
    </row>
    <row r="228" spans="1:13" x14ac:dyDescent="0.2">
      <c r="A228" s="7"/>
      <c r="B228"/>
      <c r="C228"/>
      <c r="K228" s="1"/>
      <c r="M228"/>
    </row>
    <row r="229" spans="1:13" x14ac:dyDescent="0.2">
      <c r="A229" s="7"/>
      <c r="B229"/>
      <c r="C229"/>
      <c r="K229" s="1"/>
      <c r="M229"/>
    </row>
    <row r="230" spans="1:13" x14ac:dyDescent="0.2">
      <c r="A230" s="7"/>
      <c r="B230"/>
      <c r="C230"/>
      <c r="K230" s="1"/>
      <c r="M230"/>
    </row>
    <row r="231" spans="1:13" x14ac:dyDescent="0.2">
      <c r="A231" s="7"/>
      <c r="B231"/>
      <c r="C231"/>
      <c r="K231" s="1"/>
      <c r="M231"/>
    </row>
    <row r="232" spans="1:13" x14ac:dyDescent="0.2">
      <c r="A232" s="7"/>
      <c r="B232"/>
      <c r="C232"/>
      <c r="K232" s="1"/>
      <c r="M232"/>
    </row>
    <row r="233" spans="1:13" x14ac:dyDescent="0.2">
      <c r="A233" s="7"/>
      <c r="B233"/>
      <c r="C233"/>
      <c r="K233" s="1"/>
      <c r="M233"/>
    </row>
    <row r="234" spans="1:13" x14ac:dyDescent="0.2">
      <c r="A234" s="7"/>
      <c r="B234"/>
      <c r="C234"/>
      <c r="K234" s="1"/>
      <c r="M234"/>
    </row>
    <row r="235" spans="1:13" x14ac:dyDescent="0.2">
      <c r="A235" s="7"/>
      <c r="B235"/>
      <c r="C235"/>
      <c r="K235" s="1"/>
      <c r="M235"/>
    </row>
    <row r="236" spans="1:13" x14ac:dyDescent="0.2">
      <c r="A236" s="7"/>
      <c r="B236"/>
      <c r="C236"/>
      <c r="K236" s="1"/>
      <c r="M236"/>
    </row>
    <row r="237" spans="1:13" x14ac:dyDescent="0.2">
      <c r="A237" s="7"/>
      <c r="B237"/>
      <c r="C237"/>
      <c r="K237" s="1"/>
      <c r="M237"/>
    </row>
    <row r="238" spans="1:13" x14ac:dyDescent="0.2">
      <c r="A238" s="7"/>
      <c r="B238"/>
      <c r="C238"/>
      <c r="K238" s="1"/>
      <c r="M238"/>
    </row>
    <row r="239" spans="1:13" x14ac:dyDescent="0.2">
      <c r="A239" s="7"/>
      <c r="B239"/>
      <c r="C239"/>
      <c r="K239" s="1"/>
      <c r="M239"/>
    </row>
    <row r="240" spans="1:13" x14ac:dyDescent="0.2">
      <c r="A240" s="7"/>
      <c r="B240"/>
      <c r="C240"/>
      <c r="K240" s="1"/>
      <c r="M240"/>
    </row>
    <row r="241" spans="1:13" x14ac:dyDescent="0.2">
      <c r="A241" s="7"/>
      <c r="B241"/>
      <c r="C241"/>
      <c r="K241" s="1"/>
      <c r="M241"/>
    </row>
    <row r="242" spans="1:13" x14ac:dyDescent="0.2">
      <c r="A242" s="7"/>
      <c r="B242"/>
      <c r="C242"/>
      <c r="K242" s="1"/>
      <c r="M242"/>
    </row>
    <row r="243" spans="1:13" x14ac:dyDescent="0.2">
      <c r="A243" s="7"/>
      <c r="B243"/>
      <c r="C243"/>
      <c r="K243" s="1"/>
      <c r="M243"/>
    </row>
    <row r="244" spans="1:13" x14ac:dyDescent="0.2">
      <c r="A244" s="7"/>
      <c r="B244"/>
      <c r="C244"/>
      <c r="K244" s="1"/>
      <c r="M244"/>
    </row>
    <row r="245" spans="1:13" x14ac:dyDescent="0.2">
      <c r="A245" s="7"/>
      <c r="B245"/>
      <c r="C245"/>
      <c r="K245" s="1"/>
      <c r="M245"/>
    </row>
    <row r="246" spans="1:13" x14ac:dyDescent="0.2">
      <c r="A246" s="7"/>
      <c r="B246"/>
      <c r="C246"/>
      <c r="K246" s="1"/>
      <c r="M246"/>
    </row>
    <row r="247" spans="1:13" x14ac:dyDescent="0.2">
      <c r="A247" s="7"/>
      <c r="B247"/>
      <c r="C247"/>
      <c r="K247" s="1"/>
      <c r="M247"/>
    </row>
    <row r="248" spans="1:13" x14ac:dyDescent="0.2">
      <c r="A248" s="7"/>
      <c r="B248"/>
      <c r="C248"/>
      <c r="K248" s="1"/>
      <c r="M248"/>
    </row>
    <row r="249" spans="1:13" x14ac:dyDescent="0.2">
      <c r="A249" s="7"/>
      <c r="B249"/>
      <c r="C249"/>
      <c r="K249" s="1"/>
      <c r="M249"/>
    </row>
    <row r="250" spans="1:13" x14ac:dyDescent="0.2">
      <c r="A250" s="7"/>
      <c r="B250"/>
      <c r="C250"/>
      <c r="K250" s="1"/>
      <c r="M250"/>
    </row>
    <row r="251" spans="1:13" x14ac:dyDescent="0.2">
      <c r="A251" s="7"/>
      <c r="B251"/>
      <c r="C251"/>
      <c r="K251" s="1"/>
      <c r="M251"/>
    </row>
    <row r="252" spans="1:13" x14ac:dyDescent="0.2">
      <c r="A252" s="7"/>
      <c r="B252"/>
      <c r="C252"/>
      <c r="K252" s="1"/>
      <c r="M252"/>
    </row>
    <row r="253" spans="1:13" x14ac:dyDescent="0.2">
      <c r="A253" s="7"/>
      <c r="B253"/>
      <c r="C253"/>
      <c r="K253" s="1"/>
      <c r="M253"/>
    </row>
    <row r="254" spans="1:13" x14ac:dyDescent="0.2">
      <c r="A254" s="7"/>
      <c r="B254"/>
      <c r="C254"/>
      <c r="K254" s="1"/>
      <c r="M254"/>
    </row>
    <row r="255" spans="1:13" x14ac:dyDescent="0.2">
      <c r="A255" s="7"/>
      <c r="B255"/>
      <c r="C255"/>
      <c r="K255" s="1"/>
      <c r="M255"/>
    </row>
    <row r="256" spans="1:13" x14ac:dyDescent="0.2">
      <c r="A256" s="7"/>
      <c r="B256"/>
      <c r="C256"/>
      <c r="K256" s="1"/>
      <c r="M256"/>
    </row>
    <row r="257" spans="1:13" x14ac:dyDescent="0.2">
      <c r="A257" s="7"/>
      <c r="B257"/>
      <c r="C257"/>
      <c r="K257" s="1"/>
      <c r="M257"/>
    </row>
    <row r="258" spans="1:13" x14ac:dyDescent="0.2">
      <c r="A258" s="7"/>
      <c r="B258"/>
      <c r="C258"/>
      <c r="K258" s="1"/>
      <c r="M258"/>
    </row>
    <row r="259" spans="1:13" x14ac:dyDescent="0.2">
      <c r="A259" s="7"/>
      <c r="B259"/>
      <c r="C259"/>
      <c r="K259" s="1"/>
      <c r="M259"/>
    </row>
    <row r="260" spans="1:13" x14ac:dyDescent="0.2">
      <c r="A260" s="7"/>
      <c r="B260"/>
      <c r="C260"/>
      <c r="K260" s="1"/>
      <c r="M260"/>
    </row>
    <row r="261" spans="1:13" x14ac:dyDescent="0.2">
      <c r="A261" s="7"/>
      <c r="B261"/>
      <c r="C261"/>
      <c r="K261" s="1"/>
      <c r="M261"/>
    </row>
    <row r="262" spans="1:13" x14ac:dyDescent="0.2">
      <c r="A262" s="7"/>
      <c r="B262"/>
      <c r="C262"/>
      <c r="K262" s="1"/>
      <c r="M262"/>
    </row>
    <row r="263" spans="1:13" x14ac:dyDescent="0.2">
      <c r="A263" s="7"/>
      <c r="B263"/>
      <c r="C263"/>
      <c r="K263" s="1"/>
      <c r="M263"/>
    </row>
    <row r="264" spans="1:13" x14ac:dyDescent="0.2">
      <c r="A264" s="7"/>
      <c r="B264"/>
      <c r="C264"/>
      <c r="K264" s="1"/>
      <c r="M264"/>
    </row>
    <row r="265" spans="1:13" x14ac:dyDescent="0.2">
      <c r="A265" s="7"/>
      <c r="B265"/>
      <c r="C265"/>
      <c r="K265" s="1"/>
      <c r="M265"/>
    </row>
    <row r="266" spans="1:13" x14ac:dyDescent="0.2">
      <c r="A266" s="7"/>
      <c r="B266"/>
      <c r="C266"/>
      <c r="K266" s="1"/>
      <c r="M266"/>
    </row>
    <row r="267" spans="1:13" x14ac:dyDescent="0.2">
      <c r="A267" s="7"/>
      <c r="B267"/>
      <c r="C267"/>
      <c r="K267" s="1"/>
      <c r="M267"/>
    </row>
    <row r="268" spans="1:13" x14ac:dyDescent="0.2">
      <c r="A268" s="7"/>
      <c r="B268"/>
      <c r="C268"/>
      <c r="K268" s="1"/>
      <c r="M268"/>
    </row>
    <row r="269" spans="1:13" x14ac:dyDescent="0.2">
      <c r="A269" s="7"/>
      <c r="B269"/>
      <c r="C269"/>
      <c r="K269" s="1"/>
      <c r="M269"/>
    </row>
    <row r="270" spans="1:13" x14ac:dyDescent="0.2">
      <c r="A270" s="7"/>
      <c r="B270"/>
      <c r="C270"/>
      <c r="K270" s="1"/>
      <c r="M270"/>
    </row>
    <row r="271" spans="1:13" x14ac:dyDescent="0.2">
      <c r="A271" s="7"/>
      <c r="B271"/>
      <c r="C271"/>
      <c r="K271" s="1"/>
      <c r="M271"/>
    </row>
    <row r="272" spans="1:13" x14ac:dyDescent="0.2">
      <c r="A272" s="7"/>
      <c r="B272"/>
      <c r="C272"/>
      <c r="K272" s="1"/>
      <c r="M272"/>
    </row>
    <row r="273" spans="1:13" x14ac:dyDescent="0.2">
      <c r="A273" s="7"/>
      <c r="B273"/>
      <c r="C273"/>
      <c r="K273" s="1"/>
      <c r="M273"/>
    </row>
    <row r="274" spans="1:13" x14ac:dyDescent="0.2">
      <c r="A274" s="7"/>
      <c r="B274"/>
      <c r="C274"/>
      <c r="K274" s="1"/>
      <c r="M274"/>
    </row>
    <row r="275" spans="1:13" x14ac:dyDescent="0.2">
      <c r="A275" s="7"/>
      <c r="B275"/>
      <c r="C275"/>
      <c r="K275" s="1"/>
      <c r="M275"/>
    </row>
    <row r="276" spans="1:13" x14ac:dyDescent="0.2">
      <c r="A276" s="7"/>
      <c r="B276"/>
      <c r="C276"/>
      <c r="K276" s="1"/>
      <c r="M276"/>
    </row>
    <row r="277" spans="1:13" x14ac:dyDescent="0.2">
      <c r="A277" s="7"/>
      <c r="B277"/>
      <c r="C277"/>
      <c r="K277" s="1"/>
      <c r="M277"/>
    </row>
    <row r="278" spans="1:13" x14ac:dyDescent="0.2">
      <c r="A278" s="7"/>
      <c r="B278"/>
      <c r="C278"/>
      <c r="K278" s="1"/>
      <c r="M278"/>
    </row>
    <row r="279" spans="1:13" x14ac:dyDescent="0.2">
      <c r="A279" s="7"/>
      <c r="B279"/>
      <c r="C279"/>
      <c r="K279" s="1"/>
      <c r="M279"/>
    </row>
    <row r="280" spans="1:13" x14ac:dyDescent="0.2">
      <c r="A280" s="7"/>
      <c r="B280"/>
      <c r="C280"/>
      <c r="K280" s="1"/>
      <c r="M280"/>
    </row>
    <row r="281" spans="1:13" x14ac:dyDescent="0.2">
      <c r="A281" s="7"/>
      <c r="B281"/>
      <c r="C281"/>
      <c r="K281" s="1"/>
      <c r="M281"/>
    </row>
    <row r="282" spans="1:13" x14ac:dyDescent="0.2">
      <c r="A282" s="7"/>
      <c r="B282"/>
      <c r="C282"/>
      <c r="K282" s="1"/>
      <c r="M282"/>
    </row>
    <row r="283" spans="1:13" x14ac:dyDescent="0.2">
      <c r="A283" s="7"/>
      <c r="B283"/>
      <c r="C283"/>
      <c r="K283" s="1"/>
      <c r="M283"/>
    </row>
    <row r="284" spans="1:13" x14ac:dyDescent="0.2">
      <c r="A284" s="7"/>
      <c r="B284"/>
      <c r="C284"/>
      <c r="K284" s="1"/>
      <c r="M284"/>
    </row>
    <row r="285" spans="1:13" x14ac:dyDescent="0.2">
      <c r="A285" s="7"/>
      <c r="B285"/>
      <c r="C285"/>
      <c r="K285" s="1"/>
      <c r="M285"/>
    </row>
    <row r="286" spans="1:13" x14ac:dyDescent="0.2">
      <c r="A286" s="7"/>
      <c r="B286"/>
      <c r="C286"/>
      <c r="K286" s="1"/>
      <c r="M286"/>
    </row>
    <row r="287" spans="1:13" x14ac:dyDescent="0.2">
      <c r="A287" s="7"/>
      <c r="B287"/>
      <c r="C287"/>
      <c r="K287" s="1"/>
      <c r="M287"/>
    </row>
    <row r="288" spans="1:13" x14ac:dyDescent="0.2">
      <c r="A288" s="7"/>
      <c r="B288"/>
      <c r="C288"/>
      <c r="K288" s="1"/>
      <c r="M288"/>
    </row>
    <row r="289" spans="1:13" x14ac:dyDescent="0.2">
      <c r="A289" s="7"/>
      <c r="B289"/>
      <c r="C289"/>
      <c r="K289" s="1"/>
      <c r="M289"/>
    </row>
    <row r="290" spans="1:13" x14ac:dyDescent="0.2">
      <c r="A290" s="7"/>
      <c r="B290"/>
      <c r="C290"/>
      <c r="K290" s="1"/>
      <c r="M290"/>
    </row>
    <row r="291" spans="1:13" x14ac:dyDescent="0.2">
      <c r="A291" s="7"/>
      <c r="B291"/>
      <c r="C291"/>
      <c r="K291" s="1"/>
      <c r="M291"/>
    </row>
    <row r="292" spans="1:13" x14ac:dyDescent="0.2">
      <c r="A292" s="7"/>
      <c r="B292"/>
      <c r="C292"/>
      <c r="K292" s="1"/>
      <c r="M292"/>
    </row>
    <row r="293" spans="1:13" x14ac:dyDescent="0.2">
      <c r="A293" s="7"/>
      <c r="B293"/>
      <c r="C293"/>
      <c r="K293" s="1"/>
      <c r="M293"/>
    </row>
    <row r="294" spans="1:13" x14ac:dyDescent="0.2">
      <c r="A294" s="7"/>
      <c r="B294"/>
      <c r="C294"/>
      <c r="K294" s="1"/>
      <c r="M294"/>
    </row>
    <row r="295" spans="1:13" x14ac:dyDescent="0.2">
      <c r="A295" s="7"/>
      <c r="B295"/>
      <c r="C295"/>
      <c r="K295" s="1"/>
      <c r="M295"/>
    </row>
    <row r="296" spans="1:13" x14ac:dyDescent="0.2">
      <c r="A296" s="7"/>
      <c r="B296"/>
      <c r="C296"/>
      <c r="K296" s="1"/>
      <c r="M296"/>
    </row>
    <row r="297" spans="1:13" x14ac:dyDescent="0.2">
      <c r="A297" s="7"/>
      <c r="B297"/>
      <c r="C297"/>
      <c r="K297" s="1"/>
      <c r="M297"/>
    </row>
    <row r="298" spans="1:13" x14ac:dyDescent="0.2">
      <c r="A298" s="7"/>
      <c r="B298"/>
      <c r="C298"/>
      <c r="K298" s="1"/>
      <c r="M298"/>
    </row>
    <row r="299" spans="1:13" x14ac:dyDescent="0.2">
      <c r="A299" s="7"/>
      <c r="B299"/>
      <c r="C299"/>
      <c r="K299" s="1"/>
      <c r="M299"/>
    </row>
    <row r="300" spans="1:13" x14ac:dyDescent="0.2">
      <c r="A300" s="7"/>
      <c r="B300"/>
      <c r="C300"/>
      <c r="K300" s="1"/>
      <c r="M300"/>
    </row>
    <row r="301" spans="1:13" x14ac:dyDescent="0.2">
      <c r="A301" s="7"/>
      <c r="B301"/>
      <c r="C301"/>
      <c r="K301" s="1"/>
      <c r="M301"/>
    </row>
    <row r="302" spans="1:13" x14ac:dyDescent="0.2">
      <c r="A302" s="7"/>
      <c r="B302"/>
      <c r="C302"/>
      <c r="K302" s="1"/>
      <c r="M302"/>
    </row>
    <row r="303" spans="1:13" x14ac:dyDescent="0.2">
      <c r="A303" s="7"/>
      <c r="B303"/>
      <c r="C303"/>
      <c r="K303" s="1"/>
      <c r="M303"/>
    </row>
    <row r="304" spans="1:13" x14ac:dyDescent="0.2">
      <c r="A304" s="7"/>
      <c r="B304"/>
      <c r="C304"/>
      <c r="K304" s="1"/>
      <c r="M304"/>
    </row>
    <row r="305" spans="1:13" x14ac:dyDescent="0.2">
      <c r="A305" s="7"/>
      <c r="B305"/>
      <c r="C305"/>
      <c r="K305" s="1"/>
      <c r="M305"/>
    </row>
    <row r="306" spans="1:13" x14ac:dyDescent="0.2">
      <c r="A306" s="7"/>
      <c r="B306"/>
      <c r="C306"/>
      <c r="K306" s="1"/>
      <c r="M306"/>
    </row>
    <row r="307" spans="1:13" x14ac:dyDescent="0.2">
      <c r="A307" s="7"/>
      <c r="B307"/>
      <c r="C307"/>
      <c r="K307" s="1"/>
      <c r="M307"/>
    </row>
    <row r="308" spans="1:13" x14ac:dyDescent="0.2">
      <c r="A308" s="7"/>
      <c r="B308"/>
      <c r="C308"/>
      <c r="K308" s="1"/>
      <c r="M308"/>
    </row>
    <row r="309" spans="1:13" x14ac:dyDescent="0.2">
      <c r="A309" s="7"/>
      <c r="B309"/>
      <c r="C309"/>
      <c r="K309" s="1"/>
      <c r="M309"/>
    </row>
    <row r="310" spans="1:13" x14ac:dyDescent="0.2">
      <c r="A310" s="7"/>
      <c r="B310"/>
      <c r="C310"/>
      <c r="K310" s="1"/>
      <c r="M310"/>
    </row>
    <row r="311" spans="1:13" x14ac:dyDescent="0.2">
      <c r="A311" s="7"/>
      <c r="B311"/>
      <c r="C311"/>
      <c r="K311" s="1"/>
      <c r="M311"/>
    </row>
    <row r="312" spans="1:13" x14ac:dyDescent="0.2">
      <c r="A312" s="7"/>
      <c r="B312"/>
      <c r="C312"/>
      <c r="K312" s="1"/>
      <c r="M312"/>
    </row>
    <row r="313" spans="1:13" x14ac:dyDescent="0.2">
      <c r="A313" s="7"/>
      <c r="B313"/>
      <c r="C313"/>
      <c r="K313" s="1"/>
      <c r="M313"/>
    </row>
    <row r="314" spans="1:13" x14ac:dyDescent="0.2">
      <c r="A314" s="7"/>
      <c r="B314"/>
      <c r="C314"/>
      <c r="K314" s="1"/>
      <c r="M314"/>
    </row>
    <row r="315" spans="1:13" x14ac:dyDescent="0.2">
      <c r="A315" s="7"/>
      <c r="B315"/>
      <c r="C315"/>
      <c r="K315" s="1"/>
      <c r="M315"/>
    </row>
    <row r="316" spans="1:13" x14ac:dyDescent="0.2">
      <c r="A316" s="7"/>
      <c r="B316"/>
      <c r="C316"/>
      <c r="K316" s="1"/>
      <c r="M316"/>
    </row>
    <row r="317" spans="1:13" x14ac:dyDescent="0.2">
      <c r="A317" s="7"/>
      <c r="B317"/>
      <c r="C317"/>
      <c r="K317" s="1"/>
      <c r="M317"/>
    </row>
    <row r="318" spans="1:13" x14ac:dyDescent="0.2">
      <c r="A318" s="7"/>
      <c r="B318"/>
      <c r="C318"/>
      <c r="K318" s="1"/>
      <c r="M318"/>
    </row>
    <row r="319" spans="1:13" x14ac:dyDescent="0.2">
      <c r="A319" s="7"/>
      <c r="B319"/>
      <c r="C319"/>
      <c r="K319" s="1"/>
      <c r="M319"/>
    </row>
    <row r="320" spans="1:13" x14ac:dyDescent="0.2">
      <c r="A320" s="7"/>
      <c r="B320"/>
      <c r="C320"/>
      <c r="K320" s="1"/>
      <c r="M320"/>
    </row>
    <row r="321" spans="1:13" x14ac:dyDescent="0.2">
      <c r="A321" s="7"/>
      <c r="B321"/>
      <c r="C321"/>
      <c r="K321" s="1"/>
      <c r="M321"/>
    </row>
    <row r="322" spans="1:13" x14ac:dyDescent="0.2">
      <c r="A322" s="7"/>
      <c r="B322"/>
      <c r="C322"/>
      <c r="K322" s="1"/>
      <c r="M322"/>
    </row>
    <row r="323" spans="1:13" x14ac:dyDescent="0.2">
      <c r="A323" s="7"/>
      <c r="B323"/>
      <c r="C323"/>
      <c r="K323" s="1"/>
      <c r="M323"/>
    </row>
    <row r="324" spans="1:13" x14ac:dyDescent="0.2">
      <c r="A324" s="7"/>
      <c r="B324"/>
      <c r="C324"/>
      <c r="K324" s="1"/>
      <c r="M324"/>
    </row>
    <row r="325" spans="1:13" x14ac:dyDescent="0.2">
      <c r="A325" s="7"/>
      <c r="B325"/>
      <c r="C325"/>
      <c r="K325" s="1"/>
      <c r="M325"/>
    </row>
    <row r="326" spans="1:13" x14ac:dyDescent="0.2">
      <c r="A326" s="7"/>
      <c r="B326"/>
      <c r="C326"/>
      <c r="K326" s="1"/>
      <c r="M326"/>
    </row>
    <row r="327" spans="1:13" x14ac:dyDescent="0.2">
      <c r="A327" s="7"/>
      <c r="B327"/>
      <c r="C327"/>
      <c r="K327" s="1"/>
      <c r="M327"/>
    </row>
    <row r="328" spans="1:13" x14ac:dyDescent="0.2">
      <c r="A328" s="7"/>
      <c r="B328"/>
      <c r="C328"/>
      <c r="K328" s="1"/>
      <c r="M328"/>
    </row>
    <row r="329" spans="1:13" x14ac:dyDescent="0.2">
      <c r="A329" s="7"/>
      <c r="B329"/>
      <c r="C329"/>
      <c r="K329" s="1"/>
      <c r="M329"/>
    </row>
    <row r="330" spans="1:13" x14ac:dyDescent="0.2">
      <c r="A330" s="7"/>
      <c r="B330"/>
      <c r="C330"/>
      <c r="K330" s="1"/>
      <c r="M330"/>
    </row>
    <row r="331" spans="1:13" x14ac:dyDescent="0.2">
      <c r="A331" s="7"/>
      <c r="B331"/>
      <c r="C331"/>
      <c r="K331" s="1"/>
      <c r="M331"/>
    </row>
    <row r="332" spans="1:13" x14ac:dyDescent="0.2">
      <c r="A332" s="7"/>
      <c r="B332"/>
      <c r="C332"/>
      <c r="K332" s="1"/>
      <c r="M332"/>
    </row>
    <row r="333" spans="1:13" x14ac:dyDescent="0.2">
      <c r="A333" s="7"/>
      <c r="B333"/>
      <c r="C333"/>
      <c r="K333" s="1"/>
      <c r="M333"/>
    </row>
    <row r="334" spans="1:13" x14ac:dyDescent="0.2">
      <c r="A334" s="7"/>
      <c r="B334"/>
      <c r="C334"/>
      <c r="K334" s="1"/>
      <c r="M334"/>
    </row>
    <row r="335" spans="1:13" x14ac:dyDescent="0.2">
      <c r="A335" s="7"/>
      <c r="B335"/>
      <c r="C335"/>
      <c r="K335" s="1"/>
      <c r="M335"/>
    </row>
    <row r="336" spans="1:13" x14ac:dyDescent="0.2">
      <c r="A336" s="7"/>
      <c r="B336"/>
      <c r="C336"/>
      <c r="K336" s="1"/>
      <c r="M336"/>
    </row>
    <row r="337" spans="1:13" x14ac:dyDescent="0.2">
      <c r="A337" s="7"/>
      <c r="B337"/>
      <c r="C337"/>
      <c r="K337" s="1"/>
      <c r="M337"/>
    </row>
    <row r="338" spans="1:13" x14ac:dyDescent="0.2">
      <c r="A338" s="7"/>
      <c r="B338"/>
      <c r="C338"/>
      <c r="K338" s="1"/>
      <c r="M338"/>
    </row>
    <row r="339" spans="1:13" x14ac:dyDescent="0.2">
      <c r="A339" s="7"/>
      <c r="B339"/>
      <c r="C339"/>
      <c r="K339" s="1"/>
      <c r="M339"/>
    </row>
    <row r="340" spans="1:13" x14ac:dyDescent="0.2">
      <c r="A340" s="7"/>
      <c r="B340"/>
      <c r="C340"/>
      <c r="K340" s="1"/>
      <c r="M340"/>
    </row>
    <row r="341" spans="1:13" x14ac:dyDescent="0.2">
      <c r="A341" s="7"/>
      <c r="B341"/>
      <c r="C341"/>
      <c r="K341" s="1"/>
      <c r="M341"/>
    </row>
    <row r="342" spans="1:13" x14ac:dyDescent="0.2">
      <c r="A342" s="7"/>
      <c r="B342"/>
      <c r="C342"/>
      <c r="K342" s="1"/>
      <c r="M342"/>
    </row>
    <row r="343" spans="1:13" x14ac:dyDescent="0.2">
      <c r="A343" s="7"/>
      <c r="B343"/>
      <c r="C343"/>
      <c r="K343" s="1"/>
      <c r="M343"/>
    </row>
    <row r="344" spans="1:13" x14ac:dyDescent="0.2">
      <c r="A344" s="7"/>
      <c r="B344"/>
      <c r="C344"/>
      <c r="K344" s="1"/>
      <c r="M344"/>
    </row>
    <row r="345" spans="1:13" x14ac:dyDescent="0.2">
      <c r="A345" s="7"/>
      <c r="B345"/>
      <c r="C345"/>
      <c r="K345" s="1"/>
      <c r="M345"/>
    </row>
    <row r="346" spans="1:13" x14ac:dyDescent="0.2">
      <c r="A346" s="7"/>
      <c r="B346"/>
      <c r="C346"/>
      <c r="K346" s="1"/>
      <c r="M346"/>
    </row>
    <row r="347" spans="1:13" x14ac:dyDescent="0.2">
      <c r="A347" s="7"/>
      <c r="B347"/>
      <c r="C347"/>
      <c r="K347" s="1"/>
      <c r="M347"/>
    </row>
    <row r="348" spans="1:13" x14ac:dyDescent="0.2">
      <c r="A348" s="7"/>
      <c r="B348"/>
      <c r="C348"/>
      <c r="K348" s="1"/>
      <c r="M348"/>
    </row>
    <row r="349" spans="1:13" x14ac:dyDescent="0.2">
      <c r="A349" s="7"/>
      <c r="B349"/>
      <c r="C349"/>
      <c r="K349" s="1"/>
      <c r="M349"/>
    </row>
    <row r="350" spans="1:13" x14ac:dyDescent="0.2">
      <c r="A350" s="7"/>
      <c r="B350"/>
      <c r="C350"/>
      <c r="K350" s="1"/>
      <c r="M350"/>
    </row>
    <row r="351" spans="1:13" x14ac:dyDescent="0.2">
      <c r="A351" s="7"/>
      <c r="B351"/>
      <c r="C351"/>
      <c r="K351" s="1"/>
      <c r="M351"/>
    </row>
    <row r="352" spans="1:13" x14ac:dyDescent="0.2">
      <c r="A352" s="7"/>
      <c r="B352"/>
      <c r="C352"/>
      <c r="K352" s="1"/>
      <c r="M352"/>
    </row>
    <row r="353" spans="1:13" x14ac:dyDescent="0.2">
      <c r="A353" s="7"/>
      <c r="B353"/>
      <c r="C353"/>
      <c r="K353" s="1"/>
      <c r="M353"/>
    </row>
    <row r="354" spans="1:13" x14ac:dyDescent="0.2">
      <c r="A354" s="7"/>
      <c r="B354"/>
      <c r="C354"/>
      <c r="K354" s="1"/>
      <c r="M354"/>
    </row>
    <row r="355" spans="1:13" x14ac:dyDescent="0.2">
      <c r="A355" s="7"/>
      <c r="B355"/>
      <c r="C355"/>
      <c r="K355" s="1"/>
      <c r="M355"/>
    </row>
    <row r="356" spans="1:13" x14ac:dyDescent="0.2">
      <c r="A356" s="7"/>
      <c r="B356"/>
      <c r="C356"/>
      <c r="K356" s="1"/>
      <c r="M356"/>
    </row>
    <row r="357" spans="1:13" x14ac:dyDescent="0.2">
      <c r="A357" s="7"/>
      <c r="B357"/>
      <c r="C357"/>
      <c r="K357" s="1"/>
      <c r="M357"/>
    </row>
    <row r="358" spans="1:13" x14ac:dyDescent="0.2">
      <c r="A358" s="7"/>
      <c r="B358"/>
      <c r="C358"/>
      <c r="K358" s="1"/>
      <c r="M358"/>
    </row>
    <row r="359" spans="1:13" x14ac:dyDescent="0.2">
      <c r="A359" s="7"/>
      <c r="B359"/>
      <c r="C359"/>
      <c r="K359" s="1"/>
      <c r="M359"/>
    </row>
    <row r="360" spans="1:13" x14ac:dyDescent="0.2">
      <c r="A360" s="7"/>
      <c r="B360"/>
      <c r="C360"/>
      <c r="K360" s="1"/>
      <c r="M360"/>
    </row>
    <row r="361" spans="1:13" x14ac:dyDescent="0.2">
      <c r="A361" s="7"/>
      <c r="B361"/>
      <c r="C361"/>
      <c r="K361" s="1"/>
      <c r="M361"/>
    </row>
    <row r="362" spans="1:13" x14ac:dyDescent="0.2">
      <c r="A362" s="7"/>
      <c r="B362"/>
      <c r="C362"/>
      <c r="K362" s="1"/>
      <c r="M362"/>
    </row>
    <row r="363" spans="1:13" x14ac:dyDescent="0.2">
      <c r="A363" s="7"/>
      <c r="B363"/>
      <c r="C363"/>
      <c r="K363" s="1"/>
      <c r="M363"/>
    </row>
    <row r="364" spans="1:13" x14ac:dyDescent="0.2">
      <c r="A364" s="7"/>
      <c r="B364"/>
      <c r="C364"/>
      <c r="K364" s="1"/>
      <c r="M364"/>
    </row>
    <row r="365" spans="1:13" x14ac:dyDescent="0.2">
      <c r="A365" s="7"/>
      <c r="B365"/>
      <c r="C365"/>
      <c r="K365" s="1"/>
      <c r="M365"/>
    </row>
    <row r="366" spans="1:13" x14ac:dyDescent="0.2">
      <c r="A366" s="7"/>
      <c r="B366"/>
      <c r="C366"/>
      <c r="K366" s="1"/>
      <c r="M366"/>
    </row>
    <row r="367" spans="1:13" x14ac:dyDescent="0.2">
      <c r="A367" s="7"/>
      <c r="B367"/>
      <c r="C367"/>
      <c r="K367" s="1"/>
      <c r="M367"/>
    </row>
    <row r="368" spans="1:13" x14ac:dyDescent="0.2">
      <c r="A368" s="7"/>
      <c r="B368"/>
      <c r="C368"/>
      <c r="K368" s="1"/>
      <c r="M368"/>
    </row>
    <row r="369" spans="1:13" x14ac:dyDescent="0.2">
      <c r="A369" s="7"/>
      <c r="B369"/>
      <c r="C369"/>
      <c r="K369" s="1"/>
      <c r="M369"/>
    </row>
    <row r="370" spans="1:13" x14ac:dyDescent="0.2">
      <c r="A370" s="7"/>
      <c r="B370"/>
      <c r="C370"/>
      <c r="K370" s="1"/>
      <c r="M370"/>
    </row>
    <row r="371" spans="1:13" x14ac:dyDescent="0.2">
      <c r="A371" s="7"/>
      <c r="B371"/>
      <c r="C371"/>
      <c r="K371" s="1"/>
      <c r="M371"/>
    </row>
    <row r="372" spans="1:13" x14ac:dyDescent="0.2">
      <c r="A372" s="7"/>
      <c r="B372"/>
      <c r="C372"/>
      <c r="K372" s="1"/>
      <c r="M372"/>
    </row>
    <row r="373" spans="1:13" x14ac:dyDescent="0.2">
      <c r="A373" s="7"/>
      <c r="B373"/>
      <c r="C373"/>
      <c r="K373" s="1"/>
      <c r="M373"/>
    </row>
    <row r="374" spans="1:13" x14ac:dyDescent="0.2">
      <c r="A374" s="7"/>
      <c r="B374"/>
      <c r="C374"/>
      <c r="K374" s="1"/>
      <c r="M374"/>
    </row>
    <row r="375" spans="1:13" x14ac:dyDescent="0.2">
      <c r="A375" s="7"/>
      <c r="B375"/>
      <c r="C375"/>
      <c r="K375" s="1"/>
      <c r="M375"/>
    </row>
    <row r="376" spans="1:13" x14ac:dyDescent="0.2">
      <c r="A376" s="7"/>
      <c r="B376"/>
      <c r="C376"/>
      <c r="K376" s="1"/>
      <c r="M376"/>
    </row>
    <row r="377" spans="1:13" x14ac:dyDescent="0.2">
      <c r="A377" s="7"/>
      <c r="B377"/>
      <c r="C377"/>
      <c r="K377" s="1"/>
      <c r="M377"/>
    </row>
    <row r="378" spans="1:13" x14ac:dyDescent="0.2">
      <c r="A378" s="7"/>
      <c r="B378"/>
      <c r="C378"/>
      <c r="K378" s="1"/>
      <c r="M378"/>
    </row>
    <row r="379" spans="1:13" x14ac:dyDescent="0.2">
      <c r="A379" s="7"/>
      <c r="B379"/>
      <c r="C379"/>
      <c r="K379" s="1"/>
      <c r="M379"/>
    </row>
    <row r="380" spans="1:13" x14ac:dyDescent="0.2">
      <c r="A380" s="7"/>
      <c r="B380"/>
      <c r="C380"/>
      <c r="K380" s="1"/>
      <c r="M380"/>
    </row>
    <row r="381" spans="1:13" x14ac:dyDescent="0.2">
      <c r="A381" s="7"/>
      <c r="B381"/>
      <c r="C381"/>
      <c r="K381" s="1"/>
      <c r="M381"/>
    </row>
    <row r="382" spans="1:13" x14ac:dyDescent="0.2">
      <c r="A382" s="7"/>
      <c r="B382"/>
      <c r="C382"/>
      <c r="K382" s="1"/>
      <c r="M382"/>
    </row>
    <row r="383" spans="1:13" x14ac:dyDescent="0.2">
      <c r="A383" s="7"/>
      <c r="B383"/>
      <c r="C383"/>
      <c r="K383" s="1"/>
      <c r="M383"/>
    </row>
    <row r="384" spans="1:13" x14ac:dyDescent="0.2">
      <c r="A384" s="7"/>
      <c r="B384"/>
      <c r="C384"/>
      <c r="K384" s="1"/>
      <c r="M384"/>
    </row>
    <row r="385" spans="1:13" x14ac:dyDescent="0.2">
      <c r="A385" s="7"/>
      <c r="B385"/>
      <c r="C385"/>
      <c r="K385" s="1"/>
      <c r="M385"/>
    </row>
    <row r="386" spans="1:13" x14ac:dyDescent="0.2">
      <c r="A386" s="7"/>
      <c r="B386"/>
      <c r="C386"/>
      <c r="K386" s="1"/>
      <c r="M386"/>
    </row>
    <row r="387" spans="1:13" x14ac:dyDescent="0.2">
      <c r="A387" s="7"/>
      <c r="B387"/>
      <c r="C387"/>
      <c r="K387" s="1"/>
      <c r="M387"/>
    </row>
    <row r="388" spans="1:13" x14ac:dyDescent="0.2">
      <c r="A388" s="7"/>
      <c r="B388"/>
      <c r="C388"/>
      <c r="K388" s="1"/>
      <c r="M388"/>
    </row>
    <row r="389" spans="1:13" x14ac:dyDescent="0.2">
      <c r="A389" s="7"/>
      <c r="B389"/>
      <c r="C389"/>
      <c r="K389" s="1"/>
      <c r="M389"/>
    </row>
    <row r="390" spans="1:13" x14ac:dyDescent="0.2">
      <c r="A390" s="7"/>
      <c r="B390"/>
      <c r="C390"/>
      <c r="K390" s="1"/>
      <c r="M390"/>
    </row>
    <row r="391" spans="1:13" x14ac:dyDescent="0.2">
      <c r="A391" s="7"/>
      <c r="B391"/>
      <c r="C391"/>
      <c r="K391" s="1"/>
      <c r="M391"/>
    </row>
    <row r="392" spans="1:13" x14ac:dyDescent="0.2">
      <c r="A392" s="7"/>
      <c r="B392"/>
      <c r="C392"/>
      <c r="K392" s="1"/>
      <c r="M392"/>
    </row>
    <row r="393" spans="1:13" x14ac:dyDescent="0.2">
      <c r="A393" s="7"/>
      <c r="B393"/>
      <c r="C393"/>
      <c r="K393" s="1"/>
      <c r="M393"/>
    </row>
    <row r="394" spans="1:13" x14ac:dyDescent="0.2">
      <c r="A394" s="7"/>
      <c r="B394"/>
      <c r="C394"/>
      <c r="K394" s="1"/>
      <c r="M394"/>
    </row>
    <row r="395" spans="1:13" x14ac:dyDescent="0.2">
      <c r="A395" s="7"/>
      <c r="B395"/>
      <c r="C395"/>
      <c r="K395" s="1"/>
      <c r="M395"/>
    </row>
    <row r="396" spans="1:13" x14ac:dyDescent="0.2">
      <c r="A396" s="7"/>
      <c r="B396"/>
      <c r="C396"/>
      <c r="K396" s="1"/>
      <c r="M396"/>
    </row>
    <row r="397" spans="1:13" x14ac:dyDescent="0.2">
      <c r="A397" s="7"/>
      <c r="B397"/>
      <c r="C397"/>
      <c r="K397" s="1"/>
      <c r="M397"/>
    </row>
    <row r="398" spans="1:13" x14ac:dyDescent="0.2">
      <c r="A398" s="7"/>
      <c r="B398"/>
      <c r="C398"/>
      <c r="K398" s="1"/>
      <c r="M398"/>
    </row>
    <row r="399" spans="1:13" x14ac:dyDescent="0.2">
      <c r="A399" s="7"/>
      <c r="B399"/>
      <c r="C399"/>
      <c r="K399" s="1"/>
      <c r="M399"/>
    </row>
    <row r="400" spans="1:13" x14ac:dyDescent="0.2">
      <c r="A400" s="7"/>
      <c r="B400"/>
      <c r="C400"/>
      <c r="K400" s="1"/>
      <c r="M400"/>
    </row>
    <row r="401" spans="1:13" x14ac:dyDescent="0.2">
      <c r="A401" s="7"/>
      <c r="B401"/>
      <c r="C401"/>
      <c r="K401" s="1"/>
      <c r="M401"/>
    </row>
    <row r="402" spans="1:13" x14ac:dyDescent="0.2">
      <c r="A402" s="7"/>
      <c r="B402"/>
      <c r="C402"/>
      <c r="K402" s="1"/>
      <c r="M402"/>
    </row>
    <row r="403" spans="1:13" x14ac:dyDescent="0.2">
      <c r="A403" s="7"/>
      <c r="B403"/>
      <c r="C403"/>
      <c r="K403" s="1"/>
      <c r="M403"/>
    </row>
    <row r="404" spans="1:13" x14ac:dyDescent="0.2">
      <c r="A404" s="7"/>
      <c r="B404"/>
      <c r="C404"/>
      <c r="K404" s="1"/>
      <c r="M404"/>
    </row>
    <row r="405" spans="1:13" x14ac:dyDescent="0.2">
      <c r="A405" s="7"/>
      <c r="B405"/>
      <c r="C405"/>
      <c r="K405" s="1"/>
      <c r="M405"/>
    </row>
    <row r="406" spans="1:13" x14ac:dyDescent="0.2">
      <c r="A406" s="7"/>
      <c r="B406"/>
      <c r="C406"/>
      <c r="K406" s="1"/>
      <c r="M406"/>
    </row>
    <row r="407" spans="1:13" x14ac:dyDescent="0.2">
      <c r="A407" s="7"/>
      <c r="B407"/>
      <c r="C407"/>
      <c r="K407" s="1"/>
      <c r="M407"/>
    </row>
    <row r="408" spans="1:13" x14ac:dyDescent="0.2">
      <c r="A408" s="7"/>
      <c r="B408"/>
      <c r="C408"/>
      <c r="K408" s="1"/>
      <c r="M408"/>
    </row>
    <row r="409" spans="1:13" x14ac:dyDescent="0.2">
      <c r="A409" s="7"/>
      <c r="B409"/>
      <c r="C409"/>
      <c r="K409" s="1"/>
      <c r="M409"/>
    </row>
    <row r="410" spans="1:13" x14ac:dyDescent="0.2">
      <c r="A410" s="7"/>
      <c r="B410"/>
      <c r="C410"/>
      <c r="K410" s="1"/>
      <c r="M410"/>
    </row>
    <row r="411" spans="1:13" x14ac:dyDescent="0.2">
      <c r="A411" s="7"/>
      <c r="B411"/>
      <c r="C411"/>
      <c r="K411" s="1"/>
      <c r="M411"/>
    </row>
    <row r="412" spans="1:13" x14ac:dyDescent="0.2">
      <c r="A412" s="7"/>
      <c r="B412"/>
      <c r="C412"/>
      <c r="K412" s="1"/>
      <c r="M412"/>
    </row>
    <row r="413" spans="1:13" x14ac:dyDescent="0.2">
      <c r="A413" s="7"/>
      <c r="B413"/>
      <c r="C413"/>
      <c r="K413" s="1"/>
      <c r="M413"/>
    </row>
    <row r="414" spans="1:13" x14ac:dyDescent="0.2">
      <c r="A414" s="7"/>
      <c r="B414"/>
      <c r="C414"/>
      <c r="K414" s="1"/>
      <c r="M414"/>
    </row>
    <row r="415" spans="1:13" x14ac:dyDescent="0.2">
      <c r="A415" s="7"/>
      <c r="B415"/>
      <c r="C415"/>
      <c r="K415" s="1"/>
      <c r="M415"/>
    </row>
    <row r="416" spans="1:13" x14ac:dyDescent="0.2">
      <c r="A416" s="7"/>
      <c r="B416"/>
      <c r="C416"/>
      <c r="K416" s="1"/>
      <c r="M416"/>
    </row>
    <row r="417" spans="1:13" x14ac:dyDescent="0.2">
      <c r="A417" s="7"/>
      <c r="B417"/>
      <c r="C417"/>
      <c r="K417" s="1"/>
      <c r="M417"/>
    </row>
    <row r="418" spans="1:13" x14ac:dyDescent="0.2">
      <c r="A418" s="7"/>
      <c r="B418"/>
      <c r="C418"/>
      <c r="K418" s="1"/>
      <c r="M418"/>
    </row>
    <row r="419" spans="1:13" x14ac:dyDescent="0.2">
      <c r="A419" s="7"/>
      <c r="B419"/>
      <c r="C419"/>
      <c r="K419" s="1"/>
      <c r="M419"/>
    </row>
    <row r="420" spans="1:13" x14ac:dyDescent="0.2">
      <c r="A420" s="7"/>
      <c r="B420"/>
      <c r="C420"/>
      <c r="K420" s="1"/>
      <c r="M420"/>
    </row>
    <row r="421" spans="1:13" x14ac:dyDescent="0.2">
      <c r="A421" s="7"/>
      <c r="B421"/>
      <c r="C421"/>
      <c r="K421" s="1"/>
      <c r="M421"/>
    </row>
    <row r="422" spans="1:13" x14ac:dyDescent="0.2">
      <c r="A422" s="7"/>
      <c r="B422"/>
      <c r="C422"/>
      <c r="K422" s="1"/>
      <c r="M422"/>
    </row>
    <row r="423" spans="1:13" x14ac:dyDescent="0.2">
      <c r="A423" s="7"/>
      <c r="B423"/>
      <c r="C423"/>
      <c r="K423" s="1"/>
      <c r="M423"/>
    </row>
    <row r="424" spans="1:13" x14ac:dyDescent="0.2">
      <c r="A424" s="7"/>
      <c r="B424"/>
      <c r="C424"/>
      <c r="K424" s="1"/>
      <c r="M424"/>
    </row>
    <row r="425" spans="1:13" x14ac:dyDescent="0.2">
      <c r="A425" s="7"/>
      <c r="B425"/>
      <c r="C425"/>
      <c r="K425" s="1"/>
      <c r="M425"/>
    </row>
    <row r="426" spans="1:13" x14ac:dyDescent="0.2">
      <c r="A426" s="7"/>
      <c r="B426"/>
      <c r="C426"/>
      <c r="K426" s="1"/>
      <c r="M426"/>
    </row>
    <row r="427" spans="1:13" x14ac:dyDescent="0.2">
      <c r="A427" s="7"/>
      <c r="B427"/>
      <c r="C427"/>
      <c r="K427" s="1"/>
      <c r="M427"/>
    </row>
    <row r="428" spans="1:13" x14ac:dyDescent="0.2">
      <c r="A428" s="7"/>
      <c r="B428"/>
      <c r="C428"/>
      <c r="K428" s="1"/>
      <c r="M428"/>
    </row>
    <row r="429" spans="1:13" x14ac:dyDescent="0.2">
      <c r="A429" s="7"/>
      <c r="B429"/>
      <c r="C429"/>
      <c r="K429" s="1"/>
      <c r="M429"/>
    </row>
    <row r="430" spans="1:13" x14ac:dyDescent="0.2">
      <c r="A430" s="7"/>
      <c r="B430"/>
      <c r="C430"/>
      <c r="K430" s="1"/>
      <c r="M430"/>
    </row>
    <row r="431" spans="1:13" x14ac:dyDescent="0.2">
      <c r="A431" s="7"/>
      <c r="B431"/>
      <c r="C431"/>
      <c r="K431" s="1"/>
      <c r="M431"/>
    </row>
    <row r="432" spans="1:13" x14ac:dyDescent="0.2">
      <c r="A432" s="7"/>
      <c r="B432"/>
      <c r="C432"/>
      <c r="K432" s="1"/>
      <c r="M432"/>
    </row>
    <row r="433" spans="1:13" x14ac:dyDescent="0.2">
      <c r="A433" s="7"/>
      <c r="B433"/>
      <c r="C433"/>
      <c r="K433" s="1"/>
      <c r="M433"/>
    </row>
    <row r="434" spans="1:13" x14ac:dyDescent="0.2">
      <c r="A434" s="7"/>
      <c r="B434"/>
      <c r="C434"/>
      <c r="K434" s="1"/>
      <c r="M434"/>
    </row>
    <row r="435" spans="1:13" x14ac:dyDescent="0.2">
      <c r="A435" s="7"/>
      <c r="B435"/>
      <c r="C435"/>
      <c r="K435" s="1"/>
      <c r="M435"/>
    </row>
    <row r="436" spans="1:13" x14ac:dyDescent="0.2">
      <c r="A436" s="7"/>
      <c r="B436"/>
      <c r="C436"/>
      <c r="K436" s="1"/>
      <c r="M436"/>
    </row>
    <row r="437" spans="1:13" x14ac:dyDescent="0.2">
      <c r="A437" s="7"/>
      <c r="B437"/>
      <c r="C437"/>
      <c r="K437" s="1"/>
      <c r="M437"/>
    </row>
    <row r="438" spans="1:13" x14ac:dyDescent="0.2">
      <c r="A438" s="7"/>
      <c r="B438"/>
      <c r="C438"/>
      <c r="K438" s="1"/>
      <c r="M438"/>
    </row>
    <row r="439" spans="1:13" x14ac:dyDescent="0.2">
      <c r="A439" s="7"/>
      <c r="B439"/>
      <c r="C439"/>
      <c r="K439" s="1"/>
      <c r="M439"/>
    </row>
    <row r="440" spans="1:13" x14ac:dyDescent="0.2">
      <c r="A440" s="7"/>
      <c r="B440"/>
      <c r="C440"/>
      <c r="K440" s="1"/>
      <c r="M440"/>
    </row>
    <row r="441" spans="1:13" x14ac:dyDescent="0.2">
      <c r="A441" s="7"/>
      <c r="B441"/>
      <c r="C441"/>
      <c r="K441" s="1"/>
      <c r="M441"/>
    </row>
    <row r="442" spans="1:13" x14ac:dyDescent="0.2">
      <c r="A442" s="7"/>
      <c r="B442"/>
      <c r="C442"/>
      <c r="K442" s="1"/>
      <c r="M442"/>
    </row>
    <row r="443" spans="1:13" x14ac:dyDescent="0.2">
      <c r="A443" s="7"/>
      <c r="B443"/>
      <c r="C443"/>
      <c r="K443" s="1"/>
      <c r="M443"/>
    </row>
    <row r="444" spans="1:13" x14ac:dyDescent="0.2">
      <c r="A444" s="7"/>
      <c r="B444"/>
      <c r="C444"/>
      <c r="K444" s="1"/>
      <c r="M444"/>
    </row>
    <row r="445" spans="1:13" x14ac:dyDescent="0.2">
      <c r="A445" s="7"/>
      <c r="B445"/>
      <c r="C445"/>
      <c r="K445" s="1"/>
      <c r="M445"/>
    </row>
    <row r="446" spans="1:13" x14ac:dyDescent="0.2">
      <c r="A446" s="7"/>
      <c r="B446"/>
      <c r="C446"/>
      <c r="K446" s="1"/>
      <c r="M446"/>
    </row>
    <row r="447" spans="1:13" x14ac:dyDescent="0.2">
      <c r="A447" s="7"/>
      <c r="B447"/>
      <c r="C447"/>
      <c r="K447" s="1"/>
      <c r="M447"/>
    </row>
    <row r="448" spans="1:13" x14ac:dyDescent="0.2">
      <c r="A448" s="7"/>
      <c r="B448"/>
      <c r="C448"/>
      <c r="K448" s="1"/>
      <c r="M448"/>
    </row>
    <row r="449" spans="1:13" x14ac:dyDescent="0.2">
      <c r="A449" s="7"/>
      <c r="B449"/>
      <c r="C449"/>
      <c r="K449" s="1"/>
      <c r="M449"/>
    </row>
    <row r="450" spans="1:13" x14ac:dyDescent="0.2">
      <c r="A450" s="7"/>
      <c r="B450"/>
      <c r="C450"/>
      <c r="K450" s="1"/>
      <c r="M450"/>
    </row>
    <row r="451" spans="1:13" x14ac:dyDescent="0.2">
      <c r="A451" s="7"/>
      <c r="B451"/>
      <c r="C451"/>
      <c r="K451" s="1"/>
      <c r="M451"/>
    </row>
    <row r="452" spans="1:13" x14ac:dyDescent="0.2">
      <c r="A452" s="7"/>
      <c r="B452"/>
      <c r="C452"/>
      <c r="K452" s="1"/>
      <c r="M452"/>
    </row>
    <row r="453" spans="1:13" x14ac:dyDescent="0.2">
      <c r="A453" s="7"/>
      <c r="B453"/>
      <c r="C453"/>
      <c r="K453" s="1"/>
      <c r="M453"/>
    </row>
    <row r="454" spans="1:13" x14ac:dyDescent="0.2">
      <c r="A454" s="7"/>
      <c r="B454"/>
      <c r="C454"/>
      <c r="K454" s="1"/>
      <c r="M454"/>
    </row>
    <row r="455" spans="1:13" x14ac:dyDescent="0.2">
      <c r="A455" s="7"/>
      <c r="B455"/>
      <c r="C455"/>
      <c r="K455" s="1"/>
      <c r="M455"/>
    </row>
    <row r="456" spans="1:13" x14ac:dyDescent="0.2">
      <c r="A456" s="7"/>
      <c r="B456"/>
      <c r="C456"/>
      <c r="K456" s="1"/>
      <c r="M456"/>
    </row>
    <row r="457" spans="1:13" x14ac:dyDescent="0.2">
      <c r="A457" s="7"/>
      <c r="B457"/>
      <c r="C457"/>
      <c r="K457" s="1"/>
      <c r="M457"/>
    </row>
    <row r="458" spans="1:13" x14ac:dyDescent="0.2">
      <c r="A458" s="7"/>
      <c r="B458"/>
      <c r="C458"/>
      <c r="K458" s="1"/>
      <c r="M458"/>
    </row>
    <row r="459" spans="1:13" x14ac:dyDescent="0.2">
      <c r="A459" s="7"/>
      <c r="B459"/>
      <c r="C459"/>
      <c r="K459" s="1"/>
      <c r="M459"/>
    </row>
    <row r="460" spans="1:13" x14ac:dyDescent="0.2">
      <c r="A460" s="7"/>
      <c r="B460"/>
      <c r="C460"/>
      <c r="K460" s="1"/>
      <c r="M460"/>
    </row>
    <row r="461" spans="1:13" x14ac:dyDescent="0.2">
      <c r="A461" s="7"/>
      <c r="B461"/>
      <c r="C461"/>
      <c r="K461" s="1"/>
      <c r="M461"/>
    </row>
    <row r="462" spans="1:13" x14ac:dyDescent="0.2">
      <c r="A462" s="7"/>
      <c r="B462"/>
      <c r="C462"/>
      <c r="K462" s="1"/>
      <c r="M462"/>
    </row>
    <row r="463" spans="1:13" x14ac:dyDescent="0.2">
      <c r="A463" s="7"/>
      <c r="B463"/>
      <c r="C463"/>
      <c r="K463" s="1"/>
      <c r="M463"/>
    </row>
    <row r="464" spans="1:13" x14ac:dyDescent="0.2">
      <c r="A464" s="7"/>
      <c r="B464"/>
      <c r="C464"/>
      <c r="K464" s="1"/>
      <c r="M464"/>
    </row>
    <row r="465" spans="1:13" x14ac:dyDescent="0.2">
      <c r="A465" s="7"/>
      <c r="B465"/>
      <c r="C465"/>
      <c r="K465" s="1"/>
      <c r="M465"/>
    </row>
    <row r="466" spans="1:13" x14ac:dyDescent="0.2">
      <c r="A466" s="7"/>
      <c r="B466"/>
      <c r="C466"/>
      <c r="K466" s="1"/>
      <c r="M466"/>
    </row>
    <row r="467" spans="1:13" x14ac:dyDescent="0.2">
      <c r="A467" s="7"/>
      <c r="B467"/>
      <c r="C467"/>
      <c r="K467" s="1"/>
      <c r="M467"/>
    </row>
    <row r="468" spans="1:13" x14ac:dyDescent="0.2">
      <c r="A468" s="7"/>
      <c r="B468"/>
      <c r="C468"/>
      <c r="K468" s="1"/>
      <c r="M468"/>
    </row>
    <row r="469" spans="1:13" x14ac:dyDescent="0.2">
      <c r="A469" s="7"/>
      <c r="B469"/>
      <c r="C469"/>
      <c r="K469" s="1"/>
      <c r="M469"/>
    </row>
    <row r="470" spans="1:13" x14ac:dyDescent="0.2">
      <c r="A470" s="7"/>
      <c r="B470"/>
      <c r="C470"/>
      <c r="K470" s="1"/>
      <c r="M470"/>
    </row>
    <row r="471" spans="1:13" x14ac:dyDescent="0.2">
      <c r="A471" s="7"/>
      <c r="B471"/>
      <c r="C471"/>
      <c r="K471" s="1"/>
      <c r="M471"/>
    </row>
    <row r="472" spans="1:13" x14ac:dyDescent="0.2">
      <c r="A472" s="7"/>
      <c r="B472"/>
      <c r="C472"/>
      <c r="K472" s="1"/>
      <c r="M472"/>
    </row>
    <row r="473" spans="1:13" x14ac:dyDescent="0.2">
      <c r="A473" s="7"/>
      <c r="B473"/>
      <c r="C473"/>
      <c r="K473" s="1"/>
      <c r="M473"/>
    </row>
    <row r="474" spans="1:13" x14ac:dyDescent="0.2">
      <c r="A474" s="7"/>
      <c r="B474"/>
      <c r="C474"/>
      <c r="K474" s="1"/>
      <c r="M474"/>
    </row>
    <row r="475" spans="1:13" x14ac:dyDescent="0.2">
      <c r="A475" s="7"/>
      <c r="B475"/>
      <c r="C475"/>
      <c r="K475" s="1"/>
      <c r="M475"/>
    </row>
    <row r="476" spans="1:13" x14ac:dyDescent="0.2">
      <c r="A476" s="7"/>
      <c r="B476"/>
      <c r="C476"/>
      <c r="K476" s="1"/>
      <c r="M476"/>
    </row>
    <row r="477" spans="1:13" x14ac:dyDescent="0.2">
      <c r="A477" s="7"/>
      <c r="B477"/>
      <c r="C477"/>
      <c r="K477" s="1"/>
      <c r="M477"/>
    </row>
    <row r="478" spans="1:13" x14ac:dyDescent="0.2">
      <c r="A478" s="7"/>
      <c r="B478"/>
      <c r="C478"/>
      <c r="K478" s="1"/>
      <c r="M478"/>
    </row>
    <row r="479" spans="1:13" x14ac:dyDescent="0.2">
      <c r="A479" s="7"/>
      <c r="B479"/>
      <c r="C479"/>
      <c r="K479" s="1"/>
      <c r="M479"/>
    </row>
    <row r="480" spans="1:13" x14ac:dyDescent="0.2">
      <c r="A480" s="7"/>
      <c r="B480"/>
      <c r="C480"/>
      <c r="K480" s="1"/>
      <c r="M480"/>
    </row>
    <row r="481" spans="1:13" x14ac:dyDescent="0.2">
      <c r="A481" s="7"/>
      <c r="B481"/>
      <c r="C481"/>
      <c r="K481" s="1"/>
      <c r="M481"/>
    </row>
    <row r="482" spans="1:13" x14ac:dyDescent="0.2">
      <c r="A482" s="7"/>
      <c r="B482"/>
      <c r="C482"/>
      <c r="K482" s="1"/>
      <c r="M482"/>
    </row>
    <row r="483" spans="1:13" x14ac:dyDescent="0.2">
      <c r="A483" s="7"/>
      <c r="B483"/>
      <c r="C483"/>
      <c r="K483" s="1"/>
      <c r="M483"/>
    </row>
    <row r="484" spans="1:13" x14ac:dyDescent="0.2">
      <c r="A484" s="7"/>
      <c r="B484"/>
      <c r="C484"/>
      <c r="K484" s="1"/>
      <c r="M484"/>
    </row>
    <row r="485" spans="1:13" x14ac:dyDescent="0.2">
      <c r="A485" s="7"/>
      <c r="B485"/>
      <c r="C485"/>
      <c r="K485" s="1"/>
      <c r="M485"/>
    </row>
    <row r="486" spans="1:13" x14ac:dyDescent="0.2">
      <c r="A486" s="7"/>
      <c r="B486"/>
      <c r="C486"/>
      <c r="K486" s="1"/>
      <c r="M486"/>
    </row>
    <row r="487" spans="1:13" x14ac:dyDescent="0.2">
      <c r="A487" s="7"/>
      <c r="B487"/>
      <c r="C487"/>
      <c r="K487" s="1"/>
      <c r="M487"/>
    </row>
    <row r="488" spans="1:13" x14ac:dyDescent="0.2">
      <c r="A488" s="7"/>
      <c r="B488"/>
      <c r="C488"/>
      <c r="K488" s="1"/>
      <c r="M488"/>
    </row>
    <row r="489" spans="1:13" x14ac:dyDescent="0.2">
      <c r="A489" s="7"/>
      <c r="B489"/>
      <c r="C489"/>
      <c r="K489" s="1"/>
      <c r="M489"/>
    </row>
    <row r="490" spans="1:13" x14ac:dyDescent="0.2">
      <c r="A490" s="7"/>
      <c r="B490"/>
      <c r="C490"/>
      <c r="K490" s="1"/>
      <c r="M490"/>
    </row>
    <row r="491" spans="1:13" x14ac:dyDescent="0.2">
      <c r="A491" s="7"/>
      <c r="B491"/>
      <c r="C491"/>
      <c r="K491" s="1"/>
      <c r="M491"/>
    </row>
    <row r="492" spans="1:13" x14ac:dyDescent="0.2">
      <c r="A492" s="7"/>
      <c r="B492"/>
      <c r="C492"/>
      <c r="K492" s="1"/>
      <c r="M492"/>
    </row>
    <row r="493" spans="1:13" x14ac:dyDescent="0.2">
      <c r="A493" s="7"/>
      <c r="B493"/>
      <c r="C493"/>
      <c r="K493" s="1"/>
      <c r="M493"/>
    </row>
    <row r="494" spans="1:13" x14ac:dyDescent="0.2">
      <c r="A494" s="7"/>
      <c r="B494"/>
      <c r="C494"/>
      <c r="K494" s="1"/>
      <c r="M494"/>
    </row>
    <row r="495" spans="1:13" x14ac:dyDescent="0.2">
      <c r="A495" s="7"/>
      <c r="B495"/>
      <c r="C495"/>
      <c r="K495" s="1"/>
      <c r="M495"/>
    </row>
    <row r="496" spans="1:13" x14ac:dyDescent="0.2">
      <c r="A496" s="7"/>
      <c r="B496"/>
      <c r="C496"/>
      <c r="K496" s="1"/>
      <c r="M496"/>
    </row>
    <row r="497" spans="1:13" x14ac:dyDescent="0.2">
      <c r="A497" s="7"/>
      <c r="B497"/>
      <c r="C497"/>
      <c r="K497" s="1"/>
      <c r="M497"/>
    </row>
    <row r="498" spans="1:13" x14ac:dyDescent="0.2">
      <c r="A498" s="7"/>
      <c r="B498"/>
      <c r="C498"/>
      <c r="K498" s="1"/>
      <c r="M498"/>
    </row>
    <row r="499" spans="1:13" x14ac:dyDescent="0.2">
      <c r="A499" s="7"/>
      <c r="B499"/>
      <c r="C499"/>
      <c r="K499" s="1"/>
      <c r="M499"/>
    </row>
    <row r="500" spans="1:13" x14ac:dyDescent="0.2">
      <c r="A500" s="7"/>
      <c r="B500"/>
      <c r="C500"/>
      <c r="K500" s="1"/>
      <c r="M500"/>
    </row>
    <row r="501" spans="1:13" x14ac:dyDescent="0.2">
      <c r="A501" s="7"/>
      <c r="B501"/>
      <c r="C501"/>
      <c r="K501" s="1"/>
      <c r="M501"/>
    </row>
    <row r="502" spans="1:13" x14ac:dyDescent="0.2">
      <c r="A502" s="7"/>
      <c r="B502"/>
      <c r="C502"/>
      <c r="K502" s="1"/>
      <c r="M502"/>
    </row>
    <row r="503" spans="1:13" x14ac:dyDescent="0.2">
      <c r="A503" s="7"/>
      <c r="B503"/>
      <c r="C503"/>
      <c r="K503" s="1"/>
      <c r="M503"/>
    </row>
    <row r="504" spans="1:13" x14ac:dyDescent="0.2">
      <c r="A504" s="7"/>
      <c r="B504"/>
      <c r="C504"/>
      <c r="K504" s="1"/>
      <c r="M504"/>
    </row>
    <row r="505" spans="1:13" x14ac:dyDescent="0.2">
      <c r="A505" s="7"/>
      <c r="B505"/>
      <c r="C505"/>
      <c r="K505" s="1"/>
      <c r="M505"/>
    </row>
    <row r="506" spans="1:13" x14ac:dyDescent="0.2">
      <c r="A506" s="7"/>
      <c r="B506"/>
      <c r="C506"/>
      <c r="K506" s="1"/>
      <c r="M506"/>
    </row>
    <row r="507" spans="1:13" x14ac:dyDescent="0.2">
      <c r="A507" s="7"/>
      <c r="B507"/>
      <c r="C507"/>
      <c r="K507" s="1"/>
      <c r="M507"/>
    </row>
    <row r="508" spans="1:13" x14ac:dyDescent="0.2">
      <c r="A508" s="7"/>
      <c r="B508"/>
      <c r="C508"/>
      <c r="K508" s="1"/>
      <c r="M508"/>
    </row>
    <row r="509" spans="1:13" x14ac:dyDescent="0.2">
      <c r="A509" s="7"/>
      <c r="B509"/>
      <c r="C509"/>
      <c r="K509" s="1"/>
      <c r="M509"/>
    </row>
    <row r="510" spans="1:13" x14ac:dyDescent="0.2">
      <c r="A510" s="7"/>
      <c r="B510"/>
      <c r="C510"/>
      <c r="K510" s="1"/>
      <c r="M510"/>
    </row>
    <row r="511" spans="1:13" x14ac:dyDescent="0.2">
      <c r="A511" s="7"/>
      <c r="B511"/>
      <c r="C511"/>
      <c r="K511" s="1"/>
      <c r="M511"/>
    </row>
    <row r="512" spans="1:13" x14ac:dyDescent="0.2">
      <c r="A512" s="7"/>
      <c r="B512"/>
      <c r="C512"/>
      <c r="K512" s="1"/>
      <c r="M512"/>
    </row>
    <row r="513" spans="1:13" x14ac:dyDescent="0.2">
      <c r="A513" s="7"/>
      <c r="B513"/>
      <c r="C513"/>
      <c r="K513" s="1"/>
      <c r="M513"/>
    </row>
    <row r="514" spans="1:13" x14ac:dyDescent="0.2">
      <c r="A514" s="7"/>
      <c r="B514"/>
      <c r="C514"/>
      <c r="K514" s="1"/>
      <c r="M514"/>
    </row>
    <row r="515" spans="1:13" x14ac:dyDescent="0.2">
      <c r="A515" s="7"/>
      <c r="B515"/>
      <c r="C515"/>
      <c r="K515" s="1"/>
      <c r="M515"/>
    </row>
    <row r="516" spans="1:13" x14ac:dyDescent="0.2">
      <c r="A516" s="7"/>
      <c r="B516"/>
      <c r="C516"/>
      <c r="K516" s="1"/>
      <c r="M516"/>
    </row>
    <row r="517" spans="1:13" x14ac:dyDescent="0.2">
      <c r="A517" s="7"/>
      <c r="B517"/>
      <c r="C517"/>
      <c r="K517" s="1"/>
      <c r="M517"/>
    </row>
    <row r="518" spans="1:13" x14ac:dyDescent="0.2">
      <c r="A518" s="7"/>
      <c r="B518"/>
      <c r="C518"/>
      <c r="K518" s="1"/>
      <c r="M518"/>
    </row>
    <row r="519" spans="1:13" x14ac:dyDescent="0.2">
      <c r="A519" s="7"/>
      <c r="B519"/>
      <c r="C519"/>
      <c r="K519" s="1"/>
      <c r="M519"/>
    </row>
    <row r="520" spans="1:13" x14ac:dyDescent="0.2">
      <c r="A520" s="7"/>
      <c r="B520"/>
      <c r="C520"/>
      <c r="K520" s="1"/>
      <c r="M520"/>
    </row>
    <row r="521" spans="1:13" x14ac:dyDescent="0.2">
      <c r="A521" s="7"/>
      <c r="B521"/>
      <c r="C521"/>
      <c r="K521" s="1"/>
      <c r="M521"/>
    </row>
    <row r="522" spans="1:13" x14ac:dyDescent="0.2">
      <c r="A522" s="7"/>
      <c r="B522"/>
      <c r="C522"/>
      <c r="K522" s="1"/>
      <c r="M522"/>
    </row>
    <row r="523" spans="1:13" x14ac:dyDescent="0.2">
      <c r="A523" s="7"/>
      <c r="B523"/>
      <c r="C523"/>
      <c r="K523" s="1"/>
      <c r="M523"/>
    </row>
    <row r="524" spans="1:13" x14ac:dyDescent="0.2">
      <c r="A524" s="7"/>
      <c r="B524"/>
      <c r="C524"/>
      <c r="K524" s="1"/>
      <c r="M524"/>
    </row>
    <row r="525" spans="1:13" x14ac:dyDescent="0.2">
      <c r="A525" s="7"/>
      <c r="B525"/>
      <c r="C525"/>
      <c r="K525" s="1"/>
      <c r="M525"/>
    </row>
    <row r="526" spans="1:13" x14ac:dyDescent="0.2">
      <c r="A526" s="7"/>
      <c r="B526"/>
      <c r="C526"/>
      <c r="K526" s="1"/>
      <c r="M526"/>
    </row>
    <row r="527" spans="1:13" x14ac:dyDescent="0.2">
      <c r="A527" s="7"/>
      <c r="B527"/>
      <c r="C527"/>
      <c r="K527" s="1"/>
      <c r="M527"/>
    </row>
    <row r="528" spans="1:13" x14ac:dyDescent="0.2">
      <c r="A528" s="7"/>
      <c r="B528"/>
      <c r="C528"/>
      <c r="K528" s="1"/>
      <c r="M528"/>
    </row>
    <row r="529" spans="1:13" x14ac:dyDescent="0.2">
      <c r="A529" s="7"/>
      <c r="B529"/>
      <c r="C529"/>
      <c r="K529" s="1"/>
      <c r="M529"/>
    </row>
    <row r="530" spans="1:13" x14ac:dyDescent="0.2">
      <c r="A530" s="7"/>
      <c r="B530"/>
      <c r="C530"/>
      <c r="K530" s="1"/>
      <c r="M530"/>
    </row>
    <row r="531" spans="1:13" x14ac:dyDescent="0.2">
      <c r="A531" s="7"/>
      <c r="B531"/>
      <c r="C531"/>
      <c r="K531" s="1"/>
      <c r="M531"/>
    </row>
    <row r="532" spans="1:13" x14ac:dyDescent="0.2">
      <c r="A532" s="7"/>
      <c r="B532"/>
      <c r="C532"/>
      <c r="K532" s="1"/>
      <c r="M532"/>
    </row>
    <row r="533" spans="1:13" x14ac:dyDescent="0.2">
      <c r="A533" s="7"/>
      <c r="B533"/>
      <c r="C533"/>
      <c r="K533" s="1"/>
      <c r="M533"/>
    </row>
    <row r="534" spans="1:13" x14ac:dyDescent="0.2">
      <c r="A534" s="7"/>
      <c r="B534"/>
      <c r="C534"/>
      <c r="K534" s="1"/>
      <c r="M534"/>
    </row>
    <row r="535" spans="1:13" x14ac:dyDescent="0.2">
      <c r="A535" s="7"/>
      <c r="B535"/>
      <c r="C535"/>
      <c r="K535" s="1"/>
      <c r="M535"/>
    </row>
    <row r="536" spans="1:13" x14ac:dyDescent="0.2">
      <c r="A536" s="7"/>
      <c r="B536"/>
      <c r="C536"/>
      <c r="K536" s="1"/>
      <c r="M536"/>
    </row>
    <row r="537" spans="1:13" x14ac:dyDescent="0.2">
      <c r="A537" s="7"/>
      <c r="B537"/>
      <c r="C537"/>
      <c r="K537" s="1"/>
      <c r="M537"/>
    </row>
    <row r="538" spans="1:13" x14ac:dyDescent="0.2">
      <c r="A538" s="7"/>
      <c r="B538"/>
      <c r="C538"/>
      <c r="K538" s="1"/>
      <c r="M538"/>
    </row>
    <row r="539" spans="1:13" x14ac:dyDescent="0.2">
      <c r="A539" s="7"/>
      <c r="B539"/>
      <c r="C539"/>
      <c r="K539" s="1"/>
      <c r="M539"/>
    </row>
    <row r="540" spans="1:13" x14ac:dyDescent="0.2">
      <c r="A540" s="7"/>
      <c r="B540"/>
      <c r="C540"/>
      <c r="K540" s="1"/>
      <c r="M540"/>
    </row>
    <row r="541" spans="1:13" x14ac:dyDescent="0.2">
      <c r="A541" s="7"/>
      <c r="B541"/>
      <c r="C541"/>
      <c r="K541" s="1"/>
      <c r="M541"/>
    </row>
    <row r="542" spans="1:13" x14ac:dyDescent="0.2">
      <c r="A542" s="7"/>
      <c r="B542"/>
      <c r="C542"/>
      <c r="K542" s="1"/>
      <c r="M542"/>
    </row>
    <row r="543" spans="1:13" x14ac:dyDescent="0.2">
      <c r="A543" s="7"/>
      <c r="B543"/>
      <c r="C543"/>
      <c r="K543" s="1"/>
      <c r="M543"/>
    </row>
    <row r="544" spans="1:13" x14ac:dyDescent="0.2">
      <c r="A544" s="7"/>
      <c r="B544"/>
      <c r="C544"/>
      <c r="K544" s="1"/>
      <c r="M544"/>
    </row>
    <row r="545" spans="1:13" x14ac:dyDescent="0.2">
      <c r="A545" s="7"/>
      <c r="B545"/>
      <c r="C545"/>
      <c r="K545" s="1"/>
      <c r="M545"/>
    </row>
    <row r="546" spans="1:13" x14ac:dyDescent="0.2">
      <c r="A546" s="7"/>
      <c r="B546"/>
      <c r="C546"/>
      <c r="K546" s="1"/>
      <c r="M546"/>
    </row>
    <row r="547" spans="1:13" x14ac:dyDescent="0.2">
      <c r="A547" s="7"/>
      <c r="B547"/>
      <c r="C547"/>
      <c r="K547" s="1"/>
      <c r="M547"/>
    </row>
    <row r="548" spans="1:13" x14ac:dyDescent="0.2">
      <c r="A548" s="7"/>
      <c r="B548"/>
      <c r="C548"/>
      <c r="K548" s="1"/>
      <c r="M548"/>
    </row>
    <row r="549" spans="1:13" x14ac:dyDescent="0.2">
      <c r="A549" s="7"/>
      <c r="B549"/>
      <c r="C549"/>
      <c r="K549" s="1"/>
      <c r="M549"/>
    </row>
    <row r="550" spans="1:13" x14ac:dyDescent="0.2">
      <c r="A550" s="7"/>
      <c r="B550"/>
      <c r="C550"/>
      <c r="K550" s="1"/>
      <c r="M550"/>
    </row>
    <row r="551" spans="1:13" x14ac:dyDescent="0.2">
      <c r="A551" s="7"/>
      <c r="B551"/>
      <c r="C551"/>
      <c r="K551" s="1"/>
      <c r="M551"/>
    </row>
    <row r="552" spans="1:13" x14ac:dyDescent="0.2">
      <c r="A552" s="7"/>
      <c r="B552"/>
      <c r="C552"/>
      <c r="K552" s="1"/>
      <c r="M552"/>
    </row>
    <row r="553" spans="1:13" x14ac:dyDescent="0.2">
      <c r="A553" s="7"/>
      <c r="B553"/>
      <c r="C553"/>
      <c r="K553" s="1"/>
      <c r="M553"/>
    </row>
    <row r="554" spans="1:13" x14ac:dyDescent="0.2">
      <c r="A554" s="7"/>
      <c r="B554"/>
      <c r="C554"/>
      <c r="K554" s="1"/>
      <c r="M554"/>
    </row>
    <row r="555" spans="1:13" x14ac:dyDescent="0.2">
      <c r="A555" s="7"/>
      <c r="B555"/>
      <c r="C555"/>
      <c r="K555" s="1"/>
      <c r="M555"/>
    </row>
    <row r="556" spans="1:13" x14ac:dyDescent="0.2">
      <c r="A556" s="7"/>
      <c r="B556"/>
      <c r="C556"/>
      <c r="K556" s="1"/>
      <c r="M556"/>
    </row>
    <row r="557" spans="1:13" x14ac:dyDescent="0.2">
      <c r="A557" s="7"/>
      <c r="B557"/>
      <c r="C557"/>
      <c r="K557" s="1"/>
      <c r="M557"/>
    </row>
    <row r="558" spans="1:13" x14ac:dyDescent="0.2">
      <c r="A558" s="7"/>
      <c r="B558"/>
      <c r="C558"/>
      <c r="K558" s="1"/>
      <c r="M558"/>
    </row>
    <row r="559" spans="1:13" x14ac:dyDescent="0.2">
      <c r="A559" s="7"/>
      <c r="B559"/>
      <c r="C559"/>
      <c r="K559" s="1"/>
      <c r="M559"/>
    </row>
    <row r="560" spans="1:13" x14ac:dyDescent="0.2">
      <c r="A560" s="7"/>
      <c r="B560"/>
      <c r="C560"/>
      <c r="K560" s="1"/>
      <c r="M560"/>
    </row>
    <row r="561" spans="1:13" x14ac:dyDescent="0.2">
      <c r="A561" s="7"/>
      <c r="B561"/>
      <c r="C561"/>
      <c r="K561" s="1"/>
      <c r="M561"/>
    </row>
    <row r="562" spans="1:13" x14ac:dyDescent="0.2">
      <c r="A562" s="7"/>
      <c r="B562"/>
      <c r="C562"/>
      <c r="K562" s="1"/>
      <c r="M562"/>
    </row>
    <row r="563" spans="1:13" x14ac:dyDescent="0.2">
      <c r="A563" s="7"/>
      <c r="B563"/>
      <c r="C563"/>
      <c r="K563" s="1"/>
      <c r="M563"/>
    </row>
    <row r="564" spans="1:13" x14ac:dyDescent="0.2">
      <c r="A564" s="7"/>
      <c r="B564"/>
      <c r="C564"/>
      <c r="K564" s="1"/>
      <c r="M564"/>
    </row>
    <row r="565" spans="1:13" x14ac:dyDescent="0.2">
      <c r="A565" s="7"/>
      <c r="B565"/>
      <c r="C565"/>
      <c r="K565" s="1"/>
      <c r="M565"/>
    </row>
    <row r="566" spans="1:13" x14ac:dyDescent="0.2">
      <c r="A566" s="7"/>
      <c r="B566"/>
      <c r="C566"/>
      <c r="K566" s="1"/>
      <c r="M566"/>
    </row>
    <row r="567" spans="1:13" x14ac:dyDescent="0.2">
      <c r="A567" s="7"/>
      <c r="B567"/>
      <c r="C567"/>
      <c r="K567" s="1"/>
      <c r="M567"/>
    </row>
    <row r="568" spans="1:13" x14ac:dyDescent="0.2">
      <c r="A568" s="7"/>
      <c r="B568"/>
      <c r="C568"/>
      <c r="K568" s="1"/>
      <c r="M568"/>
    </row>
    <row r="569" spans="1:13" x14ac:dyDescent="0.2">
      <c r="A569" s="7"/>
      <c r="B569"/>
      <c r="C569"/>
      <c r="K569" s="1"/>
      <c r="M569"/>
    </row>
    <row r="570" spans="1:13" x14ac:dyDescent="0.2">
      <c r="A570" s="7"/>
      <c r="B570"/>
      <c r="C570"/>
      <c r="K570" s="1"/>
      <c r="M570"/>
    </row>
    <row r="571" spans="1:13" x14ac:dyDescent="0.2">
      <c r="A571" s="7"/>
      <c r="B571"/>
      <c r="C571"/>
      <c r="K571" s="1"/>
      <c r="M571"/>
    </row>
    <row r="572" spans="1:13" x14ac:dyDescent="0.2">
      <c r="A572" s="7"/>
      <c r="B572"/>
      <c r="C572"/>
      <c r="K572" s="1"/>
      <c r="M572"/>
    </row>
    <row r="573" spans="1:13" x14ac:dyDescent="0.2">
      <c r="A573" s="7"/>
      <c r="B573"/>
      <c r="C573"/>
      <c r="K573" s="1"/>
      <c r="M573"/>
    </row>
    <row r="574" spans="1:13" x14ac:dyDescent="0.2">
      <c r="A574" s="7"/>
      <c r="B574"/>
      <c r="C574"/>
      <c r="K574" s="1"/>
      <c r="M574"/>
    </row>
    <row r="575" spans="1:13" x14ac:dyDescent="0.2">
      <c r="A575" s="7"/>
      <c r="B575"/>
      <c r="C575"/>
      <c r="K575" s="1"/>
      <c r="M575"/>
    </row>
    <row r="576" spans="1:13" x14ac:dyDescent="0.2">
      <c r="A576" s="7"/>
      <c r="B576"/>
      <c r="C576"/>
      <c r="K576" s="1"/>
      <c r="M576"/>
    </row>
    <row r="577" spans="1:13" x14ac:dyDescent="0.2">
      <c r="A577" s="7"/>
      <c r="B577"/>
      <c r="C577"/>
      <c r="K577" s="1"/>
      <c r="M577"/>
    </row>
    <row r="578" spans="1:13" x14ac:dyDescent="0.2">
      <c r="A578" s="7"/>
      <c r="B578"/>
      <c r="C578"/>
      <c r="K578" s="1"/>
      <c r="M578"/>
    </row>
    <row r="579" spans="1:13" x14ac:dyDescent="0.2">
      <c r="A579" s="7"/>
      <c r="B579"/>
      <c r="C579"/>
      <c r="K579" s="1"/>
      <c r="M579"/>
    </row>
    <row r="580" spans="1:13" x14ac:dyDescent="0.2">
      <c r="A580" s="7"/>
      <c r="B580"/>
      <c r="C580"/>
      <c r="K580" s="1"/>
      <c r="M580"/>
    </row>
    <row r="581" spans="1:13" x14ac:dyDescent="0.2">
      <c r="A581" s="7"/>
      <c r="B581"/>
      <c r="C581"/>
      <c r="K581" s="1"/>
      <c r="M581"/>
    </row>
    <row r="582" spans="1:13" x14ac:dyDescent="0.2">
      <c r="A582" s="7"/>
      <c r="B582"/>
      <c r="C582"/>
      <c r="K582" s="1"/>
      <c r="M582"/>
    </row>
    <row r="583" spans="1:13" x14ac:dyDescent="0.2">
      <c r="A583" s="7"/>
      <c r="B583"/>
      <c r="C583"/>
      <c r="K583" s="1"/>
      <c r="M583"/>
    </row>
    <row r="584" spans="1:13" x14ac:dyDescent="0.2">
      <c r="A584" s="7"/>
      <c r="B584"/>
      <c r="C584"/>
      <c r="K584" s="1"/>
      <c r="M584"/>
    </row>
    <row r="585" spans="1:13" x14ac:dyDescent="0.2">
      <c r="A585" s="7"/>
      <c r="B585"/>
      <c r="C585"/>
      <c r="K585" s="1"/>
      <c r="M585"/>
    </row>
    <row r="586" spans="1:13" x14ac:dyDescent="0.2">
      <c r="A586" s="7"/>
      <c r="B586"/>
      <c r="C586"/>
      <c r="K586" s="1"/>
      <c r="M586"/>
    </row>
    <row r="587" spans="1:13" x14ac:dyDescent="0.2">
      <c r="A587" s="7"/>
      <c r="B587"/>
      <c r="C587"/>
      <c r="K587" s="1"/>
      <c r="M587"/>
    </row>
    <row r="588" spans="1:13" x14ac:dyDescent="0.2">
      <c r="A588" s="7"/>
      <c r="B588"/>
      <c r="C588"/>
      <c r="K588" s="1"/>
      <c r="M588"/>
    </row>
    <row r="589" spans="1:13" x14ac:dyDescent="0.2">
      <c r="A589" s="7"/>
      <c r="B589"/>
      <c r="C589"/>
      <c r="K589" s="1"/>
      <c r="M589"/>
    </row>
    <row r="590" spans="1:13" x14ac:dyDescent="0.2">
      <c r="A590" s="7"/>
      <c r="B590"/>
      <c r="C590"/>
      <c r="K590" s="1"/>
      <c r="M590"/>
    </row>
    <row r="591" spans="1:13" x14ac:dyDescent="0.2">
      <c r="A591" s="7"/>
      <c r="B591"/>
      <c r="C591"/>
      <c r="K591" s="1"/>
      <c r="M591"/>
    </row>
    <row r="592" spans="1:13" x14ac:dyDescent="0.2">
      <c r="A592" s="7"/>
      <c r="B592"/>
      <c r="C592"/>
      <c r="K592" s="1"/>
      <c r="M592"/>
    </row>
    <row r="593" spans="1:13" x14ac:dyDescent="0.2">
      <c r="A593" s="7"/>
      <c r="B593"/>
      <c r="C593"/>
      <c r="K593" s="1"/>
      <c r="M593"/>
    </row>
    <row r="594" spans="1:13" x14ac:dyDescent="0.2">
      <c r="A594" s="7"/>
      <c r="B594"/>
      <c r="C594"/>
      <c r="K594" s="1"/>
      <c r="M594"/>
    </row>
    <row r="595" spans="1:13" x14ac:dyDescent="0.2">
      <c r="A595" s="7"/>
      <c r="B595"/>
      <c r="C595"/>
      <c r="K595" s="1"/>
      <c r="M595"/>
    </row>
    <row r="596" spans="1:13" x14ac:dyDescent="0.2">
      <c r="A596" s="7"/>
      <c r="B596"/>
      <c r="C596"/>
      <c r="K596" s="1"/>
      <c r="M596"/>
    </row>
    <row r="597" spans="1:13" x14ac:dyDescent="0.2">
      <c r="A597" s="7"/>
      <c r="B597"/>
      <c r="C597"/>
      <c r="K597" s="1"/>
      <c r="M597"/>
    </row>
    <row r="598" spans="1:13" x14ac:dyDescent="0.2">
      <c r="A598" s="7"/>
      <c r="B598"/>
      <c r="C598"/>
      <c r="K598" s="1"/>
      <c r="M598"/>
    </row>
    <row r="599" spans="1:13" x14ac:dyDescent="0.2">
      <c r="A599" s="7"/>
      <c r="B599"/>
      <c r="C599"/>
      <c r="K599" s="1"/>
      <c r="M599"/>
    </row>
    <row r="600" spans="1:13" x14ac:dyDescent="0.2">
      <c r="A600" s="7"/>
      <c r="B600"/>
      <c r="C600"/>
      <c r="K600" s="1"/>
      <c r="M600"/>
    </row>
    <row r="601" spans="1:13" x14ac:dyDescent="0.2">
      <c r="A601" s="7"/>
      <c r="B601"/>
      <c r="C601"/>
      <c r="K601" s="1"/>
      <c r="M601"/>
    </row>
    <row r="602" spans="1:13" x14ac:dyDescent="0.2">
      <c r="A602" s="7"/>
      <c r="B602"/>
      <c r="C602"/>
      <c r="K602" s="1"/>
      <c r="M602"/>
    </row>
    <row r="603" spans="1:13" x14ac:dyDescent="0.2">
      <c r="A603" s="7"/>
      <c r="B603"/>
      <c r="C603"/>
      <c r="K603" s="1"/>
      <c r="M603"/>
    </row>
    <row r="604" spans="1:13" x14ac:dyDescent="0.2">
      <c r="A604" s="7"/>
      <c r="B604"/>
      <c r="C604"/>
      <c r="K604" s="1"/>
      <c r="M604"/>
    </row>
    <row r="605" spans="1:13" x14ac:dyDescent="0.2">
      <c r="A605" s="7"/>
      <c r="B605"/>
      <c r="C605"/>
      <c r="K605" s="1"/>
      <c r="M605"/>
    </row>
    <row r="606" spans="1:13" x14ac:dyDescent="0.2">
      <c r="A606" s="7"/>
      <c r="B606"/>
      <c r="C606"/>
      <c r="K606" s="1"/>
      <c r="M606"/>
    </row>
    <row r="607" spans="1:13" x14ac:dyDescent="0.2">
      <c r="A607" s="7"/>
      <c r="B607"/>
      <c r="C607"/>
      <c r="K607" s="1"/>
      <c r="M607"/>
    </row>
    <row r="608" spans="1:13" x14ac:dyDescent="0.2">
      <c r="A608" s="7"/>
      <c r="B608"/>
      <c r="C608"/>
      <c r="K608" s="1"/>
      <c r="M608"/>
    </row>
    <row r="609" spans="1:13" x14ac:dyDescent="0.2">
      <c r="A609" s="7"/>
      <c r="B609"/>
      <c r="C609"/>
      <c r="K609" s="1"/>
      <c r="M609"/>
    </row>
    <row r="610" spans="1:13" x14ac:dyDescent="0.2">
      <c r="A610" s="7"/>
      <c r="B610"/>
      <c r="C610"/>
      <c r="K610" s="1"/>
      <c r="M610"/>
    </row>
    <row r="611" spans="1:13" x14ac:dyDescent="0.2">
      <c r="A611" s="7"/>
      <c r="B611"/>
      <c r="C611"/>
      <c r="K611" s="1"/>
      <c r="M611"/>
    </row>
    <row r="612" spans="1:13" x14ac:dyDescent="0.2">
      <c r="A612" s="7"/>
      <c r="B612"/>
      <c r="C612"/>
      <c r="K612" s="1"/>
      <c r="M612"/>
    </row>
    <row r="613" spans="1:13" x14ac:dyDescent="0.2">
      <c r="A613" s="7"/>
      <c r="B613"/>
      <c r="C613"/>
      <c r="K613" s="1"/>
      <c r="M613"/>
    </row>
    <row r="614" spans="1:13" x14ac:dyDescent="0.2">
      <c r="A614" s="7"/>
      <c r="B614"/>
      <c r="C614"/>
      <c r="K614" s="1"/>
      <c r="M614"/>
    </row>
    <row r="615" spans="1:13" x14ac:dyDescent="0.2">
      <c r="A615" s="7"/>
      <c r="B615"/>
      <c r="C615"/>
      <c r="K615" s="1"/>
      <c r="M615"/>
    </row>
    <row r="616" spans="1:13" x14ac:dyDescent="0.2">
      <c r="A616" s="7"/>
      <c r="B616"/>
      <c r="C616"/>
      <c r="K616" s="1"/>
      <c r="M616"/>
    </row>
    <row r="617" spans="1:13" x14ac:dyDescent="0.2">
      <c r="A617" s="7"/>
      <c r="B617"/>
      <c r="C617"/>
      <c r="K617" s="1"/>
      <c r="M617"/>
    </row>
    <row r="618" spans="1:13" x14ac:dyDescent="0.2">
      <c r="A618" s="7"/>
      <c r="B618"/>
      <c r="C618"/>
      <c r="K618" s="1"/>
      <c r="M618"/>
    </row>
    <row r="619" spans="1:13" x14ac:dyDescent="0.2">
      <c r="A619" s="7"/>
      <c r="B619"/>
      <c r="C619"/>
      <c r="K619" s="1"/>
      <c r="M619"/>
    </row>
    <row r="620" spans="1:13" x14ac:dyDescent="0.2">
      <c r="A620" s="7"/>
      <c r="B620"/>
      <c r="C620"/>
      <c r="K620" s="1"/>
      <c r="M620"/>
    </row>
    <row r="621" spans="1:13" x14ac:dyDescent="0.2">
      <c r="A621" s="7"/>
      <c r="B621"/>
      <c r="C621"/>
      <c r="K621" s="1"/>
      <c r="M621"/>
    </row>
    <row r="622" spans="1:13" x14ac:dyDescent="0.2">
      <c r="A622" s="7"/>
      <c r="B622"/>
      <c r="C622"/>
      <c r="K622" s="1"/>
      <c r="M622"/>
    </row>
    <row r="623" spans="1:13" x14ac:dyDescent="0.2">
      <c r="A623" s="7"/>
      <c r="B623"/>
      <c r="C623"/>
      <c r="K623" s="1"/>
      <c r="M623"/>
    </row>
    <row r="624" spans="1:13" x14ac:dyDescent="0.2">
      <c r="A624" s="7"/>
      <c r="B624"/>
      <c r="C624"/>
      <c r="K624" s="1"/>
      <c r="M624"/>
    </row>
    <row r="625" spans="1:13" x14ac:dyDescent="0.2">
      <c r="A625" s="7"/>
      <c r="B625"/>
      <c r="C625"/>
      <c r="K625" s="1"/>
      <c r="M625"/>
    </row>
    <row r="626" spans="1:13" x14ac:dyDescent="0.2">
      <c r="A626" s="7"/>
      <c r="B626"/>
      <c r="C626"/>
      <c r="K626" s="1"/>
      <c r="M626"/>
    </row>
    <row r="627" spans="1:13" x14ac:dyDescent="0.2">
      <c r="A627" s="7"/>
      <c r="B627"/>
      <c r="C627"/>
      <c r="K627" s="1"/>
      <c r="M627"/>
    </row>
    <row r="628" spans="1:13" x14ac:dyDescent="0.2">
      <c r="A628" s="7"/>
      <c r="B628"/>
      <c r="C628"/>
      <c r="K628" s="1"/>
      <c r="M628"/>
    </row>
    <row r="629" spans="1:13" x14ac:dyDescent="0.2">
      <c r="A629" s="7"/>
      <c r="B629"/>
      <c r="C629"/>
      <c r="K629" s="1"/>
      <c r="M629"/>
    </row>
    <row r="630" spans="1:13" x14ac:dyDescent="0.2">
      <c r="A630" s="7"/>
      <c r="B630"/>
      <c r="C630"/>
      <c r="K630" s="1"/>
      <c r="M630"/>
    </row>
    <row r="631" spans="1:13" x14ac:dyDescent="0.2">
      <c r="A631" s="7"/>
      <c r="B631"/>
      <c r="C631"/>
      <c r="K631" s="1"/>
      <c r="M631"/>
    </row>
    <row r="632" spans="1:13" x14ac:dyDescent="0.2">
      <c r="A632" s="7"/>
      <c r="B632"/>
      <c r="C632"/>
      <c r="K632" s="1"/>
      <c r="M632"/>
    </row>
    <row r="633" spans="1:13" x14ac:dyDescent="0.2">
      <c r="A633" s="7"/>
      <c r="B633"/>
      <c r="C633"/>
      <c r="K633" s="1"/>
      <c r="M633"/>
    </row>
    <row r="634" spans="1:13" x14ac:dyDescent="0.2">
      <c r="A634" s="7"/>
      <c r="B634"/>
      <c r="C634"/>
      <c r="K634" s="1"/>
      <c r="M634"/>
    </row>
    <row r="635" spans="1:13" x14ac:dyDescent="0.2">
      <c r="A635" s="7"/>
      <c r="B635"/>
      <c r="C635"/>
      <c r="K635" s="1"/>
      <c r="M635"/>
    </row>
    <row r="636" spans="1:13" x14ac:dyDescent="0.2">
      <c r="A636" s="7"/>
      <c r="B636"/>
      <c r="C636"/>
      <c r="K636" s="1"/>
      <c r="M636"/>
    </row>
    <row r="637" spans="1:13" x14ac:dyDescent="0.2">
      <c r="A637" s="7"/>
      <c r="B637"/>
      <c r="C637"/>
      <c r="K637" s="1"/>
      <c r="M637"/>
    </row>
    <row r="638" spans="1:13" x14ac:dyDescent="0.2">
      <c r="A638" s="7"/>
      <c r="B638"/>
      <c r="C638"/>
      <c r="K638" s="1"/>
      <c r="M638"/>
    </row>
    <row r="639" spans="1:13" x14ac:dyDescent="0.2">
      <c r="A639" s="7"/>
      <c r="B639"/>
      <c r="C639"/>
      <c r="K639" s="1"/>
      <c r="M639"/>
    </row>
    <row r="640" spans="1:13" x14ac:dyDescent="0.2">
      <c r="A640" s="7"/>
      <c r="B640"/>
      <c r="C640"/>
      <c r="K640" s="1"/>
      <c r="M640"/>
    </row>
    <row r="641" spans="1:13" x14ac:dyDescent="0.2">
      <c r="A641" s="7"/>
      <c r="B641"/>
      <c r="C641"/>
      <c r="K641" s="1"/>
      <c r="M641"/>
    </row>
    <row r="642" spans="1:13" x14ac:dyDescent="0.2">
      <c r="A642" s="7"/>
      <c r="B642"/>
      <c r="C642"/>
      <c r="K642" s="1"/>
      <c r="M642"/>
    </row>
    <row r="643" spans="1:13" x14ac:dyDescent="0.2">
      <c r="A643" s="7"/>
      <c r="B643"/>
      <c r="C643"/>
      <c r="K643" s="1"/>
      <c r="M643"/>
    </row>
    <row r="644" spans="1:13" x14ac:dyDescent="0.2">
      <c r="A644" s="7"/>
      <c r="B644"/>
      <c r="C644"/>
      <c r="K644" s="1"/>
      <c r="M644"/>
    </row>
    <row r="645" spans="1:13" x14ac:dyDescent="0.2">
      <c r="A645" s="7"/>
      <c r="B645"/>
      <c r="C645"/>
      <c r="K645" s="1"/>
      <c r="M645"/>
    </row>
    <row r="646" spans="1:13" x14ac:dyDescent="0.2">
      <c r="A646" s="7"/>
      <c r="B646"/>
      <c r="C646"/>
      <c r="K646" s="1"/>
      <c r="M646"/>
    </row>
    <row r="647" spans="1:13" x14ac:dyDescent="0.2">
      <c r="A647" s="7"/>
      <c r="B647"/>
      <c r="C647"/>
      <c r="K647" s="1"/>
      <c r="M647"/>
    </row>
    <row r="648" spans="1:13" x14ac:dyDescent="0.2">
      <c r="A648" s="7"/>
      <c r="B648"/>
      <c r="C648"/>
      <c r="K648" s="1"/>
      <c r="M648"/>
    </row>
    <row r="649" spans="1:13" x14ac:dyDescent="0.2">
      <c r="A649" s="7"/>
      <c r="B649"/>
      <c r="C649"/>
      <c r="K649" s="1"/>
      <c r="M649"/>
    </row>
    <row r="650" spans="1:13" x14ac:dyDescent="0.2">
      <c r="A650" s="7"/>
      <c r="B650"/>
      <c r="C650"/>
      <c r="K650" s="1"/>
      <c r="M650"/>
    </row>
    <row r="651" spans="1:13" x14ac:dyDescent="0.2">
      <c r="A651" s="7"/>
      <c r="B651"/>
      <c r="C651"/>
      <c r="K651" s="1"/>
      <c r="M651"/>
    </row>
    <row r="652" spans="1:13" x14ac:dyDescent="0.2">
      <c r="A652" s="7"/>
      <c r="B652"/>
      <c r="C652"/>
      <c r="K652" s="1"/>
      <c r="M652"/>
    </row>
    <row r="653" spans="1:13" x14ac:dyDescent="0.2">
      <c r="A653" s="7"/>
      <c r="B653"/>
      <c r="C653"/>
      <c r="K653" s="1"/>
      <c r="M653"/>
    </row>
    <row r="654" spans="1:13" x14ac:dyDescent="0.2">
      <c r="A654" s="7"/>
      <c r="B654"/>
      <c r="C654"/>
      <c r="K654" s="1"/>
      <c r="M654"/>
    </row>
    <row r="655" spans="1:13" x14ac:dyDescent="0.2">
      <c r="A655" s="7"/>
      <c r="B655"/>
      <c r="C655"/>
      <c r="K655" s="1"/>
      <c r="M655"/>
    </row>
    <row r="656" spans="1:13" x14ac:dyDescent="0.2">
      <c r="A656" s="7"/>
      <c r="B656"/>
      <c r="C656"/>
      <c r="K656" s="1"/>
      <c r="M656"/>
    </row>
    <row r="657" spans="1:13" x14ac:dyDescent="0.2">
      <c r="A657" s="7"/>
      <c r="B657"/>
      <c r="C657"/>
      <c r="K657" s="1"/>
      <c r="M657"/>
    </row>
    <row r="658" spans="1:13" x14ac:dyDescent="0.2">
      <c r="A658" s="7"/>
      <c r="B658"/>
      <c r="C658"/>
      <c r="K658" s="1"/>
      <c r="M658"/>
    </row>
    <row r="659" spans="1:13" x14ac:dyDescent="0.2">
      <c r="A659" s="7"/>
      <c r="B659"/>
      <c r="C659"/>
      <c r="K659" s="1"/>
      <c r="M659"/>
    </row>
    <row r="660" spans="1:13" x14ac:dyDescent="0.2">
      <c r="A660" s="7"/>
      <c r="B660"/>
      <c r="C660"/>
      <c r="K660" s="1"/>
      <c r="M660"/>
    </row>
    <row r="661" spans="1:13" x14ac:dyDescent="0.2">
      <c r="A661" s="7"/>
      <c r="B661"/>
      <c r="C661"/>
      <c r="K661" s="1"/>
      <c r="M661"/>
    </row>
    <row r="662" spans="1:13" x14ac:dyDescent="0.2">
      <c r="A662" s="7"/>
      <c r="B662"/>
      <c r="C662"/>
      <c r="K662" s="1"/>
      <c r="M662"/>
    </row>
    <row r="663" spans="1:13" x14ac:dyDescent="0.2">
      <c r="A663" s="7"/>
      <c r="B663"/>
      <c r="C663"/>
      <c r="K663" s="1"/>
      <c r="M663"/>
    </row>
    <row r="664" spans="1:13" x14ac:dyDescent="0.2">
      <c r="A664" s="7"/>
      <c r="B664"/>
      <c r="C664"/>
      <c r="K664" s="1"/>
      <c r="M664"/>
    </row>
    <row r="665" spans="1:13" x14ac:dyDescent="0.2">
      <c r="A665" s="7"/>
      <c r="B665"/>
      <c r="C665"/>
      <c r="K665" s="1"/>
      <c r="M665"/>
    </row>
    <row r="666" spans="1:13" x14ac:dyDescent="0.2">
      <c r="A666" s="7"/>
      <c r="B666"/>
      <c r="C666"/>
      <c r="K666" s="1"/>
      <c r="M666"/>
    </row>
    <row r="667" spans="1:13" x14ac:dyDescent="0.2">
      <c r="A667" s="7"/>
      <c r="B667"/>
      <c r="C667"/>
      <c r="K667" s="1"/>
      <c r="M667"/>
    </row>
    <row r="668" spans="1:13" x14ac:dyDescent="0.2">
      <c r="A668" s="7"/>
      <c r="B668"/>
      <c r="C668"/>
      <c r="K668" s="1"/>
      <c r="M668"/>
    </row>
    <row r="669" spans="1:13" x14ac:dyDescent="0.2">
      <c r="A669" s="7"/>
      <c r="B669"/>
      <c r="C669"/>
      <c r="K669" s="1"/>
      <c r="M669"/>
    </row>
    <row r="670" spans="1:13" x14ac:dyDescent="0.2">
      <c r="A670" s="7"/>
      <c r="B670"/>
      <c r="C670"/>
      <c r="K670" s="1"/>
      <c r="M670"/>
    </row>
    <row r="671" spans="1:13" x14ac:dyDescent="0.2">
      <c r="A671" s="7"/>
      <c r="B671"/>
      <c r="C671"/>
      <c r="K671" s="1"/>
      <c r="M671"/>
    </row>
    <row r="672" spans="1:13" x14ac:dyDescent="0.2">
      <c r="A672" s="7"/>
      <c r="B672"/>
      <c r="C672"/>
      <c r="K672" s="1"/>
      <c r="M672"/>
    </row>
    <row r="673" spans="1:13" x14ac:dyDescent="0.2">
      <c r="A673" s="7"/>
      <c r="B673"/>
      <c r="C673"/>
      <c r="K673" s="1"/>
      <c r="M673"/>
    </row>
    <row r="674" spans="1:13" x14ac:dyDescent="0.2">
      <c r="A674" s="7"/>
      <c r="B674"/>
      <c r="C674"/>
      <c r="K674" s="1"/>
      <c r="M674"/>
    </row>
    <row r="675" spans="1:13" x14ac:dyDescent="0.2">
      <c r="A675" s="7"/>
      <c r="B675"/>
      <c r="C675"/>
      <c r="K675" s="1"/>
      <c r="M675"/>
    </row>
    <row r="676" spans="1:13" x14ac:dyDescent="0.2">
      <c r="A676" s="7"/>
      <c r="B676"/>
      <c r="C676"/>
      <c r="K676" s="1"/>
      <c r="M676"/>
    </row>
    <row r="677" spans="1:13" x14ac:dyDescent="0.2">
      <c r="A677" s="7"/>
      <c r="B677"/>
      <c r="C677"/>
      <c r="K677" s="1"/>
      <c r="M677"/>
    </row>
    <row r="678" spans="1:13" x14ac:dyDescent="0.2">
      <c r="A678" s="7"/>
      <c r="B678"/>
      <c r="C678"/>
      <c r="K678" s="1"/>
      <c r="M678"/>
    </row>
    <row r="679" spans="1:13" x14ac:dyDescent="0.2">
      <c r="A679" s="7"/>
      <c r="B679"/>
      <c r="C679"/>
      <c r="K679" s="1"/>
      <c r="M679"/>
    </row>
    <row r="680" spans="1:13" x14ac:dyDescent="0.2">
      <c r="A680" s="7"/>
      <c r="B680"/>
      <c r="C680"/>
      <c r="K680" s="1"/>
      <c r="M680"/>
    </row>
    <row r="681" spans="1:13" x14ac:dyDescent="0.2">
      <c r="A681" s="7"/>
      <c r="B681"/>
      <c r="C681"/>
      <c r="K681" s="1"/>
      <c r="M681"/>
    </row>
    <row r="682" spans="1:13" x14ac:dyDescent="0.2">
      <c r="A682" s="7"/>
      <c r="B682"/>
      <c r="C682"/>
      <c r="K682" s="1"/>
      <c r="M682"/>
    </row>
    <row r="683" spans="1:13" x14ac:dyDescent="0.2">
      <c r="A683" s="7"/>
      <c r="B683"/>
      <c r="C683"/>
      <c r="K683" s="1"/>
      <c r="M683"/>
    </row>
    <row r="684" spans="1:13" x14ac:dyDescent="0.2">
      <c r="A684" s="7"/>
      <c r="B684"/>
      <c r="C684"/>
      <c r="K684" s="1"/>
      <c r="M684"/>
    </row>
    <row r="685" spans="1:13" x14ac:dyDescent="0.2">
      <c r="A685" s="7"/>
      <c r="B685"/>
      <c r="C685"/>
      <c r="K685" s="1"/>
      <c r="M685"/>
    </row>
    <row r="686" spans="1:13" x14ac:dyDescent="0.2">
      <c r="A686" s="7"/>
      <c r="B686"/>
      <c r="C686"/>
      <c r="K686" s="1"/>
      <c r="M686"/>
    </row>
    <row r="687" spans="1:13" x14ac:dyDescent="0.2">
      <c r="A687" s="7"/>
      <c r="B687"/>
      <c r="C687"/>
      <c r="K687" s="1"/>
      <c r="M687"/>
    </row>
    <row r="688" spans="1:13" x14ac:dyDescent="0.2">
      <c r="A688" s="7"/>
      <c r="B688"/>
      <c r="C688"/>
      <c r="K688" s="1"/>
      <c r="M688"/>
    </row>
    <row r="689" spans="1:13" x14ac:dyDescent="0.2">
      <c r="A689" s="7"/>
      <c r="B689"/>
      <c r="C689"/>
      <c r="K689" s="1"/>
      <c r="M689"/>
    </row>
    <row r="690" spans="1:13" x14ac:dyDescent="0.2">
      <c r="A690" s="7"/>
      <c r="B690"/>
      <c r="C690"/>
      <c r="K690" s="1"/>
      <c r="M690"/>
    </row>
    <row r="691" spans="1:13" x14ac:dyDescent="0.2">
      <c r="A691" s="7"/>
      <c r="B691"/>
      <c r="C691"/>
      <c r="K691" s="1"/>
      <c r="M691"/>
    </row>
    <row r="692" spans="1:13" x14ac:dyDescent="0.2">
      <c r="A692" s="7"/>
      <c r="B692"/>
      <c r="C692"/>
      <c r="K692" s="1"/>
      <c r="M692"/>
    </row>
    <row r="693" spans="1:13" x14ac:dyDescent="0.2">
      <c r="A693" s="7"/>
      <c r="B693"/>
      <c r="C693"/>
      <c r="K693" s="1"/>
      <c r="M693"/>
    </row>
    <row r="694" spans="1:13" x14ac:dyDescent="0.2">
      <c r="A694" s="7"/>
      <c r="B694"/>
      <c r="C694"/>
      <c r="K694" s="1"/>
      <c r="M694"/>
    </row>
    <row r="695" spans="1:13" x14ac:dyDescent="0.2">
      <c r="A695" s="7"/>
      <c r="B695"/>
      <c r="C695"/>
      <c r="K695" s="1"/>
      <c r="M695"/>
    </row>
    <row r="696" spans="1:13" x14ac:dyDescent="0.2">
      <c r="A696" s="7"/>
      <c r="B696"/>
      <c r="C696"/>
      <c r="K696" s="1"/>
      <c r="M696"/>
    </row>
    <row r="697" spans="1:13" x14ac:dyDescent="0.2">
      <c r="A697" s="7"/>
      <c r="B697"/>
      <c r="C697"/>
      <c r="K697" s="1"/>
      <c r="M697"/>
    </row>
    <row r="698" spans="1:13" x14ac:dyDescent="0.2">
      <c r="A698" s="7"/>
      <c r="B698"/>
      <c r="C698"/>
      <c r="K698" s="1"/>
      <c r="M698"/>
    </row>
    <row r="699" spans="1:13" x14ac:dyDescent="0.2">
      <c r="A699" s="7"/>
      <c r="B699"/>
      <c r="C699"/>
      <c r="K699" s="1"/>
      <c r="M699"/>
    </row>
    <row r="700" spans="1:13" x14ac:dyDescent="0.2">
      <c r="A700" s="7"/>
      <c r="B700"/>
      <c r="C700"/>
      <c r="K700" s="1"/>
      <c r="M700"/>
    </row>
    <row r="701" spans="1:13" x14ac:dyDescent="0.2">
      <c r="A701" s="7"/>
      <c r="B701"/>
      <c r="C701"/>
      <c r="K701" s="1"/>
      <c r="M701"/>
    </row>
    <row r="702" spans="1:13" x14ac:dyDescent="0.2">
      <c r="A702" s="7"/>
      <c r="B702"/>
      <c r="C702"/>
      <c r="K702" s="1"/>
      <c r="M702"/>
    </row>
    <row r="703" spans="1:13" x14ac:dyDescent="0.2">
      <c r="A703" s="7"/>
      <c r="B703"/>
      <c r="C703"/>
      <c r="K703" s="1"/>
      <c r="M703"/>
    </row>
    <row r="704" spans="1:13" x14ac:dyDescent="0.2">
      <c r="A704" s="7"/>
      <c r="B704"/>
      <c r="C704"/>
      <c r="K704" s="1"/>
      <c r="M704"/>
    </row>
    <row r="705" spans="1:13" x14ac:dyDescent="0.2">
      <c r="A705" s="7"/>
      <c r="B705"/>
      <c r="C705"/>
      <c r="K705" s="1"/>
      <c r="M705"/>
    </row>
    <row r="706" spans="1:13" x14ac:dyDescent="0.2">
      <c r="A706" s="7"/>
      <c r="B706"/>
      <c r="C706"/>
      <c r="K706" s="1"/>
      <c r="M706"/>
    </row>
    <row r="707" spans="1:13" x14ac:dyDescent="0.2">
      <c r="A707" s="7"/>
      <c r="B707"/>
      <c r="C707"/>
      <c r="K707" s="1"/>
      <c r="M707"/>
    </row>
    <row r="708" spans="1:13" x14ac:dyDescent="0.2">
      <c r="A708" s="7"/>
      <c r="B708"/>
      <c r="C708"/>
      <c r="K708" s="1"/>
      <c r="M708"/>
    </row>
    <row r="709" spans="1:13" x14ac:dyDescent="0.2">
      <c r="A709" s="7"/>
      <c r="B709"/>
      <c r="C709"/>
      <c r="K709" s="1"/>
      <c r="M709"/>
    </row>
    <row r="710" spans="1:13" x14ac:dyDescent="0.2">
      <c r="A710" s="7"/>
      <c r="B710"/>
      <c r="C710"/>
      <c r="K710" s="1"/>
      <c r="M710"/>
    </row>
    <row r="711" spans="1:13" x14ac:dyDescent="0.2">
      <c r="A711" s="7"/>
      <c r="B711"/>
      <c r="C711"/>
      <c r="K711" s="1"/>
      <c r="M711"/>
    </row>
    <row r="712" spans="1:13" x14ac:dyDescent="0.2">
      <c r="A712" s="7"/>
      <c r="B712"/>
      <c r="C712"/>
      <c r="K712" s="1"/>
      <c r="M712"/>
    </row>
    <row r="713" spans="1:13" x14ac:dyDescent="0.2">
      <c r="A713" s="7"/>
      <c r="B713"/>
      <c r="C713"/>
      <c r="K713" s="1"/>
      <c r="M713"/>
    </row>
    <row r="714" spans="1:13" x14ac:dyDescent="0.2">
      <c r="A714" s="7"/>
      <c r="B714"/>
      <c r="C714"/>
      <c r="K714" s="1"/>
      <c r="M714"/>
    </row>
    <row r="715" spans="1:13" x14ac:dyDescent="0.2">
      <c r="A715" s="7"/>
      <c r="B715"/>
      <c r="C715"/>
      <c r="K715" s="1"/>
      <c r="M715"/>
    </row>
    <row r="716" spans="1:13" x14ac:dyDescent="0.2">
      <c r="A716" s="7"/>
      <c r="B716"/>
      <c r="C716"/>
      <c r="K716" s="1"/>
      <c r="M716"/>
    </row>
    <row r="717" spans="1:13" x14ac:dyDescent="0.2">
      <c r="A717" s="7"/>
      <c r="B717"/>
      <c r="C717"/>
      <c r="K717" s="1"/>
      <c r="M717"/>
    </row>
    <row r="718" spans="1:13" x14ac:dyDescent="0.2">
      <c r="A718" s="7"/>
      <c r="B718"/>
      <c r="C718"/>
      <c r="K718" s="1"/>
      <c r="M718"/>
    </row>
    <row r="719" spans="1:13" x14ac:dyDescent="0.2">
      <c r="A719" s="7"/>
      <c r="B719"/>
      <c r="C719"/>
      <c r="K719" s="1"/>
      <c r="M719"/>
    </row>
    <row r="720" spans="1:13" x14ac:dyDescent="0.2">
      <c r="A720" s="7"/>
      <c r="B720"/>
      <c r="C720"/>
      <c r="K720" s="1"/>
      <c r="M720"/>
    </row>
    <row r="721" spans="1:13" x14ac:dyDescent="0.2">
      <c r="A721" s="7"/>
      <c r="B721"/>
      <c r="C721"/>
      <c r="K721" s="1"/>
      <c r="M721"/>
    </row>
    <row r="722" spans="1:13" x14ac:dyDescent="0.2">
      <c r="A722" s="7"/>
      <c r="B722"/>
      <c r="C722"/>
      <c r="K722" s="1"/>
      <c r="M722"/>
    </row>
    <row r="723" spans="1:13" x14ac:dyDescent="0.2">
      <c r="A723" s="7"/>
      <c r="B723"/>
      <c r="C723"/>
      <c r="K723" s="1"/>
      <c r="M723"/>
    </row>
    <row r="724" spans="1:13" x14ac:dyDescent="0.2">
      <c r="A724" s="7"/>
      <c r="B724"/>
      <c r="C724"/>
      <c r="K724" s="1"/>
      <c r="M724"/>
    </row>
    <row r="725" spans="1:13" x14ac:dyDescent="0.2">
      <c r="A725" s="7"/>
      <c r="B725"/>
      <c r="C725"/>
      <c r="K725" s="1"/>
      <c r="M725"/>
    </row>
    <row r="726" spans="1:13" x14ac:dyDescent="0.2">
      <c r="A726" s="7"/>
      <c r="B726"/>
      <c r="C726"/>
      <c r="K726" s="1"/>
      <c r="M726"/>
    </row>
    <row r="727" spans="1:13" x14ac:dyDescent="0.2">
      <c r="A727" s="7"/>
      <c r="B727"/>
      <c r="C727"/>
      <c r="K727" s="1"/>
      <c r="M727"/>
    </row>
    <row r="728" spans="1:13" x14ac:dyDescent="0.2">
      <c r="A728" s="7"/>
      <c r="B728"/>
      <c r="C728"/>
      <c r="K728" s="1"/>
      <c r="M728"/>
    </row>
    <row r="729" spans="1:13" x14ac:dyDescent="0.2">
      <c r="A729" s="7"/>
      <c r="B729"/>
      <c r="C729"/>
      <c r="K729" s="1"/>
      <c r="M729"/>
    </row>
    <row r="730" spans="1:13" x14ac:dyDescent="0.2">
      <c r="A730" s="7"/>
      <c r="B730"/>
      <c r="C730"/>
      <c r="K730" s="1"/>
      <c r="M730"/>
    </row>
    <row r="731" spans="1:13" x14ac:dyDescent="0.2">
      <c r="A731" s="7"/>
      <c r="B731"/>
      <c r="C731"/>
      <c r="K731" s="1"/>
      <c r="M731"/>
    </row>
    <row r="732" spans="1:13" x14ac:dyDescent="0.2">
      <c r="A732" s="7"/>
      <c r="B732"/>
      <c r="C732"/>
      <c r="K732" s="1"/>
      <c r="M732"/>
    </row>
    <row r="733" spans="1:13" x14ac:dyDescent="0.2">
      <c r="A733" s="7"/>
      <c r="B733"/>
      <c r="C733"/>
      <c r="K733" s="1"/>
      <c r="M733"/>
    </row>
    <row r="734" spans="1:13" x14ac:dyDescent="0.2">
      <c r="A734" s="7"/>
      <c r="B734"/>
      <c r="C734"/>
      <c r="K734" s="1"/>
      <c r="M734"/>
    </row>
    <row r="735" spans="1:13" x14ac:dyDescent="0.2">
      <c r="A735" s="7"/>
      <c r="B735"/>
      <c r="C735"/>
      <c r="K735" s="1"/>
      <c r="M735"/>
    </row>
    <row r="736" spans="1:13" x14ac:dyDescent="0.2">
      <c r="A736" s="7"/>
      <c r="B736"/>
      <c r="C736"/>
      <c r="K736" s="1"/>
      <c r="M736"/>
    </row>
    <row r="737" spans="1:13" x14ac:dyDescent="0.2">
      <c r="A737" s="7"/>
      <c r="B737"/>
      <c r="C737"/>
      <c r="K737" s="1"/>
      <c r="M737"/>
    </row>
    <row r="738" spans="1:13" x14ac:dyDescent="0.2">
      <c r="A738" s="7"/>
      <c r="B738"/>
      <c r="C738"/>
      <c r="K738" s="1"/>
      <c r="M738"/>
    </row>
    <row r="739" spans="1:13" x14ac:dyDescent="0.2">
      <c r="A739" s="7"/>
      <c r="B739"/>
      <c r="C739"/>
      <c r="K739" s="1"/>
      <c r="M739"/>
    </row>
    <row r="740" spans="1:13" x14ac:dyDescent="0.2">
      <c r="A740" s="7"/>
      <c r="B740"/>
      <c r="C740"/>
      <c r="K740" s="1"/>
      <c r="M740"/>
    </row>
    <row r="741" spans="1:13" x14ac:dyDescent="0.2">
      <c r="A741" s="7"/>
      <c r="B741"/>
      <c r="C741"/>
      <c r="K741" s="1"/>
      <c r="M741"/>
    </row>
    <row r="742" spans="1:13" x14ac:dyDescent="0.2">
      <c r="A742" s="7"/>
      <c r="B742"/>
      <c r="C742"/>
      <c r="K742" s="1"/>
      <c r="M742"/>
    </row>
    <row r="743" spans="1:13" x14ac:dyDescent="0.2">
      <c r="A743" s="7"/>
      <c r="B743"/>
      <c r="C743"/>
      <c r="K743" s="1"/>
      <c r="M743"/>
    </row>
    <row r="744" spans="1:13" x14ac:dyDescent="0.2">
      <c r="A744" s="7"/>
      <c r="B744"/>
      <c r="C744"/>
      <c r="K744" s="1"/>
      <c r="M744"/>
    </row>
    <row r="745" spans="1:13" x14ac:dyDescent="0.2">
      <c r="A745" s="7"/>
      <c r="B745"/>
      <c r="C745"/>
      <c r="K745" s="1"/>
      <c r="M745"/>
    </row>
    <row r="746" spans="1:13" x14ac:dyDescent="0.2">
      <c r="A746" s="7"/>
      <c r="B746"/>
      <c r="C746"/>
      <c r="K746" s="1"/>
      <c r="M746"/>
    </row>
    <row r="747" spans="1:13" x14ac:dyDescent="0.2">
      <c r="A747" s="7"/>
      <c r="B747"/>
      <c r="C747"/>
      <c r="K747" s="1"/>
      <c r="M747"/>
    </row>
    <row r="748" spans="1:13" x14ac:dyDescent="0.2">
      <c r="A748" s="7"/>
      <c r="B748"/>
      <c r="C748"/>
      <c r="K748" s="1"/>
      <c r="M748"/>
    </row>
    <row r="749" spans="1:13" x14ac:dyDescent="0.2">
      <c r="A749" s="7"/>
      <c r="B749"/>
      <c r="C749"/>
      <c r="K749" s="1"/>
      <c r="M749"/>
    </row>
    <row r="750" spans="1:13" x14ac:dyDescent="0.2">
      <c r="A750" s="7"/>
      <c r="B750"/>
      <c r="C750"/>
      <c r="K750" s="1"/>
      <c r="M750"/>
    </row>
    <row r="751" spans="1:13" x14ac:dyDescent="0.2">
      <c r="A751" s="7"/>
      <c r="B751"/>
      <c r="C751"/>
      <c r="K751" s="1"/>
      <c r="M751"/>
    </row>
    <row r="752" spans="1:13" x14ac:dyDescent="0.2">
      <c r="A752" s="7"/>
      <c r="B752"/>
      <c r="C752"/>
      <c r="K752" s="1"/>
      <c r="M752"/>
    </row>
    <row r="753" spans="1:13" x14ac:dyDescent="0.2">
      <c r="A753" s="7"/>
      <c r="B753"/>
      <c r="C753"/>
      <c r="K753" s="1"/>
      <c r="M753"/>
    </row>
    <row r="754" spans="1:13" x14ac:dyDescent="0.2">
      <c r="A754" s="7"/>
      <c r="B754"/>
      <c r="C754"/>
      <c r="K754" s="1"/>
      <c r="M754"/>
    </row>
    <row r="755" spans="1:13" x14ac:dyDescent="0.2">
      <c r="A755" s="7"/>
      <c r="B755"/>
      <c r="C755"/>
      <c r="K755" s="1"/>
      <c r="M755"/>
    </row>
    <row r="756" spans="1:13" x14ac:dyDescent="0.2">
      <c r="A756" s="7"/>
      <c r="B756"/>
      <c r="C756"/>
      <c r="K756" s="1"/>
      <c r="M756"/>
    </row>
    <row r="757" spans="1:13" x14ac:dyDescent="0.2">
      <c r="A757" s="7"/>
      <c r="B757"/>
      <c r="C757"/>
      <c r="K757" s="1"/>
      <c r="M757"/>
    </row>
    <row r="758" spans="1:13" x14ac:dyDescent="0.2">
      <c r="A758" s="7"/>
      <c r="B758"/>
      <c r="C758"/>
      <c r="K758" s="1"/>
      <c r="M758"/>
    </row>
    <row r="759" spans="1:13" x14ac:dyDescent="0.2">
      <c r="A759" s="7"/>
      <c r="B759"/>
      <c r="C759"/>
      <c r="K759" s="1"/>
      <c r="M759"/>
    </row>
    <row r="760" spans="1:13" x14ac:dyDescent="0.2">
      <c r="A760" s="7"/>
      <c r="B760"/>
      <c r="C760"/>
      <c r="K760" s="1"/>
      <c r="M760"/>
    </row>
    <row r="761" spans="1:13" x14ac:dyDescent="0.2">
      <c r="A761" s="7"/>
      <c r="B761"/>
      <c r="C761"/>
      <c r="K761" s="1"/>
      <c r="M761"/>
    </row>
    <row r="762" spans="1:13" x14ac:dyDescent="0.2">
      <c r="A762" s="7"/>
      <c r="B762"/>
      <c r="C762"/>
      <c r="K762" s="1"/>
      <c r="M762"/>
    </row>
    <row r="763" spans="1:13" x14ac:dyDescent="0.2">
      <c r="A763" s="7"/>
      <c r="B763"/>
      <c r="C763"/>
      <c r="K763" s="1"/>
      <c r="M763"/>
    </row>
    <row r="764" spans="1:13" x14ac:dyDescent="0.2">
      <c r="A764" s="7"/>
      <c r="B764"/>
      <c r="C764"/>
      <c r="K764" s="1"/>
      <c r="M764"/>
    </row>
    <row r="765" spans="1:13" x14ac:dyDescent="0.2">
      <c r="A765" s="7"/>
      <c r="B765"/>
      <c r="C765"/>
      <c r="K765" s="1"/>
      <c r="M765"/>
    </row>
    <row r="766" spans="1:13" x14ac:dyDescent="0.2">
      <c r="A766" s="7"/>
      <c r="B766"/>
      <c r="C766"/>
      <c r="K766" s="1"/>
      <c r="M766"/>
    </row>
    <row r="767" spans="1:13" x14ac:dyDescent="0.2">
      <c r="A767" s="7"/>
      <c r="B767"/>
      <c r="C767"/>
      <c r="K767" s="1"/>
      <c r="M767"/>
    </row>
    <row r="768" spans="1:13" x14ac:dyDescent="0.2">
      <c r="A768" s="7"/>
      <c r="B768"/>
      <c r="C768"/>
      <c r="K768" s="1"/>
      <c r="M768"/>
    </row>
    <row r="769" spans="1:13" x14ac:dyDescent="0.2">
      <c r="A769" s="7"/>
      <c r="B769"/>
      <c r="C769"/>
      <c r="K769" s="1"/>
      <c r="M769"/>
    </row>
    <row r="770" spans="1:13" x14ac:dyDescent="0.2">
      <c r="A770" s="7"/>
      <c r="B770"/>
      <c r="C770"/>
      <c r="K770" s="1"/>
      <c r="M770"/>
    </row>
    <row r="771" spans="1:13" x14ac:dyDescent="0.2">
      <c r="A771" s="7"/>
      <c r="B771"/>
      <c r="C771"/>
      <c r="K771" s="1"/>
      <c r="M771"/>
    </row>
    <row r="772" spans="1:13" x14ac:dyDescent="0.2">
      <c r="A772" s="7"/>
      <c r="B772"/>
      <c r="C772"/>
      <c r="K772" s="1"/>
      <c r="M772"/>
    </row>
    <row r="773" spans="1:13" x14ac:dyDescent="0.2">
      <c r="A773" s="7"/>
      <c r="B773"/>
      <c r="C773"/>
      <c r="K773" s="1"/>
      <c r="M773"/>
    </row>
    <row r="774" spans="1:13" x14ac:dyDescent="0.2">
      <c r="A774" s="7"/>
      <c r="B774"/>
      <c r="C774"/>
      <c r="K774" s="1"/>
      <c r="M774"/>
    </row>
    <row r="775" spans="1:13" x14ac:dyDescent="0.2">
      <c r="A775" s="7"/>
      <c r="B775"/>
      <c r="C775"/>
      <c r="K775" s="1"/>
      <c r="M775"/>
    </row>
    <row r="776" spans="1:13" x14ac:dyDescent="0.2">
      <c r="A776" s="7"/>
      <c r="B776"/>
      <c r="C776"/>
      <c r="K776" s="1"/>
      <c r="M776"/>
    </row>
    <row r="777" spans="1:13" x14ac:dyDescent="0.2">
      <c r="A777" s="7"/>
      <c r="B777"/>
      <c r="C777"/>
      <c r="K777" s="1"/>
      <c r="M777"/>
    </row>
    <row r="778" spans="1:13" x14ac:dyDescent="0.2">
      <c r="A778" s="7"/>
      <c r="B778"/>
      <c r="C778"/>
      <c r="K778" s="1"/>
      <c r="M778"/>
    </row>
    <row r="779" spans="1:13" x14ac:dyDescent="0.2">
      <c r="A779" s="7"/>
      <c r="B779"/>
      <c r="C779"/>
      <c r="K779" s="1"/>
      <c r="M779"/>
    </row>
    <row r="780" spans="1:13" x14ac:dyDescent="0.2">
      <c r="A780" s="7"/>
      <c r="B780"/>
      <c r="C780"/>
      <c r="K780" s="1"/>
      <c r="M780"/>
    </row>
    <row r="781" spans="1:13" x14ac:dyDescent="0.2">
      <c r="A781" s="7"/>
      <c r="B781"/>
      <c r="C781"/>
      <c r="K781" s="1"/>
      <c r="M781"/>
    </row>
    <row r="782" spans="1:13" x14ac:dyDescent="0.2">
      <c r="A782" s="7"/>
      <c r="B782"/>
      <c r="C782"/>
      <c r="K782" s="1"/>
      <c r="M782"/>
    </row>
    <row r="783" spans="1:13" x14ac:dyDescent="0.2">
      <c r="A783" s="7"/>
      <c r="B783"/>
      <c r="C783"/>
      <c r="K783" s="1"/>
      <c r="M783"/>
    </row>
    <row r="784" spans="1:13" x14ac:dyDescent="0.2">
      <c r="A784" s="7"/>
      <c r="B784"/>
      <c r="C784"/>
      <c r="K784" s="1"/>
      <c r="M784"/>
    </row>
    <row r="785" spans="1:13" x14ac:dyDescent="0.2">
      <c r="A785" s="7"/>
      <c r="B785"/>
      <c r="C785"/>
      <c r="K785" s="1"/>
      <c r="M785"/>
    </row>
    <row r="786" spans="1:13" x14ac:dyDescent="0.2">
      <c r="A786" s="7"/>
      <c r="B786"/>
      <c r="C786"/>
      <c r="K786" s="1"/>
      <c r="M786"/>
    </row>
    <row r="787" spans="1:13" x14ac:dyDescent="0.2">
      <c r="A787" s="7"/>
      <c r="B787"/>
      <c r="C787"/>
      <c r="K787" s="1"/>
      <c r="M787"/>
    </row>
    <row r="788" spans="1:13" x14ac:dyDescent="0.2">
      <c r="A788" s="7"/>
      <c r="B788"/>
      <c r="C788"/>
      <c r="K788" s="1"/>
      <c r="M788"/>
    </row>
    <row r="789" spans="1:13" x14ac:dyDescent="0.2">
      <c r="A789" s="7"/>
      <c r="B789"/>
      <c r="C789"/>
      <c r="K789" s="1"/>
      <c r="M789"/>
    </row>
    <row r="790" spans="1:13" x14ac:dyDescent="0.2">
      <c r="A790" s="7"/>
      <c r="B790"/>
      <c r="C790"/>
      <c r="K790" s="1"/>
      <c r="M790"/>
    </row>
    <row r="791" spans="1:13" x14ac:dyDescent="0.2">
      <c r="A791" s="7"/>
      <c r="B791"/>
      <c r="C791"/>
      <c r="K791" s="1"/>
      <c r="M791"/>
    </row>
    <row r="792" spans="1:13" x14ac:dyDescent="0.2">
      <c r="A792" s="7"/>
      <c r="B792"/>
      <c r="C792"/>
      <c r="K792" s="1"/>
      <c r="M792"/>
    </row>
    <row r="793" spans="1:13" x14ac:dyDescent="0.2">
      <c r="A793" s="7"/>
      <c r="B793"/>
      <c r="C793"/>
      <c r="K793" s="1"/>
      <c r="M793"/>
    </row>
    <row r="794" spans="1:13" x14ac:dyDescent="0.2">
      <c r="A794" s="7"/>
      <c r="B794"/>
      <c r="C794"/>
      <c r="K794" s="1"/>
      <c r="M794"/>
    </row>
    <row r="795" spans="1:13" x14ac:dyDescent="0.2">
      <c r="A795" s="7"/>
      <c r="B795"/>
      <c r="C795"/>
      <c r="K795" s="1"/>
      <c r="M795"/>
    </row>
    <row r="796" spans="1:13" x14ac:dyDescent="0.2">
      <c r="A796" s="7"/>
      <c r="B796"/>
      <c r="C796"/>
      <c r="K796" s="1"/>
      <c r="M796"/>
    </row>
    <row r="797" spans="1:13" x14ac:dyDescent="0.2">
      <c r="A797" s="7"/>
      <c r="B797"/>
      <c r="C797"/>
      <c r="K797" s="1"/>
      <c r="M797"/>
    </row>
    <row r="798" spans="1:13" x14ac:dyDescent="0.2">
      <c r="A798" s="7"/>
      <c r="B798"/>
      <c r="C798"/>
      <c r="K798" s="1"/>
      <c r="M798"/>
    </row>
    <row r="799" spans="1:13" x14ac:dyDescent="0.2">
      <c r="A799" s="7"/>
      <c r="B799"/>
      <c r="C799"/>
      <c r="K799" s="1"/>
      <c r="M799"/>
    </row>
    <row r="800" spans="1:13" x14ac:dyDescent="0.2">
      <c r="A800" s="7"/>
      <c r="B800"/>
      <c r="C800"/>
      <c r="K800" s="1"/>
      <c r="M800"/>
    </row>
    <row r="801" spans="1:13" x14ac:dyDescent="0.2">
      <c r="A801" s="7"/>
      <c r="B801"/>
      <c r="C801"/>
      <c r="K801" s="1"/>
      <c r="M801"/>
    </row>
    <row r="802" spans="1:13" x14ac:dyDescent="0.2">
      <c r="A802" s="7"/>
      <c r="B802"/>
      <c r="C802"/>
      <c r="K802" s="1"/>
      <c r="M802"/>
    </row>
    <row r="803" spans="1:13" x14ac:dyDescent="0.2">
      <c r="A803" s="7"/>
      <c r="B803"/>
      <c r="C803"/>
      <c r="K803" s="1"/>
      <c r="M803"/>
    </row>
    <row r="804" spans="1:13" x14ac:dyDescent="0.2">
      <c r="A804" s="7"/>
      <c r="B804"/>
      <c r="C804"/>
      <c r="K804" s="1"/>
      <c r="M804"/>
    </row>
    <row r="805" spans="1:13" x14ac:dyDescent="0.2">
      <c r="A805" s="7"/>
      <c r="B805"/>
      <c r="C805"/>
      <c r="K805" s="1"/>
      <c r="M805"/>
    </row>
    <row r="806" spans="1:13" x14ac:dyDescent="0.2">
      <c r="A806" s="7"/>
      <c r="B806"/>
      <c r="C806"/>
      <c r="K806" s="1"/>
      <c r="M806"/>
    </row>
    <row r="807" spans="1:13" x14ac:dyDescent="0.2">
      <c r="A807" s="7"/>
      <c r="B807"/>
      <c r="C807"/>
      <c r="K807" s="1"/>
      <c r="M807"/>
    </row>
    <row r="808" spans="1:13" x14ac:dyDescent="0.2">
      <c r="A808" s="7"/>
      <c r="B808"/>
      <c r="C808"/>
      <c r="K808" s="1"/>
      <c r="M808"/>
    </row>
    <row r="809" spans="1:13" x14ac:dyDescent="0.2">
      <c r="A809" s="7"/>
      <c r="B809"/>
      <c r="C809"/>
      <c r="K809" s="1"/>
      <c r="M809"/>
    </row>
    <row r="810" spans="1:13" x14ac:dyDescent="0.2">
      <c r="A810" s="7"/>
      <c r="B810"/>
      <c r="C810"/>
      <c r="K810" s="1"/>
      <c r="M810"/>
    </row>
    <row r="811" spans="1:13" x14ac:dyDescent="0.2">
      <c r="A811" s="7"/>
      <c r="B811"/>
      <c r="C811"/>
      <c r="K811" s="1"/>
      <c r="M811"/>
    </row>
    <row r="812" spans="1:13" x14ac:dyDescent="0.2">
      <c r="A812" s="7"/>
      <c r="B812"/>
      <c r="C812"/>
      <c r="K812" s="1"/>
      <c r="M812"/>
    </row>
    <row r="813" spans="1:13" x14ac:dyDescent="0.2">
      <c r="A813" s="7"/>
      <c r="B813"/>
      <c r="C813"/>
      <c r="K813" s="1"/>
      <c r="M813"/>
    </row>
    <row r="814" spans="1:13" x14ac:dyDescent="0.2">
      <c r="A814" s="7"/>
      <c r="B814"/>
      <c r="C814"/>
      <c r="K814" s="1"/>
      <c r="M814"/>
    </row>
    <row r="815" spans="1:13" x14ac:dyDescent="0.2">
      <c r="A815" s="7"/>
      <c r="B815"/>
      <c r="C815"/>
      <c r="K815" s="1"/>
      <c r="M815"/>
    </row>
    <row r="816" spans="1:13" x14ac:dyDescent="0.2">
      <c r="A816" s="7"/>
      <c r="B816"/>
      <c r="C816"/>
      <c r="K816" s="1"/>
      <c r="M816"/>
    </row>
    <row r="817" spans="1:13" x14ac:dyDescent="0.2">
      <c r="A817" s="7"/>
      <c r="B817"/>
      <c r="C817"/>
      <c r="K817" s="1"/>
      <c r="M817"/>
    </row>
    <row r="818" spans="1:13" x14ac:dyDescent="0.2">
      <c r="A818" s="7"/>
      <c r="B818"/>
      <c r="C818"/>
      <c r="K818" s="1"/>
      <c r="M818"/>
    </row>
    <row r="819" spans="1:13" x14ac:dyDescent="0.2">
      <c r="A819" s="7"/>
      <c r="B819"/>
      <c r="C819"/>
      <c r="K819" s="1"/>
      <c r="M819"/>
    </row>
    <row r="820" spans="1:13" x14ac:dyDescent="0.2">
      <c r="A820" s="7"/>
      <c r="B820"/>
      <c r="C820"/>
      <c r="K820" s="1"/>
      <c r="M820"/>
    </row>
    <row r="821" spans="1:13" x14ac:dyDescent="0.2">
      <c r="A821" s="7"/>
      <c r="B821"/>
      <c r="C821"/>
      <c r="K821" s="1"/>
      <c r="M821"/>
    </row>
    <row r="822" spans="1:13" x14ac:dyDescent="0.2">
      <c r="A822" s="7"/>
      <c r="B822"/>
      <c r="C822"/>
      <c r="K822" s="1"/>
      <c r="M822"/>
    </row>
    <row r="823" spans="1:13" x14ac:dyDescent="0.2">
      <c r="A823" s="7"/>
      <c r="B823"/>
      <c r="C823"/>
      <c r="K823" s="1"/>
      <c r="M823"/>
    </row>
    <row r="824" spans="1:13" x14ac:dyDescent="0.2">
      <c r="A824" s="7"/>
      <c r="B824"/>
      <c r="C824"/>
      <c r="K824" s="1"/>
      <c r="M824"/>
    </row>
    <row r="825" spans="1:13" x14ac:dyDescent="0.2">
      <c r="A825" s="7"/>
      <c r="B825"/>
      <c r="C825"/>
      <c r="K825" s="1"/>
      <c r="M825"/>
    </row>
    <row r="826" spans="1:13" x14ac:dyDescent="0.2">
      <c r="A826" s="7"/>
      <c r="B826"/>
      <c r="C826"/>
      <c r="K826" s="1"/>
      <c r="M826"/>
    </row>
    <row r="827" spans="1:13" x14ac:dyDescent="0.2">
      <c r="A827" s="7"/>
      <c r="B827"/>
      <c r="C827"/>
      <c r="K827" s="1"/>
      <c r="M827"/>
    </row>
    <row r="828" spans="1:13" x14ac:dyDescent="0.2">
      <c r="A828" s="7"/>
      <c r="B828"/>
      <c r="C828"/>
      <c r="K828" s="1"/>
      <c r="M828"/>
    </row>
    <row r="829" spans="1:13" x14ac:dyDescent="0.2">
      <c r="A829" s="7"/>
      <c r="B829"/>
      <c r="C829"/>
      <c r="K829" s="1"/>
      <c r="M829"/>
    </row>
    <row r="830" spans="1:13" x14ac:dyDescent="0.2">
      <c r="A830" s="7"/>
      <c r="B830"/>
      <c r="C830"/>
      <c r="K830" s="1"/>
      <c r="M830"/>
    </row>
    <row r="831" spans="1:13" x14ac:dyDescent="0.2">
      <c r="A831" s="7"/>
      <c r="B831"/>
      <c r="C831"/>
      <c r="K831" s="1"/>
      <c r="M831"/>
    </row>
    <row r="832" spans="1:13" x14ac:dyDescent="0.2">
      <c r="A832" s="7"/>
      <c r="B832"/>
      <c r="C832"/>
      <c r="K832" s="1"/>
      <c r="M832"/>
    </row>
    <row r="833" spans="1:13" x14ac:dyDescent="0.2">
      <c r="A833" s="7"/>
      <c r="B833"/>
      <c r="C833"/>
      <c r="K833" s="1"/>
      <c r="M833"/>
    </row>
    <row r="834" spans="1:13" x14ac:dyDescent="0.2">
      <c r="A834" s="7"/>
      <c r="B834"/>
      <c r="C834"/>
      <c r="K834" s="1"/>
      <c r="M834"/>
    </row>
    <row r="835" spans="1:13" x14ac:dyDescent="0.2">
      <c r="A835" s="7"/>
      <c r="B835"/>
      <c r="C835"/>
      <c r="K835" s="1"/>
      <c r="M835"/>
    </row>
    <row r="836" spans="1:13" x14ac:dyDescent="0.2">
      <c r="A836" s="7"/>
      <c r="B836"/>
      <c r="C836"/>
      <c r="K836" s="1"/>
      <c r="M836"/>
    </row>
    <row r="837" spans="1:13" x14ac:dyDescent="0.2">
      <c r="A837" s="7"/>
      <c r="B837"/>
      <c r="C837"/>
      <c r="K837" s="1"/>
      <c r="M837"/>
    </row>
    <row r="838" spans="1:13" x14ac:dyDescent="0.2">
      <c r="A838" s="7"/>
      <c r="B838"/>
      <c r="C838"/>
      <c r="K838" s="1"/>
      <c r="M838"/>
    </row>
    <row r="839" spans="1:13" x14ac:dyDescent="0.2">
      <c r="A839" s="7"/>
      <c r="B839"/>
      <c r="C839"/>
      <c r="K839" s="1"/>
      <c r="M839"/>
    </row>
    <row r="840" spans="1:13" x14ac:dyDescent="0.2">
      <c r="A840" s="7"/>
      <c r="B840"/>
      <c r="C840"/>
      <c r="K840" s="1"/>
      <c r="M840"/>
    </row>
    <row r="841" spans="1:13" x14ac:dyDescent="0.2">
      <c r="A841" s="7"/>
      <c r="B841"/>
      <c r="C841"/>
      <c r="K841" s="1"/>
      <c r="M841"/>
    </row>
    <row r="842" spans="1:13" x14ac:dyDescent="0.2">
      <c r="A842" s="7"/>
      <c r="B842"/>
      <c r="C842"/>
      <c r="K842" s="1"/>
      <c r="M842"/>
    </row>
    <row r="843" spans="1:13" x14ac:dyDescent="0.2">
      <c r="A843" s="7"/>
      <c r="B843"/>
      <c r="C843"/>
      <c r="K843" s="1"/>
      <c r="M843"/>
    </row>
    <row r="844" spans="1:13" x14ac:dyDescent="0.2">
      <c r="A844" s="7"/>
      <c r="B844"/>
      <c r="C844"/>
      <c r="K844" s="1"/>
      <c r="M844"/>
    </row>
    <row r="845" spans="1:13" x14ac:dyDescent="0.2">
      <c r="A845" s="7"/>
      <c r="B845"/>
      <c r="C845"/>
      <c r="K845" s="1"/>
      <c r="M845"/>
    </row>
    <row r="846" spans="1:13" x14ac:dyDescent="0.2">
      <c r="A846" s="7"/>
      <c r="B846"/>
      <c r="C846"/>
      <c r="K846" s="1"/>
      <c r="M846"/>
    </row>
    <row r="847" spans="1:13" x14ac:dyDescent="0.2">
      <c r="A847" s="7"/>
      <c r="B847"/>
      <c r="C847"/>
      <c r="K847" s="1"/>
      <c r="M847"/>
    </row>
    <row r="848" spans="1:13" x14ac:dyDescent="0.2">
      <c r="A848" s="7"/>
      <c r="B848"/>
      <c r="C848"/>
      <c r="K848" s="1"/>
      <c r="M848"/>
    </row>
    <row r="849" spans="1:13" x14ac:dyDescent="0.2">
      <c r="A849" s="7"/>
      <c r="B849"/>
      <c r="C849"/>
      <c r="K849" s="1"/>
      <c r="M849"/>
    </row>
    <row r="850" spans="1:13" x14ac:dyDescent="0.2">
      <c r="A850" s="7"/>
      <c r="B850"/>
      <c r="C850"/>
      <c r="K850" s="1"/>
      <c r="M850"/>
    </row>
    <row r="851" spans="1:13" x14ac:dyDescent="0.2">
      <c r="A851" s="7"/>
      <c r="B851"/>
      <c r="C851"/>
      <c r="K851" s="1"/>
      <c r="M851"/>
    </row>
    <row r="852" spans="1:13" x14ac:dyDescent="0.2">
      <c r="A852" s="7"/>
      <c r="B852"/>
      <c r="C852"/>
      <c r="K852" s="1"/>
      <c r="M852"/>
    </row>
    <row r="853" spans="1:13" x14ac:dyDescent="0.2">
      <c r="A853" s="7"/>
      <c r="B853"/>
      <c r="C853"/>
      <c r="K853" s="1"/>
      <c r="M853"/>
    </row>
    <row r="854" spans="1:13" x14ac:dyDescent="0.2">
      <c r="A854" s="7"/>
      <c r="B854"/>
      <c r="C854"/>
      <c r="K854" s="1"/>
      <c r="M854"/>
    </row>
    <row r="855" spans="1:13" x14ac:dyDescent="0.2">
      <c r="A855" s="7"/>
      <c r="B855"/>
      <c r="C855"/>
      <c r="K855" s="1"/>
      <c r="M855"/>
    </row>
    <row r="856" spans="1:13" x14ac:dyDescent="0.2">
      <c r="A856" s="7"/>
      <c r="B856"/>
      <c r="C856"/>
      <c r="K856" s="1"/>
      <c r="M856"/>
    </row>
    <row r="857" spans="1:13" x14ac:dyDescent="0.2">
      <c r="A857" s="7"/>
      <c r="B857"/>
      <c r="C857"/>
      <c r="K857" s="1"/>
      <c r="M857"/>
    </row>
    <row r="858" spans="1:13" x14ac:dyDescent="0.2">
      <c r="A858" s="7"/>
      <c r="B858"/>
      <c r="C858"/>
      <c r="K858" s="1"/>
      <c r="M858"/>
    </row>
    <row r="859" spans="1:13" x14ac:dyDescent="0.2">
      <c r="A859" s="7"/>
      <c r="B859"/>
      <c r="C859"/>
      <c r="K859" s="1"/>
      <c r="M859"/>
    </row>
    <row r="860" spans="1:13" x14ac:dyDescent="0.2">
      <c r="A860" s="7"/>
      <c r="B860"/>
      <c r="C860"/>
      <c r="K860" s="1"/>
      <c r="M860"/>
    </row>
    <row r="861" spans="1:13" x14ac:dyDescent="0.2">
      <c r="A861" s="7"/>
      <c r="B861"/>
      <c r="C861"/>
      <c r="K861" s="1"/>
      <c r="M861"/>
    </row>
    <row r="862" spans="1:13" x14ac:dyDescent="0.2">
      <c r="A862" s="7"/>
      <c r="B862"/>
      <c r="C862"/>
      <c r="K862" s="1"/>
      <c r="M862"/>
    </row>
    <row r="863" spans="1:13" x14ac:dyDescent="0.2">
      <c r="A863" s="7"/>
      <c r="B863"/>
      <c r="C863"/>
      <c r="K863" s="1"/>
      <c r="M863"/>
    </row>
    <row r="864" spans="1:13" x14ac:dyDescent="0.2">
      <c r="A864" s="7"/>
      <c r="B864"/>
      <c r="C864"/>
      <c r="K864" s="1"/>
      <c r="M864"/>
    </row>
    <row r="865" spans="1:13" x14ac:dyDescent="0.2">
      <c r="A865" s="7"/>
      <c r="B865"/>
      <c r="C865"/>
      <c r="K865" s="1"/>
      <c r="M865"/>
    </row>
    <row r="866" spans="1:13" x14ac:dyDescent="0.2">
      <c r="A866" s="7"/>
      <c r="B866"/>
      <c r="C866"/>
      <c r="K866" s="1"/>
      <c r="M866"/>
    </row>
    <row r="867" spans="1:13" x14ac:dyDescent="0.2">
      <c r="A867" s="7"/>
      <c r="B867"/>
      <c r="C867"/>
      <c r="K867" s="1"/>
      <c r="M867"/>
    </row>
    <row r="868" spans="1:13" x14ac:dyDescent="0.2">
      <c r="A868" s="7"/>
      <c r="B868"/>
      <c r="C868"/>
      <c r="K868" s="1"/>
      <c r="M868"/>
    </row>
    <row r="869" spans="1:13" x14ac:dyDescent="0.2">
      <c r="A869" s="7"/>
      <c r="B869"/>
      <c r="C869"/>
      <c r="K869" s="1"/>
      <c r="M869"/>
    </row>
    <row r="870" spans="1:13" x14ac:dyDescent="0.2">
      <c r="A870" s="7"/>
      <c r="B870"/>
      <c r="C870"/>
      <c r="K870" s="1"/>
      <c r="M870"/>
    </row>
    <row r="871" spans="1:13" x14ac:dyDescent="0.2">
      <c r="A871" s="7"/>
      <c r="B871"/>
      <c r="C871"/>
      <c r="K871" s="1"/>
      <c r="M871"/>
    </row>
    <row r="872" spans="1:13" x14ac:dyDescent="0.2">
      <c r="A872" s="7"/>
      <c r="B872"/>
      <c r="C872"/>
      <c r="K872" s="1"/>
      <c r="M872"/>
    </row>
    <row r="873" spans="1:13" x14ac:dyDescent="0.2">
      <c r="A873" s="7"/>
      <c r="B873"/>
      <c r="C873"/>
      <c r="K873" s="1"/>
      <c r="M873"/>
    </row>
    <row r="874" spans="1:13" x14ac:dyDescent="0.2">
      <c r="A874" s="7"/>
      <c r="B874"/>
      <c r="C874"/>
      <c r="K874" s="1"/>
      <c r="M874"/>
    </row>
    <row r="875" spans="1:13" x14ac:dyDescent="0.2">
      <c r="A875" s="7"/>
      <c r="B875"/>
      <c r="C875"/>
      <c r="K875" s="1"/>
      <c r="M875"/>
    </row>
    <row r="876" spans="1:13" x14ac:dyDescent="0.2">
      <c r="A876" s="7"/>
      <c r="B876"/>
      <c r="C876"/>
      <c r="K876" s="1"/>
      <c r="M876"/>
    </row>
    <row r="877" spans="1:13" x14ac:dyDescent="0.2">
      <c r="A877" s="7"/>
      <c r="B877"/>
      <c r="C877"/>
      <c r="K877" s="1"/>
      <c r="M877"/>
    </row>
    <row r="878" spans="1:13" x14ac:dyDescent="0.2">
      <c r="A878" s="7"/>
      <c r="B878"/>
      <c r="C878"/>
      <c r="K878" s="1"/>
      <c r="M878"/>
    </row>
    <row r="879" spans="1:13" x14ac:dyDescent="0.2">
      <c r="A879" s="7"/>
      <c r="B879"/>
      <c r="C879"/>
      <c r="K879" s="1"/>
      <c r="M879"/>
    </row>
    <row r="880" spans="1:13" x14ac:dyDescent="0.2">
      <c r="A880" s="7"/>
      <c r="B880"/>
      <c r="C880"/>
      <c r="K880" s="1"/>
      <c r="M880"/>
    </row>
    <row r="881" spans="1:13" x14ac:dyDescent="0.2">
      <c r="A881" s="7"/>
      <c r="B881"/>
      <c r="C881"/>
      <c r="K881" s="1"/>
      <c r="M881"/>
    </row>
    <row r="882" spans="1:13" x14ac:dyDescent="0.2">
      <c r="A882" s="7"/>
      <c r="B882"/>
      <c r="C882"/>
      <c r="K882" s="1"/>
      <c r="M882"/>
    </row>
    <row r="883" spans="1:13" x14ac:dyDescent="0.2">
      <c r="A883" s="7"/>
      <c r="B883"/>
      <c r="C883"/>
      <c r="K883" s="1"/>
      <c r="M883"/>
    </row>
    <row r="884" spans="1:13" x14ac:dyDescent="0.2">
      <c r="A884" s="7"/>
      <c r="B884"/>
      <c r="C884"/>
      <c r="K884" s="1"/>
      <c r="M884"/>
    </row>
    <row r="885" spans="1:13" x14ac:dyDescent="0.2">
      <c r="A885" s="7"/>
      <c r="B885"/>
      <c r="C885"/>
      <c r="K885" s="1"/>
      <c r="M885"/>
    </row>
    <row r="886" spans="1:13" x14ac:dyDescent="0.2">
      <c r="A886" s="7"/>
      <c r="B886"/>
      <c r="C886"/>
      <c r="K886" s="1"/>
      <c r="M886"/>
    </row>
    <row r="887" spans="1:13" x14ac:dyDescent="0.2">
      <c r="A887" s="7"/>
      <c r="B887"/>
      <c r="C887"/>
      <c r="K887" s="1"/>
      <c r="M887"/>
    </row>
    <row r="888" spans="1:13" x14ac:dyDescent="0.2">
      <c r="A888" s="7"/>
      <c r="B888"/>
      <c r="C888"/>
      <c r="K888" s="1"/>
      <c r="M888"/>
    </row>
    <row r="889" spans="1:13" x14ac:dyDescent="0.2">
      <c r="A889" s="7"/>
      <c r="B889"/>
      <c r="C889"/>
      <c r="K889" s="1"/>
      <c r="M889"/>
    </row>
    <row r="890" spans="1:13" x14ac:dyDescent="0.2">
      <c r="A890" s="7"/>
      <c r="B890"/>
      <c r="C890"/>
      <c r="K890" s="1"/>
      <c r="M890"/>
    </row>
    <row r="891" spans="1:13" x14ac:dyDescent="0.2">
      <c r="A891" s="7"/>
      <c r="B891"/>
      <c r="C891"/>
      <c r="K891" s="1"/>
      <c r="M891"/>
    </row>
    <row r="892" spans="1:13" x14ac:dyDescent="0.2">
      <c r="A892" s="7"/>
      <c r="B892"/>
      <c r="C892"/>
      <c r="K892" s="1"/>
      <c r="M892"/>
    </row>
    <row r="893" spans="1:13" x14ac:dyDescent="0.2">
      <c r="A893" s="7"/>
      <c r="B893"/>
      <c r="C893"/>
      <c r="K893" s="1"/>
      <c r="M893"/>
    </row>
    <row r="894" spans="1:13" x14ac:dyDescent="0.2">
      <c r="A894" s="7"/>
      <c r="B894"/>
      <c r="C894"/>
      <c r="K894" s="1"/>
      <c r="M894"/>
    </row>
    <row r="895" spans="1:13" x14ac:dyDescent="0.2">
      <c r="A895" s="7"/>
      <c r="B895"/>
      <c r="C895"/>
      <c r="K895" s="1"/>
      <c r="M895"/>
    </row>
    <row r="896" spans="1:13" x14ac:dyDescent="0.2">
      <c r="A896" s="7"/>
      <c r="B896"/>
      <c r="C896"/>
      <c r="K896" s="1"/>
      <c r="M896"/>
    </row>
    <row r="897" spans="1:13" x14ac:dyDescent="0.2">
      <c r="A897" s="7"/>
      <c r="B897"/>
      <c r="C897"/>
      <c r="K897" s="1"/>
      <c r="M897"/>
    </row>
    <row r="898" spans="1:13" x14ac:dyDescent="0.2">
      <c r="A898" s="7"/>
      <c r="B898"/>
      <c r="C898"/>
      <c r="K898" s="1"/>
      <c r="M898"/>
    </row>
    <row r="899" spans="1:13" x14ac:dyDescent="0.2">
      <c r="A899" s="7"/>
      <c r="B899"/>
      <c r="C899"/>
      <c r="K899" s="1"/>
      <c r="M899"/>
    </row>
    <row r="900" spans="1:13" x14ac:dyDescent="0.2">
      <c r="A900" s="7"/>
      <c r="B900"/>
      <c r="C900"/>
      <c r="K900" s="1"/>
      <c r="M900"/>
    </row>
    <row r="901" spans="1:13" x14ac:dyDescent="0.2">
      <c r="A901" s="7"/>
      <c r="B901"/>
      <c r="C901"/>
      <c r="K901" s="1"/>
      <c r="M901"/>
    </row>
    <row r="902" spans="1:13" x14ac:dyDescent="0.2">
      <c r="A902" s="7"/>
      <c r="B902"/>
      <c r="C902"/>
      <c r="K902" s="1"/>
      <c r="M902"/>
    </row>
    <row r="903" spans="1:13" x14ac:dyDescent="0.2">
      <c r="A903" s="7"/>
      <c r="B903"/>
      <c r="C903"/>
      <c r="K903" s="1"/>
      <c r="M903"/>
    </row>
    <row r="904" spans="1:13" x14ac:dyDescent="0.2">
      <c r="A904" s="7"/>
      <c r="B904"/>
      <c r="C904"/>
      <c r="K904" s="1"/>
      <c r="M904"/>
    </row>
    <row r="905" spans="1:13" x14ac:dyDescent="0.2">
      <c r="A905" s="7"/>
      <c r="B905"/>
      <c r="C905"/>
      <c r="K905" s="1"/>
      <c r="M905"/>
    </row>
    <row r="906" spans="1:13" x14ac:dyDescent="0.2">
      <c r="A906" s="7"/>
      <c r="B906"/>
      <c r="C906"/>
      <c r="K906" s="1"/>
      <c r="M906"/>
    </row>
    <row r="907" spans="1:13" x14ac:dyDescent="0.2">
      <c r="A907" s="7"/>
      <c r="B907"/>
      <c r="C907"/>
      <c r="K907" s="1"/>
      <c r="M907"/>
    </row>
    <row r="908" spans="1:13" x14ac:dyDescent="0.2">
      <c r="A908" s="7"/>
      <c r="B908"/>
      <c r="C908"/>
      <c r="K908" s="1"/>
      <c r="M908"/>
    </row>
    <row r="909" spans="1:13" x14ac:dyDescent="0.2">
      <c r="A909" s="7"/>
      <c r="B909"/>
      <c r="C909"/>
      <c r="K909" s="1"/>
      <c r="M909"/>
    </row>
    <row r="910" spans="1:13" x14ac:dyDescent="0.2">
      <c r="A910" s="7"/>
      <c r="B910"/>
      <c r="C910"/>
      <c r="K910" s="1"/>
      <c r="M910"/>
    </row>
    <row r="911" spans="1:13" x14ac:dyDescent="0.2">
      <c r="A911" s="7"/>
      <c r="B911"/>
      <c r="C911"/>
      <c r="K911" s="1"/>
      <c r="M911"/>
    </row>
    <row r="912" spans="1:13" x14ac:dyDescent="0.2">
      <c r="A912" s="7"/>
      <c r="B912"/>
      <c r="C912"/>
      <c r="K912" s="1"/>
      <c r="M912"/>
    </row>
    <row r="913" spans="1:13" x14ac:dyDescent="0.2">
      <c r="A913" s="7"/>
      <c r="B913"/>
      <c r="C913"/>
      <c r="K913" s="1"/>
      <c r="M913"/>
    </row>
    <row r="914" spans="1:13" x14ac:dyDescent="0.2">
      <c r="A914" s="7"/>
      <c r="B914"/>
      <c r="C914"/>
      <c r="K914" s="1"/>
      <c r="M914"/>
    </row>
    <row r="915" spans="1:13" x14ac:dyDescent="0.2">
      <c r="A915" s="7"/>
      <c r="B915"/>
      <c r="C915"/>
      <c r="K915" s="1"/>
      <c r="M915"/>
    </row>
    <row r="916" spans="1:13" x14ac:dyDescent="0.2">
      <c r="A916" s="7"/>
      <c r="B916"/>
      <c r="C916"/>
      <c r="K916" s="1"/>
      <c r="M916"/>
    </row>
    <row r="917" spans="1:13" x14ac:dyDescent="0.2">
      <c r="A917" s="7"/>
      <c r="B917"/>
      <c r="C917"/>
      <c r="K917" s="1"/>
      <c r="M917"/>
    </row>
    <row r="918" spans="1:13" x14ac:dyDescent="0.2">
      <c r="A918" s="7"/>
      <c r="B918"/>
      <c r="C918"/>
      <c r="K918" s="1"/>
      <c r="M918"/>
    </row>
    <row r="919" spans="1:13" x14ac:dyDescent="0.2">
      <c r="A919" s="7"/>
      <c r="B919"/>
      <c r="C919"/>
      <c r="K919" s="1"/>
      <c r="M919"/>
    </row>
    <row r="920" spans="1:13" x14ac:dyDescent="0.2">
      <c r="A920" s="7"/>
      <c r="B920"/>
      <c r="C920"/>
      <c r="K920" s="1"/>
      <c r="M920"/>
    </row>
    <row r="921" spans="1:13" x14ac:dyDescent="0.2">
      <c r="A921" s="7"/>
      <c r="B921"/>
      <c r="C921"/>
      <c r="K921" s="1"/>
      <c r="M921"/>
    </row>
    <row r="922" spans="1:13" x14ac:dyDescent="0.2">
      <c r="A922" s="7"/>
      <c r="B922"/>
      <c r="C922"/>
      <c r="K922" s="1"/>
      <c r="M922"/>
    </row>
    <row r="923" spans="1:13" x14ac:dyDescent="0.2">
      <c r="A923" s="7"/>
      <c r="B923"/>
      <c r="C923"/>
      <c r="K923" s="1"/>
      <c r="M923"/>
    </row>
    <row r="924" spans="1:13" x14ac:dyDescent="0.2">
      <c r="A924" s="7"/>
      <c r="B924"/>
      <c r="C924"/>
      <c r="K924" s="1"/>
      <c r="M924"/>
    </row>
    <row r="925" spans="1:13" x14ac:dyDescent="0.2">
      <c r="A925" s="7"/>
      <c r="B925"/>
      <c r="C925"/>
      <c r="K925" s="1"/>
      <c r="M925"/>
    </row>
    <row r="926" spans="1:13" x14ac:dyDescent="0.2">
      <c r="A926" s="7"/>
      <c r="B926"/>
      <c r="C926"/>
      <c r="K926" s="1"/>
      <c r="M926"/>
    </row>
    <row r="927" spans="1:13" x14ac:dyDescent="0.2">
      <c r="A927" s="7"/>
      <c r="B927"/>
      <c r="C927"/>
      <c r="K927" s="1"/>
      <c r="M927"/>
    </row>
    <row r="928" spans="1:13" x14ac:dyDescent="0.2">
      <c r="A928" s="7"/>
      <c r="B928"/>
      <c r="C928"/>
      <c r="K928" s="1"/>
      <c r="M928"/>
    </row>
    <row r="929" spans="1:13" x14ac:dyDescent="0.2">
      <c r="A929" s="7"/>
      <c r="B929"/>
      <c r="C929"/>
      <c r="K929" s="1"/>
      <c r="M929"/>
    </row>
    <row r="930" spans="1:13" x14ac:dyDescent="0.2">
      <c r="A930" s="7"/>
      <c r="B930"/>
      <c r="C930"/>
      <c r="K930" s="1"/>
      <c r="M930"/>
    </row>
    <row r="931" spans="1:13" x14ac:dyDescent="0.2">
      <c r="A931" s="7"/>
      <c r="B931"/>
      <c r="C931"/>
      <c r="K931" s="1"/>
      <c r="M931"/>
    </row>
    <row r="932" spans="1:13" x14ac:dyDescent="0.2">
      <c r="A932" s="7"/>
      <c r="B932"/>
      <c r="C932"/>
      <c r="K932" s="1"/>
      <c r="M932"/>
    </row>
    <row r="933" spans="1:13" x14ac:dyDescent="0.2">
      <c r="A933" s="7"/>
      <c r="B933"/>
      <c r="C933"/>
      <c r="K933" s="1"/>
      <c r="M933"/>
    </row>
    <row r="934" spans="1:13" x14ac:dyDescent="0.2">
      <c r="A934" s="7"/>
      <c r="B934"/>
      <c r="C934"/>
      <c r="K934" s="1"/>
      <c r="M934"/>
    </row>
    <row r="935" spans="1:13" x14ac:dyDescent="0.2">
      <c r="A935" s="7"/>
      <c r="B935"/>
      <c r="C935"/>
      <c r="K935" s="1"/>
      <c r="M935"/>
    </row>
    <row r="936" spans="1:13" x14ac:dyDescent="0.2">
      <c r="A936" s="7"/>
      <c r="B936"/>
      <c r="C936"/>
      <c r="K936" s="1"/>
      <c r="M936"/>
    </row>
    <row r="937" spans="1:13" x14ac:dyDescent="0.2">
      <c r="A937" s="7"/>
      <c r="B937"/>
      <c r="C937"/>
      <c r="K937" s="1"/>
      <c r="M937"/>
    </row>
    <row r="938" spans="1:13" x14ac:dyDescent="0.2">
      <c r="A938" s="7"/>
      <c r="B938"/>
      <c r="C938"/>
      <c r="K938" s="1"/>
      <c r="M938"/>
    </row>
    <row r="939" spans="1:13" x14ac:dyDescent="0.2">
      <c r="A939" s="7"/>
      <c r="B939"/>
      <c r="C939"/>
      <c r="K939" s="1"/>
      <c r="M939"/>
    </row>
    <row r="940" spans="1:13" x14ac:dyDescent="0.2">
      <c r="A940" s="7"/>
      <c r="B940"/>
      <c r="C940"/>
      <c r="K940" s="1"/>
      <c r="M940"/>
    </row>
    <row r="941" spans="1:13" x14ac:dyDescent="0.2">
      <c r="A941" s="7"/>
      <c r="B941"/>
      <c r="C941"/>
      <c r="K941" s="1"/>
      <c r="M941"/>
    </row>
    <row r="942" spans="1:13" x14ac:dyDescent="0.2">
      <c r="A942" s="7"/>
      <c r="B942"/>
      <c r="C942"/>
      <c r="K942" s="1"/>
      <c r="M942"/>
    </row>
    <row r="943" spans="1:13" x14ac:dyDescent="0.2">
      <c r="A943" s="7"/>
      <c r="B943"/>
      <c r="C943"/>
      <c r="K943" s="1"/>
      <c r="M943"/>
    </row>
    <row r="944" spans="1:13" x14ac:dyDescent="0.2">
      <c r="A944" s="7"/>
      <c r="B944"/>
      <c r="C944"/>
      <c r="K944" s="1"/>
      <c r="M944"/>
    </row>
    <row r="945" spans="1:13" x14ac:dyDescent="0.2">
      <c r="A945" s="7"/>
      <c r="B945"/>
      <c r="C945"/>
      <c r="K945" s="1"/>
      <c r="M945"/>
    </row>
    <row r="946" spans="1:13" x14ac:dyDescent="0.2">
      <c r="A946" s="7"/>
      <c r="B946"/>
      <c r="C946"/>
      <c r="K946" s="1"/>
      <c r="M946"/>
    </row>
    <row r="947" spans="1:13" x14ac:dyDescent="0.2">
      <c r="A947" s="7"/>
      <c r="B947"/>
      <c r="C947"/>
      <c r="K947" s="1"/>
      <c r="M947"/>
    </row>
    <row r="948" spans="1:13" x14ac:dyDescent="0.2">
      <c r="A948" s="7"/>
      <c r="B948"/>
      <c r="C948"/>
      <c r="K948" s="1"/>
      <c r="M948"/>
    </row>
    <row r="949" spans="1:13" x14ac:dyDescent="0.2">
      <c r="A949" s="7"/>
      <c r="B949"/>
      <c r="C949"/>
      <c r="K949" s="1"/>
      <c r="M949"/>
    </row>
    <row r="950" spans="1:13" x14ac:dyDescent="0.2">
      <c r="A950" s="7"/>
      <c r="B950"/>
      <c r="C950"/>
      <c r="K950" s="1"/>
      <c r="M950"/>
    </row>
    <row r="951" spans="1:13" x14ac:dyDescent="0.2">
      <c r="A951" s="7"/>
      <c r="B951"/>
      <c r="C951"/>
      <c r="K951" s="1"/>
      <c r="M951"/>
    </row>
    <row r="952" spans="1:13" x14ac:dyDescent="0.2">
      <c r="A952" s="7"/>
      <c r="B952"/>
      <c r="C952"/>
      <c r="K952" s="1"/>
      <c r="M952"/>
    </row>
    <row r="953" spans="1:13" x14ac:dyDescent="0.2">
      <c r="A953" s="7"/>
      <c r="B953"/>
      <c r="C953"/>
      <c r="K953" s="1"/>
      <c r="M953"/>
    </row>
    <row r="954" spans="1:13" x14ac:dyDescent="0.2">
      <c r="A954" s="7"/>
      <c r="B954"/>
      <c r="C954"/>
      <c r="K954" s="1"/>
      <c r="M954"/>
    </row>
    <row r="955" spans="1:13" x14ac:dyDescent="0.2">
      <c r="A955" s="7"/>
      <c r="B955"/>
      <c r="C955"/>
      <c r="K955" s="1"/>
      <c r="M955"/>
    </row>
    <row r="956" spans="1:13" x14ac:dyDescent="0.2">
      <c r="A956" s="7"/>
      <c r="B956"/>
      <c r="C956"/>
      <c r="K956" s="1"/>
      <c r="M956"/>
    </row>
    <row r="957" spans="1:13" x14ac:dyDescent="0.2">
      <c r="A957" s="7"/>
      <c r="B957"/>
      <c r="C957"/>
      <c r="K957" s="1"/>
      <c r="M957"/>
    </row>
    <row r="958" spans="1:13" x14ac:dyDescent="0.2">
      <c r="A958" s="7"/>
      <c r="B958"/>
      <c r="C958"/>
      <c r="K958" s="1"/>
      <c r="M958"/>
    </row>
    <row r="959" spans="1:13" x14ac:dyDescent="0.2">
      <c r="A959" s="7"/>
      <c r="B959"/>
      <c r="C959"/>
      <c r="K959" s="1"/>
      <c r="M959"/>
    </row>
    <row r="960" spans="1:13" x14ac:dyDescent="0.2">
      <c r="A960" s="7"/>
      <c r="B960"/>
      <c r="C960"/>
      <c r="K960" s="1"/>
      <c r="M960"/>
    </row>
    <row r="961" spans="1:13" x14ac:dyDescent="0.2">
      <c r="A961" s="7"/>
      <c r="B961"/>
      <c r="C961"/>
      <c r="K961" s="1"/>
      <c r="M961"/>
    </row>
    <row r="962" spans="1:13" x14ac:dyDescent="0.2">
      <c r="A962" s="7"/>
      <c r="B962"/>
      <c r="C962"/>
      <c r="K962" s="1"/>
      <c r="M962"/>
    </row>
    <row r="963" spans="1:13" x14ac:dyDescent="0.2">
      <c r="A963" s="7"/>
      <c r="B963"/>
      <c r="C963"/>
      <c r="K963" s="1"/>
      <c r="M963"/>
    </row>
    <row r="964" spans="1:13" x14ac:dyDescent="0.2">
      <c r="A964" s="7"/>
      <c r="B964"/>
      <c r="C964"/>
      <c r="K964" s="1"/>
      <c r="M964"/>
    </row>
    <row r="965" spans="1:13" x14ac:dyDescent="0.2">
      <c r="A965" s="7"/>
      <c r="B965"/>
      <c r="C965"/>
      <c r="K965" s="1"/>
      <c r="M965"/>
    </row>
    <row r="966" spans="1:13" x14ac:dyDescent="0.2">
      <c r="A966" s="7"/>
      <c r="B966"/>
      <c r="C966"/>
      <c r="K966" s="1"/>
      <c r="M966"/>
    </row>
    <row r="967" spans="1:13" x14ac:dyDescent="0.2">
      <c r="A967" s="7"/>
      <c r="B967"/>
      <c r="C967"/>
      <c r="K967" s="1"/>
      <c r="M967"/>
    </row>
    <row r="968" spans="1:13" x14ac:dyDescent="0.2">
      <c r="A968" s="7"/>
      <c r="B968"/>
      <c r="C968"/>
      <c r="K968" s="1"/>
      <c r="M968"/>
    </row>
    <row r="969" spans="1:13" x14ac:dyDescent="0.2">
      <c r="A969" s="7"/>
      <c r="B969"/>
      <c r="C969"/>
      <c r="K969" s="1"/>
      <c r="M969"/>
    </row>
    <row r="970" spans="1:13" x14ac:dyDescent="0.2">
      <c r="A970" s="7"/>
      <c r="B970"/>
      <c r="C970"/>
      <c r="K970" s="1"/>
      <c r="M970"/>
    </row>
    <row r="971" spans="1:13" x14ac:dyDescent="0.2">
      <c r="A971" s="7"/>
      <c r="B971"/>
      <c r="C971"/>
      <c r="K971" s="1"/>
      <c r="M971"/>
    </row>
    <row r="972" spans="1:13" x14ac:dyDescent="0.2">
      <c r="A972" s="7"/>
      <c r="B972"/>
      <c r="C972"/>
      <c r="K972" s="1"/>
      <c r="M972"/>
    </row>
    <row r="973" spans="1:13" x14ac:dyDescent="0.2">
      <c r="A973" s="7"/>
      <c r="B973"/>
      <c r="C973"/>
      <c r="K973" s="1"/>
      <c r="M973"/>
    </row>
    <row r="974" spans="1:13" x14ac:dyDescent="0.2">
      <c r="A974" s="7"/>
      <c r="B974"/>
      <c r="C974"/>
      <c r="K974" s="1"/>
      <c r="M974"/>
    </row>
    <row r="975" spans="1:13" x14ac:dyDescent="0.2">
      <c r="A975" s="7"/>
      <c r="B975"/>
      <c r="C975"/>
      <c r="K975" s="1"/>
      <c r="M975"/>
    </row>
    <row r="976" spans="1:13" x14ac:dyDescent="0.2">
      <c r="A976" s="7"/>
      <c r="B976"/>
      <c r="C976"/>
      <c r="K976" s="1"/>
      <c r="M976"/>
    </row>
    <row r="977" spans="1:13" x14ac:dyDescent="0.2">
      <c r="A977" s="7"/>
      <c r="B977"/>
      <c r="C977"/>
      <c r="K977" s="1"/>
      <c r="M977"/>
    </row>
    <row r="978" spans="1:13" x14ac:dyDescent="0.2">
      <c r="A978" s="7"/>
      <c r="B978"/>
      <c r="C978"/>
      <c r="K978" s="1"/>
      <c r="M978"/>
    </row>
    <row r="979" spans="1:13" x14ac:dyDescent="0.2">
      <c r="A979" s="7"/>
      <c r="B979"/>
      <c r="C979"/>
      <c r="K979" s="1"/>
      <c r="M979"/>
    </row>
    <row r="980" spans="1:13" x14ac:dyDescent="0.2">
      <c r="A980" s="7"/>
      <c r="B980"/>
      <c r="C980"/>
      <c r="K980" s="1"/>
      <c r="M980"/>
    </row>
    <row r="981" spans="1:13" x14ac:dyDescent="0.2">
      <c r="A981" s="7"/>
      <c r="B981"/>
      <c r="C981"/>
      <c r="K981" s="1"/>
      <c r="M981"/>
    </row>
    <row r="982" spans="1:13" x14ac:dyDescent="0.2">
      <c r="A982" s="7"/>
      <c r="B982"/>
      <c r="C982"/>
      <c r="K982" s="1"/>
      <c r="M982"/>
    </row>
    <row r="983" spans="1:13" x14ac:dyDescent="0.2">
      <c r="A983" s="7"/>
      <c r="B983"/>
      <c r="C983"/>
      <c r="K983" s="1"/>
      <c r="M983"/>
    </row>
    <row r="984" spans="1:13" x14ac:dyDescent="0.2">
      <c r="A984" s="7"/>
      <c r="B984"/>
      <c r="C984"/>
      <c r="K984" s="1"/>
      <c r="M984"/>
    </row>
    <row r="985" spans="1:13" x14ac:dyDescent="0.2">
      <c r="A985" s="7"/>
      <c r="B985"/>
      <c r="C985"/>
      <c r="K985" s="1"/>
      <c r="M985"/>
    </row>
    <row r="986" spans="1:13" x14ac:dyDescent="0.2">
      <c r="A986" s="7"/>
      <c r="B986"/>
      <c r="C986"/>
      <c r="K986" s="1"/>
      <c r="M986"/>
    </row>
    <row r="987" spans="1:13" x14ac:dyDescent="0.2">
      <c r="A987" s="7"/>
      <c r="B987"/>
      <c r="C987"/>
      <c r="K987" s="1"/>
      <c r="M987"/>
    </row>
    <row r="988" spans="1:13" x14ac:dyDescent="0.2">
      <c r="A988" s="7"/>
      <c r="B988"/>
      <c r="C988"/>
      <c r="K988" s="1"/>
      <c r="M988"/>
    </row>
    <row r="989" spans="1:13" x14ac:dyDescent="0.2">
      <c r="A989" s="7"/>
      <c r="B989"/>
      <c r="C989"/>
      <c r="K989" s="1"/>
      <c r="M989"/>
    </row>
    <row r="990" spans="1:13" x14ac:dyDescent="0.2">
      <c r="A990" s="7"/>
      <c r="B990"/>
      <c r="C990"/>
      <c r="K990" s="1"/>
      <c r="M990"/>
    </row>
    <row r="991" spans="1:13" x14ac:dyDescent="0.2">
      <c r="A991" s="7"/>
      <c r="B991"/>
      <c r="C991"/>
      <c r="K991" s="1"/>
      <c r="M991"/>
    </row>
    <row r="992" spans="1:13" x14ac:dyDescent="0.2">
      <c r="A992" s="7"/>
      <c r="B992"/>
      <c r="C992"/>
      <c r="K992" s="1"/>
      <c r="M992"/>
    </row>
    <row r="993" spans="1:13" x14ac:dyDescent="0.2">
      <c r="A993" s="7"/>
      <c r="B993"/>
      <c r="C993"/>
      <c r="K993" s="1"/>
      <c r="M993"/>
    </row>
    <row r="994" spans="1:13" x14ac:dyDescent="0.2">
      <c r="A994" s="7"/>
      <c r="B994"/>
      <c r="C994"/>
      <c r="K994" s="1"/>
      <c r="M994"/>
    </row>
    <row r="995" spans="1:13" x14ac:dyDescent="0.2">
      <c r="A995" s="7"/>
      <c r="B995"/>
      <c r="C995"/>
      <c r="K995" s="1"/>
      <c r="M995"/>
    </row>
    <row r="996" spans="1:13" x14ac:dyDescent="0.2">
      <c r="A996" s="7"/>
      <c r="B996"/>
      <c r="C996"/>
      <c r="K996" s="1"/>
      <c r="M996"/>
    </row>
    <row r="997" spans="1:13" x14ac:dyDescent="0.2">
      <c r="A997" s="7"/>
      <c r="B997"/>
      <c r="C997"/>
      <c r="K997" s="1"/>
      <c r="M997"/>
    </row>
    <row r="998" spans="1:13" x14ac:dyDescent="0.2">
      <c r="A998" s="7"/>
      <c r="B998"/>
      <c r="C998"/>
      <c r="K998" s="1"/>
      <c r="M998"/>
    </row>
    <row r="999" spans="1:13" x14ac:dyDescent="0.2">
      <c r="A999" s="7"/>
      <c r="B999"/>
      <c r="C999"/>
      <c r="K999" s="1"/>
      <c r="M999"/>
    </row>
    <row r="1000" spans="1:13" x14ac:dyDescent="0.2">
      <c r="A1000" s="7"/>
      <c r="B1000"/>
      <c r="C1000"/>
      <c r="K1000" s="1"/>
      <c r="M1000"/>
    </row>
    <row r="1001" spans="1:13" x14ac:dyDescent="0.2">
      <c r="A1001" s="7"/>
      <c r="B1001"/>
      <c r="C1001"/>
      <c r="K1001" s="1"/>
      <c r="M1001"/>
    </row>
    <row r="1002" spans="1:13" x14ac:dyDescent="0.2">
      <c r="A1002" s="7"/>
      <c r="B1002"/>
      <c r="C1002"/>
      <c r="K1002" s="1"/>
      <c r="M1002"/>
    </row>
    <row r="1003" spans="1:13" x14ac:dyDescent="0.2">
      <c r="A1003" s="7"/>
      <c r="B1003"/>
      <c r="C1003"/>
      <c r="K1003" s="1"/>
      <c r="M1003"/>
    </row>
    <row r="1004" spans="1:13" x14ac:dyDescent="0.2">
      <c r="A1004" s="7"/>
      <c r="B1004"/>
      <c r="C1004"/>
      <c r="K1004" s="1"/>
      <c r="M1004"/>
    </row>
    <row r="1005" spans="1:13" x14ac:dyDescent="0.2">
      <c r="A1005" s="7"/>
      <c r="B1005"/>
      <c r="C1005"/>
      <c r="K1005" s="1"/>
      <c r="M1005"/>
    </row>
    <row r="1006" spans="1:13" x14ac:dyDescent="0.2">
      <c r="A1006" s="7"/>
      <c r="B1006"/>
      <c r="C1006"/>
      <c r="K1006" s="1"/>
      <c r="M1006"/>
    </row>
    <row r="1007" spans="1:13" x14ac:dyDescent="0.2">
      <c r="A1007" s="7"/>
      <c r="B1007"/>
      <c r="C1007"/>
      <c r="K1007" s="1"/>
      <c r="M1007"/>
    </row>
    <row r="1008" spans="1:13" x14ac:dyDescent="0.2">
      <c r="A1008" s="7"/>
      <c r="B1008"/>
      <c r="C1008"/>
      <c r="K1008" s="1"/>
      <c r="M1008"/>
    </row>
    <row r="1009" spans="1:13" x14ac:dyDescent="0.2">
      <c r="A1009" s="7"/>
      <c r="B1009"/>
      <c r="C1009"/>
      <c r="K1009" s="1"/>
      <c r="M1009"/>
    </row>
    <row r="1010" spans="1:13" x14ac:dyDescent="0.2">
      <c r="A1010" s="7"/>
      <c r="B1010"/>
      <c r="C1010"/>
      <c r="K1010" s="1"/>
      <c r="M1010"/>
    </row>
    <row r="1011" spans="1:13" x14ac:dyDescent="0.2">
      <c r="A1011" s="7"/>
      <c r="B1011"/>
      <c r="C1011"/>
      <c r="K1011" s="1"/>
      <c r="M1011"/>
    </row>
    <row r="1012" spans="1:13" x14ac:dyDescent="0.2">
      <c r="A1012" s="7"/>
      <c r="B1012"/>
      <c r="C1012"/>
      <c r="K1012" s="1"/>
      <c r="M1012"/>
    </row>
    <row r="1013" spans="1:13" x14ac:dyDescent="0.2">
      <c r="A1013" s="7"/>
      <c r="B1013"/>
      <c r="C1013"/>
      <c r="K1013" s="1"/>
      <c r="M1013"/>
    </row>
    <row r="1014" spans="1:13" x14ac:dyDescent="0.2">
      <c r="A1014" s="7"/>
      <c r="B1014"/>
      <c r="C1014"/>
      <c r="K1014" s="1"/>
      <c r="M1014"/>
    </row>
    <row r="1015" spans="1:13" x14ac:dyDescent="0.2">
      <c r="A1015" s="7"/>
      <c r="B1015"/>
      <c r="C1015"/>
      <c r="K1015" s="1"/>
      <c r="M1015"/>
    </row>
    <row r="1016" spans="1:13" x14ac:dyDescent="0.2">
      <c r="A1016" s="7"/>
      <c r="B1016"/>
      <c r="C1016"/>
      <c r="K1016" s="1"/>
      <c r="M1016"/>
    </row>
    <row r="1017" spans="1:13" x14ac:dyDescent="0.2">
      <c r="A1017" s="7"/>
      <c r="B1017"/>
      <c r="C1017"/>
      <c r="K1017" s="1"/>
      <c r="M1017"/>
    </row>
    <row r="1018" spans="1:13" x14ac:dyDescent="0.2">
      <c r="A1018" s="7"/>
      <c r="B1018"/>
      <c r="C1018"/>
      <c r="K1018" s="1"/>
      <c r="M1018"/>
    </row>
    <row r="1019" spans="1:13" x14ac:dyDescent="0.2">
      <c r="A1019" s="7"/>
      <c r="B1019"/>
      <c r="C1019"/>
      <c r="K1019" s="1"/>
      <c r="M1019"/>
    </row>
    <row r="1020" spans="1:13" x14ac:dyDescent="0.2">
      <c r="A1020" s="7"/>
      <c r="B1020"/>
      <c r="C1020"/>
      <c r="K1020" s="1"/>
      <c r="M1020"/>
    </row>
    <row r="1021" spans="1:13" x14ac:dyDescent="0.2">
      <c r="A1021" s="7"/>
      <c r="B1021"/>
      <c r="C1021"/>
      <c r="K1021" s="1"/>
      <c r="M1021"/>
    </row>
    <row r="1022" spans="1:13" x14ac:dyDescent="0.2">
      <c r="A1022" s="7"/>
      <c r="B1022"/>
      <c r="C1022"/>
      <c r="K1022" s="1"/>
      <c r="M1022"/>
    </row>
    <row r="1023" spans="1:13" x14ac:dyDescent="0.2">
      <c r="A1023" s="7"/>
      <c r="B1023"/>
      <c r="C1023"/>
      <c r="K1023" s="1"/>
      <c r="M1023"/>
    </row>
    <row r="1024" spans="1:13" x14ac:dyDescent="0.2">
      <c r="A1024" s="7"/>
      <c r="B1024"/>
      <c r="C1024"/>
      <c r="K1024" s="1"/>
      <c r="M1024"/>
    </row>
    <row r="1025" spans="1:13" x14ac:dyDescent="0.2">
      <c r="A1025" s="7"/>
      <c r="B1025"/>
      <c r="C1025"/>
      <c r="K1025" s="1"/>
      <c r="M1025"/>
    </row>
    <row r="1026" spans="1:13" x14ac:dyDescent="0.2">
      <c r="A1026" s="7"/>
      <c r="B1026"/>
      <c r="C1026"/>
      <c r="K1026" s="1"/>
      <c r="M1026"/>
    </row>
    <row r="1027" spans="1:13" x14ac:dyDescent="0.2">
      <c r="A1027" s="7"/>
      <c r="B1027"/>
      <c r="C1027"/>
      <c r="K1027" s="1"/>
      <c r="M1027"/>
    </row>
    <row r="1028" spans="1:13" x14ac:dyDescent="0.2">
      <c r="A1028" s="7"/>
      <c r="B1028"/>
      <c r="C1028"/>
      <c r="K1028" s="1"/>
      <c r="M1028"/>
    </row>
    <row r="1029" spans="1:13" x14ac:dyDescent="0.2">
      <c r="A1029" s="7"/>
      <c r="B1029"/>
      <c r="C1029"/>
      <c r="K1029" s="1"/>
      <c r="M1029"/>
    </row>
    <row r="1030" spans="1:13" x14ac:dyDescent="0.2">
      <c r="A1030" s="7"/>
      <c r="B1030"/>
      <c r="C1030"/>
      <c r="K1030" s="1"/>
      <c r="M1030"/>
    </row>
    <row r="1031" spans="1:13" x14ac:dyDescent="0.2">
      <c r="A1031" s="7"/>
      <c r="B1031"/>
      <c r="C1031"/>
      <c r="K1031" s="1"/>
      <c r="M1031"/>
    </row>
    <row r="1032" spans="1:13" x14ac:dyDescent="0.2">
      <c r="A1032" s="7"/>
      <c r="B1032"/>
      <c r="C1032"/>
      <c r="K1032" s="1"/>
      <c r="M1032"/>
    </row>
    <row r="1033" spans="1:13" x14ac:dyDescent="0.2">
      <c r="A1033" s="7"/>
      <c r="B1033"/>
      <c r="C1033"/>
      <c r="K1033" s="1"/>
      <c r="M1033"/>
    </row>
    <row r="1034" spans="1:13" x14ac:dyDescent="0.2">
      <c r="A1034" s="7"/>
      <c r="B1034"/>
      <c r="C1034"/>
      <c r="K1034" s="1"/>
      <c r="M1034"/>
    </row>
    <row r="1035" spans="1:13" x14ac:dyDescent="0.2">
      <c r="A1035" s="7"/>
      <c r="B1035"/>
      <c r="C1035"/>
      <c r="K1035" s="1"/>
      <c r="M1035"/>
    </row>
    <row r="1036" spans="1:13" x14ac:dyDescent="0.2">
      <c r="A1036" s="7"/>
      <c r="B1036"/>
      <c r="C1036"/>
      <c r="K1036" s="1"/>
      <c r="M1036"/>
    </row>
    <row r="1037" spans="1:13" x14ac:dyDescent="0.2">
      <c r="A1037" s="7"/>
      <c r="B1037"/>
      <c r="C1037"/>
      <c r="K1037" s="1"/>
      <c r="M1037"/>
    </row>
    <row r="1038" spans="1:13" x14ac:dyDescent="0.2">
      <c r="A1038" s="7"/>
      <c r="B1038"/>
      <c r="C1038"/>
      <c r="K1038" s="1"/>
      <c r="M1038"/>
    </row>
    <row r="1039" spans="1:13" x14ac:dyDescent="0.2">
      <c r="A1039" s="7"/>
      <c r="B1039"/>
      <c r="C1039"/>
      <c r="K1039" s="1"/>
      <c r="M1039"/>
    </row>
    <row r="1040" spans="1:13" x14ac:dyDescent="0.2">
      <c r="A1040" s="7"/>
      <c r="B1040"/>
      <c r="C1040"/>
      <c r="K1040" s="1"/>
      <c r="M1040"/>
    </row>
    <row r="1041" spans="1:13" x14ac:dyDescent="0.2">
      <c r="A1041" s="7"/>
      <c r="B1041"/>
      <c r="C1041"/>
      <c r="K1041" s="1"/>
      <c r="M1041"/>
    </row>
    <row r="1042" spans="1:13" x14ac:dyDescent="0.2">
      <c r="A1042" s="7"/>
      <c r="B1042"/>
      <c r="C1042"/>
      <c r="K1042" s="1"/>
      <c r="M1042"/>
    </row>
    <row r="1043" spans="1:13" x14ac:dyDescent="0.2">
      <c r="A1043" s="7"/>
      <c r="B1043"/>
      <c r="C1043"/>
      <c r="K1043" s="1"/>
      <c r="M1043"/>
    </row>
    <row r="1044" spans="1:13" x14ac:dyDescent="0.2">
      <c r="A1044" s="7"/>
      <c r="B1044"/>
      <c r="C1044"/>
      <c r="K1044" s="1"/>
      <c r="M1044"/>
    </row>
    <row r="1045" spans="1:13" x14ac:dyDescent="0.2">
      <c r="A1045" s="7"/>
      <c r="B1045"/>
      <c r="C1045"/>
      <c r="K1045" s="1"/>
      <c r="M1045"/>
    </row>
    <row r="1046" spans="1:13" x14ac:dyDescent="0.2">
      <c r="A1046" s="7"/>
      <c r="B1046"/>
      <c r="C1046"/>
      <c r="K1046" s="1"/>
      <c r="M1046"/>
    </row>
    <row r="1047" spans="1:13" x14ac:dyDescent="0.2">
      <c r="A1047" s="7"/>
      <c r="B1047"/>
      <c r="C1047"/>
      <c r="K1047" s="1"/>
      <c r="M1047"/>
    </row>
    <row r="1048" spans="1:13" x14ac:dyDescent="0.2">
      <c r="A1048" s="7"/>
      <c r="B1048"/>
      <c r="C1048"/>
      <c r="K1048" s="1"/>
      <c r="M1048"/>
    </row>
    <row r="1049" spans="1:13" x14ac:dyDescent="0.2">
      <c r="A1049" s="7"/>
      <c r="B1049"/>
      <c r="C1049"/>
      <c r="K1049" s="1"/>
      <c r="M1049"/>
    </row>
    <row r="1050" spans="1:13" x14ac:dyDescent="0.2">
      <c r="A1050" s="7"/>
      <c r="B1050"/>
      <c r="C1050"/>
      <c r="K1050" s="1"/>
      <c r="M1050"/>
    </row>
    <row r="1051" spans="1:13" x14ac:dyDescent="0.2">
      <c r="A1051" s="7"/>
      <c r="B1051"/>
      <c r="C1051"/>
      <c r="K1051" s="1"/>
      <c r="M1051"/>
    </row>
    <row r="1052" spans="1:13" x14ac:dyDescent="0.2">
      <c r="A1052" s="7"/>
      <c r="B1052"/>
      <c r="C1052"/>
      <c r="K1052" s="1"/>
      <c r="M1052"/>
    </row>
    <row r="1053" spans="1:13" x14ac:dyDescent="0.2">
      <c r="A1053" s="7"/>
      <c r="B1053"/>
      <c r="C1053"/>
      <c r="K1053" s="1"/>
      <c r="M1053"/>
    </row>
    <row r="1054" spans="1:13" x14ac:dyDescent="0.2">
      <c r="A1054" s="7"/>
      <c r="B1054"/>
      <c r="C1054"/>
      <c r="K1054" s="1"/>
      <c r="M1054"/>
    </row>
    <row r="1055" spans="1:13" x14ac:dyDescent="0.2">
      <c r="A1055" s="7"/>
      <c r="B1055"/>
      <c r="C1055"/>
      <c r="K1055" s="1"/>
      <c r="M1055"/>
    </row>
    <row r="1056" spans="1:13" x14ac:dyDescent="0.2">
      <c r="A1056" s="7"/>
      <c r="B1056"/>
      <c r="C1056"/>
      <c r="K1056" s="1"/>
      <c r="M1056"/>
    </row>
    <row r="1057" spans="1:13" x14ac:dyDescent="0.2">
      <c r="A1057" s="7"/>
      <c r="B1057"/>
      <c r="C1057"/>
      <c r="K1057" s="1"/>
      <c r="M1057"/>
    </row>
    <row r="1058" spans="1:13" x14ac:dyDescent="0.2">
      <c r="A1058" s="7"/>
      <c r="B1058"/>
      <c r="C1058"/>
      <c r="K1058" s="1"/>
      <c r="M1058"/>
    </row>
    <row r="1059" spans="1:13" x14ac:dyDescent="0.2">
      <c r="A1059" s="7"/>
      <c r="B1059"/>
      <c r="C1059"/>
      <c r="K1059" s="1"/>
      <c r="M1059"/>
    </row>
    <row r="1060" spans="1:13" x14ac:dyDescent="0.2">
      <c r="A1060" s="7"/>
      <c r="B1060"/>
      <c r="C1060"/>
      <c r="K1060" s="1"/>
      <c r="M1060"/>
    </row>
    <row r="1061" spans="1:13" x14ac:dyDescent="0.2">
      <c r="A1061" s="7"/>
      <c r="B1061"/>
      <c r="C1061"/>
      <c r="K1061" s="1"/>
      <c r="M1061"/>
    </row>
    <row r="1062" spans="1:13" x14ac:dyDescent="0.2">
      <c r="A1062" s="7"/>
      <c r="B1062"/>
      <c r="C1062"/>
      <c r="K1062" s="1"/>
      <c r="M1062"/>
    </row>
    <row r="1063" spans="1:13" x14ac:dyDescent="0.2">
      <c r="A1063" s="7"/>
      <c r="B1063"/>
      <c r="C1063"/>
      <c r="K1063" s="1"/>
      <c r="M1063"/>
    </row>
    <row r="1064" spans="1:13" x14ac:dyDescent="0.2">
      <c r="A1064" s="7"/>
      <c r="B1064"/>
      <c r="C1064"/>
      <c r="K1064" s="1"/>
      <c r="M1064"/>
    </row>
    <row r="1065" spans="1:13" x14ac:dyDescent="0.2">
      <c r="A1065" s="7"/>
      <c r="B1065"/>
      <c r="C1065"/>
      <c r="K1065" s="1"/>
      <c r="M1065"/>
    </row>
    <row r="1066" spans="1:13" x14ac:dyDescent="0.2">
      <c r="A1066" s="7"/>
      <c r="B1066"/>
      <c r="C1066"/>
      <c r="K1066" s="1"/>
      <c r="M1066"/>
    </row>
    <row r="1067" spans="1:13" x14ac:dyDescent="0.2">
      <c r="A1067" s="7"/>
      <c r="B1067"/>
      <c r="C1067"/>
      <c r="K1067" s="1"/>
      <c r="M1067"/>
    </row>
    <row r="1068" spans="1:13" x14ac:dyDescent="0.2">
      <c r="A1068" s="7"/>
      <c r="B1068"/>
      <c r="C1068"/>
      <c r="K1068" s="1"/>
      <c r="M1068"/>
    </row>
    <row r="1069" spans="1:13" x14ac:dyDescent="0.2">
      <c r="A1069" s="7"/>
      <c r="B1069"/>
      <c r="C1069"/>
      <c r="K1069" s="1"/>
      <c r="M1069"/>
    </row>
    <row r="1070" spans="1:13" x14ac:dyDescent="0.2">
      <c r="A1070" s="7"/>
      <c r="B1070"/>
      <c r="C1070"/>
      <c r="K1070" s="1"/>
      <c r="M1070"/>
    </row>
    <row r="1071" spans="1:13" x14ac:dyDescent="0.2">
      <c r="A1071" s="7"/>
      <c r="B1071"/>
      <c r="C1071"/>
      <c r="K1071" s="1"/>
      <c r="M1071"/>
    </row>
    <row r="1072" spans="1:13" x14ac:dyDescent="0.2">
      <c r="A1072" s="7"/>
      <c r="B1072"/>
      <c r="C1072"/>
      <c r="K1072" s="1"/>
      <c r="M1072"/>
    </row>
    <row r="1073" spans="1:13" x14ac:dyDescent="0.2">
      <c r="A1073" s="7"/>
      <c r="B1073"/>
      <c r="C1073"/>
      <c r="K1073" s="1"/>
      <c r="M1073"/>
    </row>
    <row r="1074" spans="1:13" x14ac:dyDescent="0.2">
      <c r="A1074" s="7"/>
      <c r="B1074"/>
      <c r="C1074"/>
      <c r="K1074" s="1"/>
      <c r="M1074"/>
    </row>
    <row r="1075" spans="1:13" x14ac:dyDescent="0.2">
      <c r="A1075" s="7"/>
      <c r="B1075"/>
      <c r="C1075"/>
      <c r="K1075" s="1"/>
      <c r="M1075"/>
    </row>
    <row r="1076" spans="1:13" x14ac:dyDescent="0.2">
      <c r="A1076" s="7"/>
      <c r="B1076"/>
      <c r="C1076"/>
      <c r="K1076" s="1"/>
      <c r="M1076"/>
    </row>
    <row r="1077" spans="1:13" x14ac:dyDescent="0.2">
      <c r="A1077" s="7"/>
      <c r="B1077"/>
      <c r="C1077"/>
      <c r="K1077" s="1"/>
      <c r="M1077"/>
    </row>
    <row r="1078" spans="1:13" x14ac:dyDescent="0.2">
      <c r="A1078" s="7"/>
      <c r="B1078"/>
      <c r="C1078"/>
      <c r="K1078" s="1"/>
      <c r="M1078"/>
    </row>
    <row r="1079" spans="1:13" x14ac:dyDescent="0.2">
      <c r="A1079" s="7"/>
      <c r="B1079"/>
      <c r="C1079"/>
      <c r="K1079" s="1"/>
      <c r="M1079"/>
    </row>
    <row r="1080" spans="1:13" x14ac:dyDescent="0.2">
      <c r="A1080" s="7"/>
      <c r="B1080"/>
      <c r="C1080"/>
      <c r="K1080" s="1"/>
      <c r="M1080"/>
    </row>
    <row r="1081" spans="1:13" x14ac:dyDescent="0.2">
      <c r="A1081" s="7"/>
      <c r="B1081"/>
      <c r="C1081"/>
      <c r="K1081" s="1"/>
      <c r="M1081"/>
    </row>
    <row r="1082" spans="1:13" x14ac:dyDescent="0.2">
      <c r="A1082" s="7"/>
      <c r="B1082"/>
      <c r="C1082"/>
      <c r="K1082" s="1"/>
      <c r="M1082"/>
    </row>
    <row r="1083" spans="1:13" x14ac:dyDescent="0.2">
      <c r="A1083" s="7"/>
      <c r="B1083"/>
      <c r="C1083"/>
      <c r="K1083" s="1"/>
      <c r="M1083"/>
    </row>
    <row r="1084" spans="1:13" x14ac:dyDescent="0.2">
      <c r="A1084" s="7"/>
      <c r="B1084"/>
      <c r="C1084"/>
      <c r="K1084" s="1"/>
      <c r="M1084"/>
    </row>
    <row r="1085" spans="1:13" x14ac:dyDescent="0.2">
      <c r="A1085" s="7"/>
      <c r="B1085"/>
      <c r="C1085"/>
      <c r="K1085" s="1"/>
      <c r="M1085"/>
    </row>
    <row r="1086" spans="1:13" x14ac:dyDescent="0.2">
      <c r="A1086" s="7"/>
      <c r="B1086"/>
      <c r="C1086"/>
      <c r="K1086" s="1"/>
      <c r="M1086"/>
    </row>
    <row r="1087" spans="1:13" x14ac:dyDescent="0.2">
      <c r="A1087" s="7"/>
      <c r="B1087"/>
      <c r="C1087"/>
      <c r="K1087" s="1"/>
      <c r="M1087"/>
    </row>
    <row r="1088" spans="1:13" x14ac:dyDescent="0.2">
      <c r="A1088" s="7"/>
      <c r="B1088"/>
      <c r="C1088"/>
      <c r="K1088" s="1"/>
      <c r="M1088"/>
    </row>
    <row r="1089" spans="1:13" x14ac:dyDescent="0.2">
      <c r="A1089" s="7"/>
      <c r="B1089"/>
      <c r="C1089"/>
      <c r="K1089" s="1"/>
      <c r="M1089"/>
    </row>
    <row r="1090" spans="1:13" x14ac:dyDescent="0.2">
      <c r="A1090" s="7"/>
      <c r="B1090"/>
      <c r="C1090"/>
      <c r="K1090" s="1"/>
      <c r="M1090"/>
    </row>
    <row r="1091" spans="1:13" x14ac:dyDescent="0.2">
      <c r="A1091" s="7"/>
      <c r="B1091"/>
      <c r="C1091"/>
      <c r="K1091" s="1"/>
      <c r="M1091"/>
    </row>
    <row r="1092" spans="1:13" x14ac:dyDescent="0.2">
      <c r="A1092" s="7"/>
      <c r="B1092"/>
      <c r="C1092"/>
      <c r="K1092" s="1"/>
      <c r="M1092"/>
    </row>
    <row r="1093" spans="1:13" x14ac:dyDescent="0.2">
      <c r="A1093" s="7"/>
      <c r="B1093"/>
      <c r="C1093"/>
      <c r="K1093" s="1"/>
      <c r="M1093"/>
    </row>
    <row r="1094" spans="1:13" x14ac:dyDescent="0.2">
      <c r="A1094" s="7"/>
      <c r="B1094"/>
      <c r="C1094"/>
      <c r="K1094" s="1"/>
      <c r="M1094"/>
    </row>
    <row r="1095" spans="1:13" x14ac:dyDescent="0.2">
      <c r="A1095" s="7"/>
      <c r="B1095"/>
      <c r="C1095"/>
      <c r="K1095" s="1"/>
      <c r="M1095"/>
    </row>
    <row r="1096" spans="1:13" x14ac:dyDescent="0.2">
      <c r="A1096" s="7"/>
      <c r="B1096"/>
      <c r="C1096"/>
      <c r="K1096" s="1"/>
      <c r="M1096"/>
    </row>
    <row r="1097" spans="1:13" x14ac:dyDescent="0.2">
      <c r="A1097" s="7"/>
      <c r="B1097"/>
      <c r="C1097"/>
      <c r="K1097" s="1"/>
      <c r="M1097"/>
    </row>
    <row r="1098" spans="1:13" x14ac:dyDescent="0.2">
      <c r="A1098" s="7"/>
      <c r="B1098"/>
      <c r="C1098"/>
      <c r="K1098" s="1"/>
      <c r="M1098"/>
    </row>
    <row r="1099" spans="1:13" x14ac:dyDescent="0.2">
      <c r="A1099" s="7"/>
      <c r="B1099"/>
      <c r="C1099"/>
      <c r="K1099" s="1"/>
      <c r="M1099"/>
    </row>
    <row r="1100" spans="1:13" x14ac:dyDescent="0.2">
      <c r="A1100" s="7"/>
      <c r="B1100"/>
      <c r="C1100"/>
      <c r="K1100" s="1"/>
      <c r="M1100"/>
    </row>
    <row r="1101" spans="1:13" x14ac:dyDescent="0.2">
      <c r="A1101" s="7"/>
      <c r="B1101"/>
      <c r="C1101"/>
      <c r="K1101" s="1"/>
      <c r="M1101"/>
    </row>
    <row r="1102" spans="1:13" x14ac:dyDescent="0.2">
      <c r="A1102" s="7"/>
      <c r="B1102"/>
      <c r="C1102"/>
      <c r="K1102" s="1"/>
      <c r="M1102"/>
    </row>
    <row r="1103" spans="1:13" x14ac:dyDescent="0.2">
      <c r="A1103" s="7"/>
      <c r="B1103"/>
      <c r="C1103"/>
      <c r="K1103" s="1"/>
      <c r="M1103"/>
    </row>
    <row r="1104" spans="1:13" x14ac:dyDescent="0.2">
      <c r="A1104" s="7"/>
      <c r="B1104"/>
      <c r="C1104"/>
      <c r="K1104" s="1"/>
      <c r="M1104"/>
    </row>
    <row r="1105" spans="1:13" x14ac:dyDescent="0.2">
      <c r="A1105" s="7"/>
      <c r="B1105"/>
      <c r="C1105"/>
      <c r="K1105" s="1"/>
      <c r="M1105"/>
    </row>
    <row r="1106" spans="1:13" x14ac:dyDescent="0.2">
      <c r="A1106" s="7"/>
      <c r="B1106"/>
      <c r="C1106"/>
      <c r="K1106" s="1"/>
      <c r="M1106"/>
    </row>
    <row r="1107" spans="1:13" x14ac:dyDescent="0.2">
      <c r="A1107" s="7"/>
      <c r="B1107"/>
      <c r="C1107"/>
      <c r="K1107" s="1"/>
      <c r="M1107"/>
    </row>
    <row r="1108" spans="1:13" x14ac:dyDescent="0.2">
      <c r="A1108" s="7"/>
      <c r="B1108"/>
      <c r="C1108"/>
      <c r="K1108" s="1"/>
      <c r="M1108"/>
    </row>
    <row r="1109" spans="1:13" x14ac:dyDescent="0.2">
      <c r="A1109" s="7"/>
      <c r="B1109"/>
      <c r="C1109"/>
      <c r="K1109" s="1"/>
      <c r="M1109"/>
    </row>
    <row r="1110" spans="1:13" x14ac:dyDescent="0.2">
      <c r="A1110" s="7"/>
      <c r="B1110"/>
      <c r="C1110"/>
      <c r="K1110" s="1"/>
      <c r="M1110"/>
    </row>
    <row r="1111" spans="1:13" x14ac:dyDescent="0.2">
      <c r="A1111" s="7"/>
      <c r="B1111"/>
      <c r="C1111"/>
      <c r="K1111" s="1"/>
      <c r="M1111"/>
    </row>
    <row r="1112" spans="1:13" x14ac:dyDescent="0.2">
      <c r="A1112" s="7"/>
      <c r="B1112"/>
      <c r="C1112"/>
      <c r="K1112" s="1"/>
      <c r="M1112"/>
    </row>
    <row r="1113" spans="1:13" x14ac:dyDescent="0.2">
      <c r="A1113" s="7"/>
      <c r="B1113"/>
      <c r="C1113"/>
      <c r="K1113" s="1"/>
      <c r="M1113"/>
    </row>
    <row r="1114" spans="1:13" x14ac:dyDescent="0.2">
      <c r="A1114" s="7"/>
      <c r="B1114"/>
      <c r="C1114"/>
      <c r="K1114" s="1"/>
      <c r="M1114"/>
    </row>
    <row r="1115" spans="1:13" x14ac:dyDescent="0.2">
      <c r="A1115" s="7"/>
      <c r="B1115"/>
      <c r="C1115"/>
      <c r="K1115" s="1"/>
      <c r="M1115"/>
    </row>
    <row r="1116" spans="1:13" x14ac:dyDescent="0.2">
      <c r="A1116" s="7"/>
      <c r="B1116"/>
      <c r="C1116"/>
      <c r="K1116" s="1"/>
      <c r="M1116"/>
    </row>
    <row r="1117" spans="1:13" x14ac:dyDescent="0.2">
      <c r="A1117" s="7"/>
      <c r="B1117"/>
      <c r="C1117"/>
      <c r="K1117" s="1"/>
      <c r="M1117"/>
    </row>
    <row r="1118" spans="1:13" x14ac:dyDescent="0.2">
      <c r="A1118" s="7"/>
      <c r="B1118"/>
      <c r="C1118"/>
      <c r="K1118" s="1"/>
      <c r="M1118"/>
    </row>
    <row r="1119" spans="1:13" x14ac:dyDescent="0.2">
      <c r="A1119" s="7"/>
      <c r="B1119"/>
      <c r="C1119"/>
      <c r="K1119" s="1"/>
      <c r="M1119"/>
    </row>
    <row r="1120" spans="1:13" x14ac:dyDescent="0.2">
      <c r="A1120" s="7"/>
      <c r="B1120"/>
      <c r="C1120"/>
      <c r="K1120" s="1"/>
      <c r="M1120"/>
    </row>
    <row r="1121" spans="1:13" x14ac:dyDescent="0.2">
      <c r="A1121" s="7"/>
      <c r="B1121"/>
      <c r="C1121"/>
      <c r="K1121" s="1"/>
      <c r="M1121"/>
    </row>
    <row r="1122" spans="1:13" x14ac:dyDescent="0.2">
      <c r="A1122" s="7"/>
      <c r="B1122"/>
      <c r="C1122"/>
      <c r="K1122" s="1"/>
      <c r="M1122"/>
    </row>
    <row r="1123" spans="1:13" x14ac:dyDescent="0.2">
      <c r="A1123" s="7"/>
      <c r="B1123"/>
      <c r="C1123"/>
      <c r="K1123" s="1"/>
      <c r="M1123"/>
    </row>
    <row r="1124" spans="1:13" x14ac:dyDescent="0.2">
      <c r="A1124" s="7"/>
      <c r="B1124"/>
      <c r="C1124"/>
      <c r="K1124" s="1"/>
      <c r="M1124"/>
    </row>
    <row r="1125" spans="1:13" x14ac:dyDescent="0.2">
      <c r="A1125" s="7"/>
      <c r="B1125"/>
      <c r="C1125"/>
      <c r="K1125" s="1"/>
      <c r="M1125"/>
    </row>
    <row r="1126" spans="1:13" x14ac:dyDescent="0.2">
      <c r="A1126" s="7"/>
      <c r="B1126"/>
      <c r="C1126"/>
      <c r="K1126" s="1"/>
      <c r="M1126"/>
    </row>
    <row r="1127" spans="1:13" x14ac:dyDescent="0.2">
      <c r="A1127" s="7"/>
      <c r="B1127"/>
      <c r="C1127"/>
      <c r="K1127" s="1"/>
      <c r="M1127"/>
    </row>
    <row r="1128" spans="1:13" x14ac:dyDescent="0.2">
      <c r="A1128" s="7"/>
      <c r="B1128"/>
      <c r="C1128"/>
      <c r="K1128" s="1"/>
      <c r="M1128"/>
    </row>
    <row r="1129" spans="1:13" x14ac:dyDescent="0.2">
      <c r="A1129" s="7"/>
      <c r="B1129"/>
      <c r="C1129"/>
      <c r="K1129" s="1"/>
      <c r="M1129"/>
    </row>
    <row r="1130" spans="1:13" x14ac:dyDescent="0.2">
      <c r="A1130" s="7"/>
      <c r="B1130"/>
      <c r="C1130"/>
      <c r="K1130" s="1"/>
      <c r="M1130"/>
    </row>
    <row r="1131" spans="1:13" x14ac:dyDescent="0.2">
      <c r="A1131" s="7"/>
      <c r="B1131"/>
      <c r="C1131"/>
      <c r="K1131" s="1"/>
      <c r="M1131"/>
    </row>
    <row r="1132" spans="1:13" x14ac:dyDescent="0.2">
      <c r="A1132" s="7"/>
      <c r="B1132"/>
      <c r="C1132"/>
      <c r="K1132" s="1"/>
      <c r="M1132"/>
    </row>
    <row r="1133" spans="1:13" x14ac:dyDescent="0.2">
      <c r="A1133" s="7"/>
      <c r="B1133"/>
      <c r="C1133"/>
      <c r="K1133" s="1"/>
      <c r="M1133"/>
    </row>
    <row r="1134" spans="1:13" x14ac:dyDescent="0.2">
      <c r="A1134" s="7"/>
      <c r="B1134"/>
      <c r="C1134"/>
      <c r="K1134" s="1"/>
      <c r="M1134"/>
    </row>
    <row r="1135" spans="1:13" x14ac:dyDescent="0.2">
      <c r="A1135" s="7"/>
      <c r="B1135"/>
      <c r="C1135"/>
      <c r="K1135" s="1"/>
      <c r="M1135"/>
    </row>
    <row r="1136" spans="1:13" x14ac:dyDescent="0.2">
      <c r="A1136" s="7"/>
      <c r="B1136"/>
      <c r="C1136"/>
      <c r="K1136" s="1"/>
      <c r="M1136"/>
    </row>
    <row r="1137" spans="1:13" x14ac:dyDescent="0.2">
      <c r="A1137" s="7"/>
      <c r="B1137"/>
      <c r="C1137"/>
      <c r="K1137" s="1"/>
      <c r="M1137"/>
    </row>
    <row r="1138" spans="1:13" x14ac:dyDescent="0.2">
      <c r="A1138" s="7"/>
      <c r="B1138"/>
      <c r="C1138"/>
      <c r="K1138" s="1"/>
      <c r="M1138"/>
    </row>
    <row r="1139" spans="1:13" x14ac:dyDescent="0.2">
      <c r="A1139" s="7"/>
      <c r="B1139"/>
      <c r="C1139"/>
      <c r="K1139" s="1"/>
      <c r="M1139"/>
    </row>
    <row r="1140" spans="1:13" x14ac:dyDescent="0.2">
      <c r="A1140" s="7"/>
      <c r="B1140"/>
      <c r="C1140"/>
      <c r="K1140" s="1"/>
      <c r="M1140"/>
    </row>
    <row r="1141" spans="1:13" x14ac:dyDescent="0.2">
      <c r="A1141" s="7"/>
      <c r="B1141"/>
      <c r="C1141"/>
      <c r="K1141" s="1"/>
      <c r="M1141"/>
    </row>
    <row r="1142" spans="1:13" x14ac:dyDescent="0.2">
      <c r="A1142" s="7"/>
      <c r="B1142"/>
      <c r="C1142"/>
      <c r="K1142" s="1"/>
      <c r="M1142"/>
    </row>
    <row r="1143" spans="1:13" x14ac:dyDescent="0.2">
      <c r="A1143" s="7"/>
      <c r="B1143"/>
      <c r="C1143"/>
      <c r="K1143" s="1"/>
      <c r="M1143"/>
    </row>
    <row r="1144" spans="1:13" x14ac:dyDescent="0.2">
      <c r="A1144" s="7"/>
      <c r="B1144"/>
      <c r="C1144"/>
      <c r="K1144" s="1"/>
      <c r="M1144"/>
    </row>
    <row r="1145" spans="1:13" x14ac:dyDescent="0.2">
      <c r="A1145" s="7"/>
      <c r="B1145"/>
      <c r="C1145"/>
      <c r="K1145" s="1"/>
      <c r="M1145"/>
    </row>
    <row r="1146" spans="1:13" x14ac:dyDescent="0.2">
      <c r="A1146" s="7"/>
      <c r="B1146"/>
      <c r="C1146"/>
      <c r="K1146" s="1"/>
      <c r="M1146"/>
    </row>
    <row r="1147" spans="1:13" x14ac:dyDescent="0.2">
      <c r="A1147" s="7"/>
      <c r="B1147"/>
      <c r="C1147"/>
      <c r="K1147" s="1"/>
      <c r="M1147"/>
    </row>
    <row r="1148" spans="1:13" x14ac:dyDescent="0.2">
      <c r="A1148" s="7"/>
      <c r="B1148"/>
      <c r="C1148"/>
      <c r="K1148" s="1"/>
      <c r="M1148"/>
    </row>
    <row r="1149" spans="1:13" x14ac:dyDescent="0.2">
      <c r="A1149" s="7"/>
      <c r="B1149"/>
      <c r="C1149"/>
      <c r="K1149" s="1"/>
      <c r="M1149"/>
    </row>
    <row r="1150" spans="1:13" x14ac:dyDescent="0.2">
      <c r="A1150" s="7"/>
      <c r="B1150"/>
      <c r="C1150"/>
      <c r="K1150" s="1"/>
      <c r="M1150"/>
    </row>
    <row r="1151" spans="1:13" x14ac:dyDescent="0.2">
      <c r="A1151" s="7"/>
      <c r="B1151"/>
      <c r="C1151"/>
      <c r="K1151" s="1"/>
      <c r="M1151"/>
    </row>
    <row r="1152" spans="1:13" x14ac:dyDescent="0.2">
      <c r="A1152" s="7"/>
      <c r="B1152"/>
      <c r="C1152"/>
      <c r="K1152" s="1"/>
      <c r="M1152"/>
    </row>
    <row r="1153" spans="1:13" x14ac:dyDescent="0.2">
      <c r="A1153" s="7"/>
      <c r="B1153"/>
      <c r="C1153"/>
      <c r="K1153" s="1"/>
      <c r="M1153"/>
    </row>
    <row r="1154" spans="1:13" x14ac:dyDescent="0.2">
      <c r="A1154" s="7"/>
      <c r="B1154"/>
      <c r="C1154"/>
      <c r="K1154" s="1"/>
      <c r="M1154"/>
    </row>
    <row r="1155" spans="1:13" x14ac:dyDescent="0.2">
      <c r="A1155" s="7"/>
      <c r="B1155"/>
      <c r="C1155"/>
      <c r="K1155" s="1"/>
      <c r="M1155"/>
    </row>
    <row r="1156" spans="1:13" x14ac:dyDescent="0.2">
      <c r="A1156" s="7"/>
      <c r="B1156"/>
      <c r="C1156"/>
      <c r="K1156" s="1"/>
      <c r="M1156"/>
    </row>
    <row r="1157" spans="1:13" x14ac:dyDescent="0.2">
      <c r="A1157" s="7"/>
      <c r="B1157"/>
      <c r="C1157"/>
      <c r="K1157" s="1"/>
      <c r="M1157"/>
    </row>
    <row r="1158" spans="1:13" x14ac:dyDescent="0.2">
      <c r="A1158" s="7"/>
      <c r="B1158"/>
      <c r="C1158"/>
      <c r="K1158" s="1"/>
      <c r="M1158"/>
    </row>
    <row r="1159" spans="1:13" x14ac:dyDescent="0.2">
      <c r="A1159" s="7"/>
      <c r="B1159"/>
      <c r="C1159"/>
      <c r="K1159" s="1"/>
      <c r="M1159"/>
    </row>
    <row r="1160" spans="1:13" x14ac:dyDescent="0.2">
      <c r="A1160" s="7"/>
      <c r="B1160"/>
      <c r="C1160"/>
      <c r="K1160" s="1"/>
      <c r="M1160"/>
    </row>
    <row r="1161" spans="1:13" x14ac:dyDescent="0.2">
      <c r="A1161" s="7"/>
      <c r="B1161"/>
      <c r="C1161"/>
      <c r="K1161" s="1"/>
      <c r="M1161"/>
    </row>
    <row r="1162" spans="1:13" x14ac:dyDescent="0.2">
      <c r="A1162" s="7"/>
      <c r="B1162"/>
      <c r="C1162"/>
      <c r="K1162" s="1"/>
      <c r="M1162"/>
    </row>
    <row r="1163" spans="1:13" x14ac:dyDescent="0.2">
      <c r="A1163" s="7"/>
      <c r="B1163"/>
      <c r="C1163"/>
      <c r="K1163" s="1"/>
      <c r="M1163"/>
    </row>
    <row r="1164" spans="1:13" x14ac:dyDescent="0.2">
      <c r="A1164" s="7"/>
      <c r="B1164"/>
      <c r="C1164"/>
      <c r="K1164" s="1"/>
      <c r="M1164"/>
    </row>
    <row r="1165" spans="1:13" x14ac:dyDescent="0.2">
      <c r="A1165" s="7"/>
      <c r="B1165"/>
      <c r="C1165"/>
      <c r="K1165" s="1"/>
      <c r="M1165"/>
    </row>
    <row r="1166" spans="1:13" x14ac:dyDescent="0.2">
      <c r="A1166" s="7"/>
      <c r="B1166"/>
      <c r="C1166"/>
      <c r="K1166" s="1"/>
      <c r="M1166"/>
    </row>
    <row r="1167" spans="1:13" x14ac:dyDescent="0.2">
      <c r="A1167" s="7"/>
      <c r="B1167"/>
      <c r="C1167"/>
      <c r="K1167" s="1"/>
      <c r="M1167"/>
    </row>
    <row r="1168" spans="1:13" x14ac:dyDescent="0.2">
      <c r="A1168" s="7"/>
      <c r="B1168"/>
      <c r="C1168"/>
      <c r="K1168" s="1"/>
      <c r="M1168"/>
    </row>
    <row r="1169" spans="1:13" x14ac:dyDescent="0.2">
      <c r="A1169" s="7"/>
      <c r="B1169"/>
      <c r="C1169"/>
      <c r="K1169" s="1"/>
      <c r="M1169"/>
    </row>
    <row r="1170" spans="1:13" x14ac:dyDescent="0.2">
      <c r="A1170" s="7"/>
      <c r="B1170"/>
      <c r="C1170"/>
      <c r="K1170" s="1"/>
      <c r="M1170"/>
    </row>
    <row r="1171" spans="1:13" x14ac:dyDescent="0.2">
      <c r="A1171" s="7"/>
      <c r="B1171"/>
      <c r="C1171"/>
      <c r="K1171" s="1"/>
      <c r="M1171"/>
    </row>
    <row r="1172" spans="1:13" x14ac:dyDescent="0.2">
      <c r="A1172" s="7"/>
      <c r="B1172"/>
      <c r="C1172"/>
      <c r="K1172" s="1"/>
      <c r="M1172"/>
    </row>
    <row r="1173" spans="1:13" x14ac:dyDescent="0.2">
      <c r="A1173" s="7"/>
      <c r="B1173"/>
      <c r="C1173"/>
      <c r="K1173" s="1"/>
      <c r="M1173"/>
    </row>
    <row r="1174" spans="1:13" x14ac:dyDescent="0.2">
      <c r="A1174" s="7"/>
      <c r="B1174"/>
      <c r="C1174"/>
      <c r="K1174" s="1"/>
      <c r="M1174"/>
    </row>
    <row r="1175" spans="1:13" x14ac:dyDescent="0.2">
      <c r="A1175" s="7"/>
      <c r="B1175"/>
      <c r="C1175"/>
      <c r="K1175" s="1"/>
      <c r="M1175"/>
    </row>
    <row r="1176" spans="1:13" x14ac:dyDescent="0.2">
      <c r="A1176" s="7"/>
      <c r="B1176"/>
      <c r="C1176"/>
      <c r="K1176" s="1"/>
      <c r="M1176"/>
    </row>
    <row r="1177" spans="1:13" x14ac:dyDescent="0.2">
      <c r="A1177" s="7"/>
      <c r="B1177"/>
      <c r="C1177"/>
      <c r="K1177" s="1"/>
      <c r="M1177"/>
    </row>
    <row r="1178" spans="1:13" x14ac:dyDescent="0.2">
      <c r="A1178" s="7"/>
      <c r="B1178"/>
      <c r="C1178"/>
      <c r="K1178" s="1"/>
      <c r="M1178"/>
    </row>
    <row r="1179" spans="1:13" x14ac:dyDescent="0.2">
      <c r="A1179" s="7"/>
      <c r="B1179"/>
      <c r="C1179"/>
      <c r="K1179" s="1"/>
      <c r="M1179"/>
    </row>
    <row r="1180" spans="1:13" x14ac:dyDescent="0.2">
      <c r="A1180" s="7"/>
      <c r="B1180"/>
      <c r="C1180"/>
      <c r="K1180" s="1"/>
      <c r="M1180"/>
    </row>
    <row r="1181" spans="1:13" x14ac:dyDescent="0.2">
      <c r="A1181" s="7"/>
      <c r="B1181"/>
      <c r="C1181"/>
      <c r="K1181" s="1"/>
      <c r="M1181"/>
    </row>
    <row r="1182" spans="1:13" x14ac:dyDescent="0.2">
      <c r="A1182" s="7"/>
      <c r="B1182"/>
      <c r="C1182"/>
      <c r="K1182" s="1"/>
      <c r="M1182"/>
    </row>
    <row r="1183" spans="1:13" x14ac:dyDescent="0.2">
      <c r="A1183" s="7"/>
      <c r="B1183"/>
      <c r="C1183"/>
      <c r="K1183" s="1"/>
      <c r="M1183"/>
    </row>
    <row r="1184" spans="1:13" x14ac:dyDescent="0.2">
      <c r="A1184" s="7"/>
      <c r="B1184"/>
      <c r="C1184"/>
      <c r="K1184" s="1"/>
      <c r="M1184"/>
    </row>
    <row r="1185" spans="1:13" x14ac:dyDescent="0.2">
      <c r="A1185" s="7"/>
      <c r="B1185"/>
      <c r="C1185"/>
      <c r="K1185" s="1"/>
      <c r="M1185"/>
    </row>
    <row r="1186" spans="1:13" x14ac:dyDescent="0.2">
      <c r="A1186" s="7"/>
      <c r="B1186"/>
      <c r="C1186"/>
      <c r="K1186" s="1"/>
      <c r="M1186"/>
    </row>
    <row r="1187" spans="1:13" x14ac:dyDescent="0.2">
      <c r="A1187" s="7"/>
      <c r="B1187"/>
      <c r="C1187"/>
      <c r="K1187" s="1"/>
      <c r="M1187"/>
    </row>
    <row r="1188" spans="1:13" x14ac:dyDescent="0.2">
      <c r="A1188" s="7"/>
      <c r="B1188"/>
      <c r="C1188"/>
      <c r="K1188" s="1"/>
      <c r="M1188"/>
    </row>
    <row r="1189" spans="1:13" x14ac:dyDescent="0.2">
      <c r="A1189" s="7"/>
      <c r="B1189"/>
      <c r="C1189"/>
      <c r="K1189" s="1"/>
      <c r="M1189"/>
    </row>
    <row r="1190" spans="1:13" x14ac:dyDescent="0.2">
      <c r="A1190" s="7"/>
      <c r="B1190"/>
      <c r="C1190"/>
      <c r="K1190" s="1"/>
      <c r="M1190"/>
    </row>
    <row r="1191" spans="1:13" x14ac:dyDescent="0.2">
      <c r="A1191" s="7"/>
      <c r="B1191"/>
      <c r="C1191"/>
      <c r="K1191" s="1"/>
      <c r="M1191"/>
    </row>
    <row r="1192" spans="1:13" x14ac:dyDescent="0.2">
      <c r="A1192" s="7"/>
      <c r="B1192"/>
      <c r="C1192"/>
      <c r="K1192" s="1"/>
      <c r="M1192"/>
    </row>
    <row r="1193" spans="1:13" x14ac:dyDescent="0.2">
      <c r="A1193" s="7"/>
      <c r="B1193"/>
      <c r="C1193"/>
      <c r="K1193" s="1"/>
      <c r="M1193"/>
    </row>
    <row r="1194" spans="1:13" x14ac:dyDescent="0.2">
      <c r="A1194" s="7"/>
      <c r="B1194"/>
      <c r="C1194"/>
      <c r="K1194" s="1"/>
      <c r="M1194"/>
    </row>
    <row r="1195" spans="1:13" x14ac:dyDescent="0.2">
      <c r="A1195" s="7"/>
      <c r="B1195"/>
      <c r="C1195"/>
      <c r="K1195" s="1"/>
      <c r="M1195"/>
    </row>
    <row r="1196" spans="1:13" x14ac:dyDescent="0.2">
      <c r="A1196" s="7"/>
      <c r="B1196"/>
      <c r="C1196"/>
      <c r="K1196" s="1"/>
      <c r="M1196"/>
    </row>
    <row r="1197" spans="1:13" x14ac:dyDescent="0.2">
      <c r="A1197" s="7"/>
      <c r="B1197"/>
      <c r="C1197"/>
      <c r="K1197" s="1"/>
      <c r="M1197"/>
    </row>
    <row r="1198" spans="1:13" x14ac:dyDescent="0.2">
      <c r="A1198" s="7"/>
      <c r="B1198"/>
      <c r="C1198"/>
      <c r="K1198" s="1"/>
      <c r="M1198"/>
    </row>
    <row r="1199" spans="1:13" x14ac:dyDescent="0.2">
      <c r="A1199" s="7"/>
      <c r="B1199"/>
      <c r="C1199"/>
      <c r="K1199" s="1"/>
      <c r="M1199"/>
    </row>
    <row r="1200" spans="1:13" x14ac:dyDescent="0.2">
      <c r="A1200" s="7"/>
      <c r="B1200"/>
      <c r="C1200"/>
      <c r="K1200" s="1"/>
      <c r="M1200"/>
    </row>
    <row r="1201" spans="1:13" x14ac:dyDescent="0.2">
      <c r="A1201" s="7"/>
      <c r="B1201"/>
      <c r="C1201"/>
      <c r="K1201" s="1"/>
      <c r="M1201"/>
    </row>
    <row r="1202" spans="1:13" x14ac:dyDescent="0.2">
      <c r="A1202" s="7"/>
      <c r="B1202"/>
      <c r="C1202"/>
      <c r="K1202" s="1"/>
      <c r="M1202"/>
    </row>
    <row r="1203" spans="1:13" x14ac:dyDescent="0.2">
      <c r="A1203" s="7"/>
      <c r="B1203"/>
      <c r="C1203"/>
      <c r="K1203" s="1"/>
      <c r="M1203"/>
    </row>
    <row r="1204" spans="1:13" x14ac:dyDescent="0.2">
      <c r="A1204" s="7"/>
      <c r="B1204"/>
      <c r="C1204"/>
      <c r="K1204" s="1"/>
      <c r="M1204"/>
    </row>
    <row r="1205" spans="1:13" x14ac:dyDescent="0.2">
      <c r="A1205" s="7"/>
      <c r="B1205"/>
      <c r="C1205"/>
      <c r="K1205" s="1"/>
      <c r="M1205"/>
    </row>
    <row r="1206" spans="1:13" x14ac:dyDescent="0.2">
      <c r="A1206" s="7"/>
      <c r="B1206"/>
      <c r="C1206"/>
      <c r="K1206" s="1"/>
      <c r="M1206"/>
    </row>
    <row r="1207" spans="1:13" x14ac:dyDescent="0.2">
      <c r="A1207" s="7"/>
      <c r="B1207"/>
      <c r="C1207"/>
      <c r="K1207" s="1"/>
      <c r="M1207"/>
    </row>
    <row r="1208" spans="1:13" x14ac:dyDescent="0.2">
      <c r="A1208" s="7"/>
      <c r="B1208"/>
      <c r="C1208"/>
      <c r="K1208" s="1"/>
      <c r="M1208"/>
    </row>
    <row r="1209" spans="1:13" x14ac:dyDescent="0.2">
      <c r="A1209" s="7"/>
      <c r="B1209"/>
      <c r="C1209"/>
      <c r="K1209" s="1"/>
      <c r="M1209"/>
    </row>
    <row r="1210" spans="1:13" x14ac:dyDescent="0.2">
      <c r="A1210" s="7"/>
      <c r="B1210"/>
      <c r="C1210"/>
      <c r="K1210" s="1"/>
      <c r="M1210"/>
    </row>
    <row r="1211" spans="1:13" x14ac:dyDescent="0.2">
      <c r="A1211" s="7"/>
      <c r="B1211"/>
      <c r="C1211"/>
      <c r="K1211" s="1"/>
      <c r="M1211"/>
    </row>
    <row r="1212" spans="1:13" x14ac:dyDescent="0.2">
      <c r="A1212" s="7"/>
      <c r="B1212"/>
      <c r="C1212"/>
      <c r="K1212" s="1"/>
      <c r="M1212"/>
    </row>
    <row r="1213" spans="1:13" x14ac:dyDescent="0.2">
      <c r="A1213" s="7"/>
      <c r="B1213"/>
      <c r="C1213"/>
      <c r="K1213" s="1"/>
      <c r="M1213"/>
    </row>
    <row r="1214" spans="1:13" x14ac:dyDescent="0.2">
      <c r="A1214" s="7"/>
      <c r="B1214"/>
      <c r="C1214"/>
      <c r="K1214" s="1"/>
      <c r="M1214"/>
    </row>
    <row r="1215" spans="1:13" x14ac:dyDescent="0.2">
      <c r="A1215" s="7"/>
      <c r="B1215"/>
      <c r="C1215"/>
      <c r="K1215" s="1"/>
      <c r="M1215"/>
    </row>
    <row r="1216" spans="1:13" x14ac:dyDescent="0.2">
      <c r="A1216" s="7"/>
      <c r="B1216"/>
      <c r="C1216"/>
      <c r="K1216" s="1"/>
      <c r="M1216"/>
    </row>
    <row r="1217" spans="1:13" x14ac:dyDescent="0.2">
      <c r="A1217" s="7"/>
      <c r="B1217"/>
      <c r="C1217"/>
      <c r="K1217" s="1"/>
      <c r="M1217"/>
    </row>
    <row r="1218" spans="1:13" x14ac:dyDescent="0.2">
      <c r="A1218" s="7"/>
      <c r="B1218"/>
      <c r="C1218"/>
      <c r="K1218" s="1"/>
      <c r="M1218"/>
    </row>
    <row r="1219" spans="1:13" x14ac:dyDescent="0.2">
      <c r="A1219" s="7"/>
      <c r="B1219"/>
      <c r="C1219"/>
      <c r="K1219" s="1"/>
      <c r="M1219"/>
    </row>
    <row r="1220" spans="1:13" x14ac:dyDescent="0.2">
      <c r="A1220" s="7"/>
      <c r="B1220"/>
      <c r="C1220"/>
      <c r="K1220" s="1"/>
      <c r="M1220"/>
    </row>
    <row r="1221" spans="1:13" x14ac:dyDescent="0.2">
      <c r="A1221" s="7"/>
      <c r="B1221"/>
      <c r="C1221"/>
      <c r="K1221" s="1"/>
      <c r="M1221"/>
    </row>
    <row r="1222" spans="1:13" x14ac:dyDescent="0.2">
      <c r="A1222" s="7"/>
      <c r="B1222"/>
      <c r="C1222"/>
      <c r="K1222" s="1"/>
      <c r="M1222"/>
    </row>
    <row r="1223" spans="1:13" x14ac:dyDescent="0.2">
      <c r="A1223" s="7"/>
      <c r="B1223"/>
      <c r="C1223"/>
      <c r="K1223" s="1"/>
      <c r="M1223"/>
    </row>
    <row r="1224" spans="1:13" x14ac:dyDescent="0.2">
      <c r="A1224" s="7"/>
      <c r="B1224"/>
      <c r="C1224"/>
      <c r="K1224" s="1"/>
      <c r="M1224"/>
    </row>
    <row r="1225" spans="1:13" x14ac:dyDescent="0.2">
      <c r="A1225" s="7"/>
      <c r="B1225"/>
      <c r="C1225"/>
      <c r="K1225" s="1"/>
      <c r="M1225"/>
    </row>
    <row r="1226" spans="1:13" x14ac:dyDescent="0.2">
      <c r="A1226" s="7"/>
      <c r="B1226"/>
      <c r="C1226"/>
      <c r="K1226" s="1"/>
      <c r="M1226"/>
    </row>
    <row r="1227" spans="1:13" x14ac:dyDescent="0.2">
      <c r="A1227" s="7"/>
      <c r="B1227"/>
      <c r="C1227"/>
      <c r="K1227" s="1"/>
      <c r="M1227"/>
    </row>
    <row r="1228" spans="1:13" x14ac:dyDescent="0.2">
      <c r="A1228" s="7"/>
      <c r="B1228"/>
      <c r="C1228"/>
      <c r="K1228" s="1"/>
      <c r="M1228"/>
    </row>
    <row r="1229" spans="1:13" x14ac:dyDescent="0.2">
      <c r="A1229" s="7"/>
      <c r="B1229"/>
      <c r="C1229"/>
      <c r="K1229" s="1"/>
      <c r="M1229"/>
    </row>
    <row r="1230" spans="1:13" x14ac:dyDescent="0.2">
      <c r="A1230" s="7"/>
      <c r="B1230"/>
      <c r="C1230"/>
      <c r="K1230" s="1"/>
      <c r="M1230"/>
    </row>
    <row r="1231" spans="1:13" x14ac:dyDescent="0.2">
      <c r="A1231" s="7"/>
      <c r="B1231"/>
      <c r="C1231"/>
      <c r="K1231" s="1"/>
      <c r="M1231"/>
    </row>
    <row r="1232" spans="1:13" x14ac:dyDescent="0.2">
      <c r="A1232" s="7"/>
      <c r="B1232"/>
      <c r="C1232"/>
      <c r="K1232" s="1"/>
      <c r="M1232"/>
    </row>
    <row r="1233" spans="1:13" x14ac:dyDescent="0.2">
      <c r="A1233" s="7"/>
      <c r="B1233"/>
      <c r="C1233"/>
      <c r="K1233" s="1"/>
      <c r="M1233"/>
    </row>
    <row r="1234" spans="1:13" x14ac:dyDescent="0.2">
      <c r="A1234" s="7"/>
      <c r="B1234"/>
      <c r="C1234"/>
      <c r="K1234" s="1"/>
      <c r="M1234"/>
    </row>
    <row r="1235" spans="1:13" x14ac:dyDescent="0.2">
      <c r="A1235" s="7"/>
      <c r="B1235"/>
      <c r="C1235"/>
      <c r="K1235" s="1"/>
      <c r="M1235"/>
    </row>
    <row r="1236" spans="1:13" x14ac:dyDescent="0.2">
      <c r="A1236" s="7"/>
      <c r="B1236"/>
      <c r="C1236"/>
      <c r="K1236" s="1"/>
      <c r="M1236"/>
    </row>
    <row r="1237" spans="1:13" x14ac:dyDescent="0.2">
      <c r="A1237" s="7"/>
      <c r="B1237"/>
      <c r="C1237"/>
      <c r="K1237" s="1"/>
      <c r="M1237"/>
    </row>
    <row r="1238" spans="1:13" x14ac:dyDescent="0.2">
      <c r="A1238" s="7"/>
      <c r="B1238"/>
      <c r="C1238"/>
      <c r="K1238" s="1"/>
      <c r="M1238"/>
    </row>
    <row r="1239" spans="1:13" x14ac:dyDescent="0.2">
      <c r="A1239" s="7"/>
      <c r="B1239"/>
      <c r="C1239"/>
      <c r="K1239" s="1"/>
      <c r="M1239"/>
    </row>
    <row r="1240" spans="1:13" x14ac:dyDescent="0.2">
      <c r="A1240" s="7"/>
      <c r="B1240"/>
      <c r="C1240"/>
      <c r="K1240" s="1"/>
      <c r="M1240"/>
    </row>
    <row r="1241" spans="1:13" x14ac:dyDescent="0.2">
      <c r="A1241" s="7"/>
      <c r="B1241"/>
      <c r="C1241"/>
      <c r="K1241" s="1"/>
      <c r="M1241"/>
    </row>
    <row r="1242" spans="1:13" x14ac:dyDescent="0.2">
      <c r="A1242" s="7"/>
      <c r="B1242"/>
      <c r="C1242"/>
      <c r="K1242" s="1"/>
      <c r="M1242"/>
    </row>
    <row r="1243" spans="1:13" x14ac:dyDescent="0.2">
      <c r="A1243" s="7"/>
      <c r="B1243"/>
      <c r="C1243"/>
      <c r="K1243" s="1"/>
      <c r="M1243"/>
    </row>
    <row r="1244" spans="1:13" x14ac:dyDescent="0.2">
      <c r="A1244" s="7"/>
      <c r="B1244"/>
      <c r="C1244"/>
      <c r="K1244" s="1"/>
      <c r="M1244"/>
    </row>
    <row r="1245" spans="1:13" x14ac:dyDescent="0.2">
      <c r="A1245" s="7"/>
      <c r="B1245"/>
      <c r="C1245"/>
      <c r="K1245" s="1"/>
      <c r="M1245"/>
    </row>
    <row r="1246" spans="1:13" x14ac:dyDescent="0.2">
      <c r="A1246" s="7"/>
      <c r="B1246"/>
      <c r="C1246"/>
      <c r="K1246" s="1"/>
      <c r="M1246"/>
    </row>
    <row r="1247" spans="1:13" x14ac:dyDescent="0.2">
      <c r="A1247" s="7"/>
      <c r="B1247"/>
      <c r="C1247"/>
      <c r="K1247" s="1"/>
      <c r="M1247"/>
    </row>
    <row r="1248" spans="1:13" x14ac:dyDescent="0.2">
      <c r="A1248" s="7"/>
      <c r="B1248"/>
      <c r="C1248"/>
      <c r="K1248" s="1"/>
      <c r="M1248"/>
    </row>
    <row r="1249" spans="1:13" x14ac:dyDescent="0.2">
      <c r="A1249" s="7"/>
      <c r="B1249"/>
      <c r="C1249"/>
      <c r="K1249" s="1"/>
      <c r="M1249"/>
    </row>
    <row r="1250" spans="1:13" x14ac:dyDescent="0.2">
      <c r="A1250" s="7"/>
      <c r="B1250"/>
      <c r="C1250"/>
      <c r="K1250" s="1"/>
      <c r="M1250"/>
    </row>
    <row r="1251" spans="1:13" x14ac:dyDescent="0.2">
      <c r="A1251" s="7"/>
      <c r="B1251"/>
      <c r="C1251"/>
      <c r="K1251" s="1"/>
      <c r="M1251"/>
    </row>
    <row r="1252" spans="1:13" x14ac:dyDescent="0.2">
      <c r="A1252" s="7"/>
      <c r="B1252"/>
      <c r="C1252"/>
      <c r="K1252" s="1"/>
      <c r="M1252"/>
    </row>
    <row r="1253" spans="1:13" x14ac:dyDescent="0.2">
      <c r="A1253" s="7"/>
      <c r="B1253"/>
      <c r="C1253"/>
      <c r="K1253" s="1"/>
      <c r="M1253"/>
    </row>
    <row r="1254" spans="1:13" x14ac:dyDescent="0.2">
      <c r="A1254" s="7"/>
      <c r="B1254"/>
      <c r="C1254"/>
      <c r="K1254" s="1"/>
      <c r="M1254"/>
    </row>
    <row r="1255" spans="1:13" x14ac:dyDescent="0.2">
      <c r="A1255" s="7"/>
      <c r="B1255"/>
      <c r="C1255"/>
      <c r="K1255" s="1"/>
      <c r="M1255"/>
    </row>
    <row r="1256" spans="1:13" x14ac:dyDescent="0.2">
      <c r="A1256" s="7"/>
      <c r="B1256"/>
      <c r="C1256"/>
      <c r="K1256" s="1"/>
      <c r="M1256"/>
    </row>
    <row r="1257" spans="1:13" x14ac:dyDescent="0.2">
      <c r="A1257" s="7"/>
      <c r="B1257"/>
      <c r="C1257"/>
      <c r="K1257" s="1"/>
      <c r="M1257"/>
    </row>
    <row r="1258" spans="1:13" x14ac:dyDescent="0.2">
      <c r="A1258" s="7"/>
      <c r="B1258"/>
      <c r="C1258"/>
      <c r="K1258" s="1"/>
      <c r="M1258"/>
    </row>
    <row r="1259" spans="1:13" x14ac:dyDescent="0.2">
      <c r="A1259" s="7"/>
      <c r="B1259"/>
      <c r="C1259"/>
      <c r="K1259" s="1"/>
      <c r="M1259"/>
    </row>
    <row r="1260" spans="1:13" x14ac:dyDescent="0.2">
      <c r="A1260" s="7"/>
      <c r="B1260"/>
      <c r="C1260"/>
      <c r="K1260" s="1"/>
      <c r="M1260"/>
    </row>
    <row r="1261" spans="1:13" x14ac:dyDescent="0.2">
      <c r="A1261" s="7"/>
      <c r="B1261"/>
      <c r="C1261"/>
      <c r="K1261" s="1"/>
      <c r="M1261"/>
    </row>
    <row r="1262" spans="1:13" x14ac:dyDescent="0.2">
      <c r="A1262" s="7"/>
      <c r="B1262"/>
      <c r="C1262"/>
      <c r="K1262" s="1"/>
      <c r="M1262"/>
    </row>
    <row r="1263" spans="1:13" x14ac:dyDescent="0.2">
      <c r="A1263" s="7"/>
      <c r="B1263"/>
      <c r="C1263"/>
      <c r="K1263" s="1"/>
      <c r="M1263"/>
    </row>
    <row r="1264" spans="1:13" x14ac:dyDescent="0.2">
      <c r="A1264" s="7"/>
      <c r="B1264"/>
      <c r="C1264"/>
      <c r="K1264" s="1"/>
      <c r="M1264"/>
    </row>
    <row r="1265" spans="1:13" x14ac:dyDescent="0.2">
      <c r="A1265" s="7"/>
      <c r="B1265"/>
      <c r="C1265"/>
      <c r="K1265" s="1"/>
      <c r="M1265"/>
    </row>
    <row r="1266" spans="1:13" x14ac:dyDescent="0.2">
      <c r="A1266" s="7"/>
      <c r="B1266"/>
      <c r="C1266"/>
      <c r="K1266" s="1"/>
      <c r="M1266"/>
    </row>
    <row r="1267" spans="1:13" x14ac:dyDescent="0.2">
      <c r="A1267" s="7"/>
      <c r="B1267"/>
      <c r="C1267"/>
      <c r="K1267" s="1"/>
      <c r="M1267"/>
    </row>
    <row r="1268" spans="1:13" x14ac:dyDescent="0.2">
      <c r="A1268" s="7"/>
      <c r="B1268"/>
      <c r="C1268"/>
      <c r="K1268" s="1"/>
      <c r="M1268"/>
    </row>
    <row r="1269" spans="1:13" x14ac:dyDescent="0.2">
      <c r="A1269" s="7"/>
      <c r="B1269"/>
      <c r="C1269"/>
      <c r="K1269" s="1"/>
      <c r="M1269"/>
    </row>
    <row r="1270" spans="1:13" x14ac:dyDescent="0.2">
      <c r="A1270" s="7"/>
      <c r="B1270"/>
      <c r="C1270"/>
      <c r="K1270" s="1"/>
      <c r="M1270"/>
    </row>
    <row r="1271" spans="1:13" x14ac:dyDescent="0.2">
      <c r="A1271" s="7"/>
      <c r="B1271"/>
      <c r="C1271"/>
      <c r="K1271" s="1"/>
      <c r="M1271"/>
    </row>
    <row r="1272" spans="1:13" x14ac:dyDescent="0.2">
      <c r="A1272" s="7"/>
      <c r="B1272"/>
      <c r="C1272"/>
      <c r="K1272" s="1"/>
      <c r="M1272"/>
    </row>
    <row r="1273" spans="1:13" x14ac:dyDescent="0.2">
      <c r="A1273" s="7"/>
      <c r="B1273"/>
      <c r="C1273"/>
      <c r="K1273" s="1"/>
      <c r="M1273"/>
    </row>
    <row r="1274" spans="1:13" x14ac:dyDescent="0.2">
      <c r="A1274" s="7"/>
      <c r="B1274"/>
      <c r="C1274"/>
      <c r="K1274" s="1"/>
      <c r="M1274"/>
    </row>
    <row r="1275" spans="1:13" x14ac:dyDescent="0.2">
      <c r="A1275" s="7"/>
      <c r="B1275"/>
      <c r="C1275"/>
      <c r="K1275" s="1"/>
      <c r="M1275"/>
    </row>
    <row r="1276" spans="1:13" x14ac:dyDescent="0.2">
      <c r="A1276" s="7"/>
      <c r="B1276"/>
      <c r="C1276"/>
      <c r="K1276" s="1"/>
      <c r="M1276"/>
    </row>
    <row r="1277" spans="1:13" x14ac:dyDescent="0.2">
      <c r="A1277" s="7"/>
      <c r="B1277"/>
      <c r="C1277"/>
      <c r="K1277" s="1"/>
      <c r="M1277"/>
    </row>
    <row r="1278" spans="1:13" x14ac:dyDescent="0.2">
      <c r="A1278" s="7"/>
      <c r="B1278"/>
      <c r="C1278"/>
      <c r="K1278" s="1"/>
      <c r="M1278"/>
    </row>
    <row r="1279" spans="1:13" x14ac:dyDescent="0.2">
      <c r="A1279" s="7"/>
      <c r="B1279"/>
      <c r="C1279"/>
      <c r="K1279" s="1"/>
      <c r="M1279"/>
    </row>
    <row r="1280" spans="1:13" x14ac:dyDescent="0.2">
      <c r="A1280" s="7"/>
      <c r="B1280"/>
      <c r="C1280"/>
      <c r="K1280" s="1"/>
      <c r="M1280"/>
    </row>
    <row r="1281" spans="1:13" x14ac:dyDescent="0.2">
      <c r="A1281" s="7"/>
      <c r="B1281"/>
      <c r="C1281"/>
      <c r="K1281" s="1"/>
      <c r="M1281"/>
    </row>
    <row r="1282" spans="1:13" x14ac:dyDescent="0.2">
      <c r="A1282" s="7"/>
      <c r="B1282"/>
      <c r="C1282"/>
      <c r="K1282" s="1"/>
      <c r="M1282"/>
    </row>
    <row r="1283" spans="1:13" x14ac:dyDescent="0.2">
      <c r="A1283" s="7"/>
      <c r="B1283"/>
      <c r="C1283"/>
      <c r="K1283" s="1"/>
      <c r="M1283"/>
    </row>
    <row r="1284" spans="1:13" x14ac:dyDescent="0.2">
      <c r="A1284" s="7"/>
      <c r="B1284"/>
      <c r="C1284"/>
      <c r="K1284" s="1"/>
      <c r="M1284"/>
    </row>
    <row r="1285" spans="1:13" x14ac:dyDescent="0.2">
      <c r="A1285" s="7"/>
      <c r="B1285"/>
      <c r="C1285"/>
      <c r="K1285" s="1"/>
      <c r="M1285"/>
    </row>
    <row r="1286" spans="1:13" x14ac:dyDescent="0.2">
      <c r="A1286" s="7"/>
      <c r="B1286"/>
      <c r="C1286"/>
      <c r="K1286" s="1"/>
      <c r="M1286"/>
    </row>
    <row r="1287" spans="1:13" x14ac:dyDescent="0.2">
      <c r="A1287" s="7"/>
      <c r="B1287"/>
      <c r="C1287"/>
      <c r="K1287" s="1"/>
      <c r="M1287"/>
    </row>
    <row r="1288" spans="1:13" x14ac:dyDescent="0.2">
      <c r="A1288" s="7"/>
      <c r="B1288"/>
      <c r="C1288"/>
      <c r="K1288" s="1"/>
      <c r="M1288"/>
    </row>
    <row r="1289" spans="1:13" x14ac:dyDescent="0.2">
      <c r="A1289" s="7"/>
      <c r="B1289"/>
      <c r="C1289"/>
      <c r="K1289" s="1"/>
      <c r="M1289"/>
    </row>
    <row r="1290" spans="1:13" x14ac:dyDescent="0.2">
      <c r="A1290" s="7"/>
      <c r="B1290"/>
      <c r="C1290"/>
      <c r="K1290" s="1"/>
      <c r="M1290"/>
    </row>
    <row r="1291" spans="1:13" x14ac:dyDescent="0.2">
      <c r="A1291" s="7"/>
      <c r="B1291"/>
      <c r="C1291"/>
      <c r="K1291" s="1"/>
      <c r="M1291"/>
    </row>
    <row r="1292" spans="1:13" x14ac:dyDescent="0.2">
      <c r="A1292" s="7"/>
      <c r="B1292"/>
      <c r="C1292"/>
      <c r="K1292" s="1"/>
      <c r="M1292"/>
    </row>
    <row r="1293" spans="1:13" x14ac:dyDescent="0.2">
      <c r="A1293" s="7"/>
      <c r="B1293"/>
      <c r="C1293"/>
      <c r="K1293" s="1"/>
      <c r="M1293"/>
    </row>
    <row r="1294" spans="1:13" x14ac:dyDescent="0.2">
      <c r="A1294" s="7"/>
      <c r="B1294"/>
      <c r="C1294"/>
      <c r="K1294" s="1"/>
      <c r="M1294"/>
    </row>
    <row r="1295" spans="1:13" x14ac:dyDescent="0.2">
      <c r="A1295" s="7"/>
      <c r="B1295"/>
      <c r="C1295"/>
      <c r="K1295" s="1"/>
      <c r="M1295"/>
    </row>
    <row r="1296" spans="1:13" x14ac:dyDescent="0.2">
      <c r="A1296" s="7"/>
      <c r="B1296"/>
      <c r="C1296"/>
      <c r="K1296" s="1"/>
      <c r="M1296"/>
    </row>
    <row r="1297" spans="1:13" x14ac:dyDescent="0.2">
      <c r="A1297" s="7"/>
      <c r="B1297"/>
      <c r="C1297"/>
      <c r="K1297" s="1"/>
      <c r="M1297"/>
    </row>
    <row r="1298" spans="1:13" x14ac:dyDescent="0.2">
      <c r="A1298" s="7"/>
      <c r="B1298"/>
      <c r="C1298"/>
      <c r="K1298" s="1"/>
      <c r="M1298"/>
    </row>
    <row r="1299" spans="1:13" x14ac:dyDescent="0.2">
      <c r="A1299" s="7"/>
      <c r="B1299"/>
      <c r="C1299"/>
      <c r="K1299" s="1"/>
      <c r="M1299"/>
    </row>
    <row r="1300" spans="1:13" x14ac:dyDescent="0.2">
      <c r="A1300" s="7"/>
      <c r="B1300"/>
      <c r="C1300"/>
      <c r="K1300" s="1"/>
      <c r="M1300"/>
    </row>
    <row r="1301" spans="1:13" x14ac:dyDescent="0.2">
      <c r="A1301" s="7"/>
      <c r="B1301"/>
      <c r="C1301"/>
      <c r="K1301" s="1"/>
      <c r="M1301"/>
    </row>
    <row r="1302" spans="1:13" x14ac:dyDescent="0.2">
      <c r="A1302" s="7"/>
      <c r="B1302"/>
      <c r="C1302"/>
      <c r="K1302" s="1"/>
      <c r="M1302"/>
    </row>
    <row r="1303" spans="1:13" x14ac:dyDescent="0.2">
      <c r="A1303" s="7"/>
      <c r="B1303"/>
      <c r="C1303"/>
      <c r="K1303" s="1"/>
      <c r="M1303"/>
    </row>
    <row r="1304" spans="1:13" x14ac:dyDescent="0.2">
      <c r="A1304" s="7"/>
      <c r="B1304"/>
      <c r="C1304"/>
      <c r="K1304" s="1"/>
      <c r="M1304"/>
    </row>
    <row r="1305" spans="1:13" x14ac:dyDescent="0.2">
      <c r="A1305" s="7"/>
      <c r="B1305"/>
      <c r="C1305"/>
      <c r="K1305" s="1"/>
      <c r="M1305"/>
    </row>
    <row r="1306" spans="1:13" x14ac:dyDescent="0.2">
      <c r="A1306" s="7"/>
      <c r="B1306"/>
      <c r="C1306"/>
      <c r="K1306" s="1"/>
      <c r="M1306"/>
    </row>
    <row r="1307" spans="1:13" x14ac:dyDescent="0.2">
      <c r="A1307" s="7"/>
      <c r="B1307"/>
      <c r="C1307"/>
      <c r="K1307" s="1"/>
      <c r="M1307"/>
    </row>
    <row r="1308" spans="1:13" x14ac:dyDescent="0.2">
      <c r="A1308" s="7"/>
      <c r="B1308"/>
      <c r="C1308"/>
      <c r="K1308" s="1"/>
      <c r="M1308"/>
    </row>
    <row r="1309" spans="1:13" x14ac:dyDescent="0.2">
      <c r="A1309" s="7"/>
      <c r="B1309"/>
      <c r="C1309"/>
      <c r="K1309" s="1"/>
      <c r="M1309"/>
    </row>
    <row r="1310" spans="1:13" x14ac:dyDescent="0.2">
      <c r="A1310" s="7"/>
      <c r="B1310"/>
      <c r="C1310"/>
      <c r="K1310" s="1"/>
      <c r="M1310"/>
    </row>
    <row r="1311" spans="1:13" x14ac:dyDescent="0.2">
      <c r="A1311" s="7"/>
      <c r="B1311"/>
      <c r="C1311"/>
      <c r="K1311" s="1"/>
      <c r="M1311"/>
    </row>
    <row r="1312" spans="1:13" x14ac:dyDescent="0.2">
      <c r="A1312" s="7"/>
      <c r="B1312"/>
      <c r="C1312"/>
      <c r="K1312" s="1"/>
      <c r="M1312"/>
    </row>
    <row r="1313" spans="1:13" x14ac:dyDescent="0.2">
      <c r="A1313" s="7"/>
      <c r="B1313"/>
      <c r="C1313"/>
      <c r="K1313" s="1"/>
      <c r="M1313"/>
    </row>
    <row r="1314" spans="1:13" x14ac:dyDescent="0.2">
      <c r="A1314" s="7"/>
      <c r="B1314"/>
      <c r="C1314"/>
      <c r="K1314" s="1"/>
      <c r="M1314"/>
    </row>
    <row r="1315" spans="1:13" x14ac:dyDescent="0.2">
      <c r="A1315" s="7"/>
      <c r="B1315"/>
      <c r="C1315"/>
      <c r="K1315" s="1"/>
      <c r="M1315"/>
    </row>
    <row r="1316" spans="1:13" x14ac:dyDescent="0.2">
      <c r="A1316" s="7"/>
      <c r="B1316"/>
      <c r="C1316"/>
      <c r="K1316" s="1"/>
      <c r="M1316"/>
    </row>
    <row r="1317" spans="1:13" x14ac:dyDescent="0.2">
      <c r="A1317" s="7"/>
      <c r="B1317"/>
      <c r="C1317"/>
      <c r="K1317" s="1"/>
      <c r="M1317"/>
    </row>
    <row r="1318" spans="1:13" x14ac:dyDescent="0.2">
      <c r="A1318" s="7"/>
      <c r="B1318"/>
      <c r="C1318"/>
      <c r="K1318" s="1"/>
      <c r="M1318"/>
    </row>
    <row r="1319" spans="1:13" x14ac:dyDescent="0.2">
      <c r="A1319" s="7"/>
      <c r="B1319"/>
      <c r="C1319"/>
      <c r="K1319" s="1"/>
      <c r="M1319"/>
    </row>
    <row r="1320" spans="1:13" x14ac:dyDescent="0.2">
      <c r="A1320" s="7"/>
      <c r="B1320"/>
      <c r="C1320"/>
      <c r="K1320" s="1"/>
      <c r="M1320"/>
    </row>
    <row r="1321" spans="1:13" x14ac:dyDescent="0.2">
      <c r="A1321" s="7"/>
      <c r="B1321"/>
      <c r="C1321"/>
      <c r="K1321" s="1"/>
      <c r="M1321"/>
    </row>
    <row r="1322" spans="1:13" x14ac:dyDescent="0.2">
      <c r="A1322" s="7"/>
      <c r="B1322"/>
      <c r="C1322"/>
      <c r="K1322" s="1"/>
      <c r="M1322"/>
    </row>
    <row r="1323" spans="1:13" x14ac:dyDescent="0.2">
      <c r="A1323" s="7"/>
      <c r="B1323"/>
      <c r="C1323"/>
      <c r="K1323" s="1"/>
      <c r="M1323"/>
    </row>
    <row r="1324" spans="1:13" x14ac:dyDescent="0.2">
      <c r="A1324" s="7"/>
      <c r="B1324"/>
      <c r="C1324"/>
      <c r="K1324" s="1"/>
      <c r="M1324"/>
    </row>
    <row r="1325" spans="1:13" x14ac:dyDescent="0.2">
      <c r="A1325" s="7"/>
      <c r="B1325"/>
      <c r="C1325"/>
      <c r="K1325" s="1"/>
      <c r="M1325"/>
    </row>
    <row r="1326" spans="1:13" x14ac:dyDescent="0.2">
      <c r="A1326" s="7"/>
      <c r="B1326"/>
      <c r="C1326"/>
      <c r="K1326" s="1"/>
      <c r="M1326"/>
    </row>
    <row r="1327" spans="1:13" x14ac:dyDescent="0.2">
      <c r="A1327" s="7"/>
      <c r="B1327"/>
      <c r="C1327"/>
      <c r="K1327" s="1"/>
      <c r="M1327"/>
    </row>
    <row r="1328" spans="1:13" x14ac:dyDescent="0.2">
      <c r="A1328" s="7"/>
      <c r="B1328"/>
      <c r="C1328"/>
      <c r="K1328" s="1"/>
      <c r="M1328"/>
    </row>
    <row r="1329" spans="1:13" x14ac:dyDescent="0.2">
      <c r="A1329" s="7"/>
      <c r="B1329"/>
      <c r="C1329"/>
      <c r="K1329" s="1"/>
      <c r="M1329"/>
    </row>
    <row r="1330" spans="1:13" x14ac:dyDescent="0.2">
      <c r="A1330" s="7"/>
      <c r="B1330"/>
      <c r="C1330"/>
      <c r="K1330" s="1"/>
      <c r="M1330"/>
    </row>
    <row r="1331" spans="1:13" x14ac:dyDescent="0.2">
      <c r="A1331" s="7"/>
      <c r="B1331"/>
      <c r="C1331"/>
      <c r="K1331" s="1"/>
      <c r="M1331"/>
    </row>
    <row r="1332" spans="1:13" x14ac:dyDescent="0.2">
      <c r="A1332" s="7"/>
      <c r="B1332"/>
      <c r="C1332"/>
      <c r="K1332" s="1"/>
      <c r="M1332"/>
    </row>
    <row r="1333" spans="1:13" x14ac:dyDescent="0.2">
      <c r="A1333" s="7"/>
      <c r="B1333"/>
      <c r="C1333"/>
      <c r="K1333" s="1"/>
      <c r="M1333"/>
    </row>
    <row r="1334" spans="1:13" x14ac:dyDescent="0.2">
      <c r="A1334" s="7"/>
      <c r="B1334"/>
      <c r="C1334"/>
      <c r="K1334" s="1"/>
      <c r="M1334"/>
    </row>
    <row r="1335" spans="1:13" x14ac:dyDescent="0.2">
      <c r="A1335" s="7"/>
      <c r="B1335"/>
      <c r="C1335"/>
      <c r="K1335" s="1"/>
      <c r="M1335"/>
    </row>
    <row r="1336" spans="1:13" x14ac:dyDescent="0.2">
      <c r="A1336" s="7"/>
      <c r="B1336"/>
      <c r="C1336"/>
      <c r="K1336" s="1"/>
      <c r="M1336"/>
    </row>
    <row r="1337" spans="1:13" x14ac:dyDescent="0.2">
      <c r="A1337" s="7"/>
      <c r="B1337"/>
      <c r="C1337"/>
      <c r="K1337" s="1"/>
      <c r="M1337"/>
    </row>
    <row r="1338" spans="1:13" x14ac:dyDescent="0.2">
      <c r="A1338" s="7"/>
      <c r="B1338"/>
      <c r="C1338"/>
      <c r="K1338" s="1"/>
      <c r="M1338"/>
    </row>
    <row r="1339" spans="1:13" x14ac:dyDescent="0.2">
      <c r="A1339" s="7"/>
      <c r="B1339"/>
      <c r="C1339"/>
      <c r="K1339" s="1"/>
      <c r="M1339"/>
    </row>
    <row r="1340" spans="1:13" x14ac:dyDescent="0.2">
      <c r="A1340" s="7"/>
      <c r="B1340"/>
      <c r="C1340"/>
      <c r="K1340" s="1"/>
      <c r="M1340"/>
    </row>
    <row r="1341" spans="1:13" x14ac:dyDescent="0.2">
      <c r="A1341" s="7"/>
      <c r="B1341"/>
      <c r="C1341"/>
      <c r="K1341" s="1"/>
      <c r="M1341"/>
    </row>
    <row r="1342" spans="1:13" x14ac:dyDescent="0.2">
      <c r="A1342" s="7"/>
      <c r="B1342"/>
      <c r="C1342"/>
      <c r="K1342" s="1"/>
      <c r="M1342"/>
    </row>
    <row r="1343" spans="1:13" x14ac:dyDescent="0.2">
      <c r="A1343" s="7"/>
      <c r="B1343"/>
      <c r="C1343"/>
      <c r="K1343" s="1"/>
      <c r="M1343"/>
    </row>
    <row r="1344" spans="1:13" x14ac:dyDescent="0.2">
      <c r="A1344" s="7"/>
      <c r="B1344"/>
      <c r="C1344"/>
      <c r="K1344" s="1"/>
      <c r="M1344"/>
    </row>
    <row r="1345" spans="1:13" x14ac:dyDescent="0.2">
      <c r="A1345" s="7"/>
      <c r="B1345"/>
      <c r="C1345"/>
      <c r="K1345" s="1"/>
      <c r="M1345"/>
    </row>
    <row r="1346" spans="1:13" x14ac:dyDescent="0.2">
      <c r="A1346" s="7"/>
      <c r="B1346"/>
      <c r="C1346"/>
      <c r="K1346" s="1"/>
      <c r="M1346"/>
    </row>
    <row r="1347" spans="1:13" x14ac:dyDescent="0.2">
      <c r="A1347" s="7"/>
      <c r="B1347"/>
      <c r="C1347"/>
      <c r="K1347" s="1"/>
      <c r="M1347"/>
    </row>
    <row r="1348" spans="1:13" x14ac:dyDescent="0.2">
      <c r="A1348" s="7"/>
      <c r="B1348"/>
      <c r="C1348"/>
      <c r="K1348" s="1"/>
      <c r="M1348"/>
    </row>
    <row r="1349" spans="1:13" x14ac:dyDescent="0.2">
      <c r="A1349" s="7"/>
      <c r="B1349"/>
      <c r="C1349"/>
      <c r="K1349" s="1"/>
      <c r="M1349"/>
    </row>
    <row r="1350" spans="1:13" x14ac:dyDescent="0.2">
      <c r="A1350" s="7"/>
      <c r="B1350"/>
      <c r="C1350"/>
      <c r="K1350" s="1"/>
      <c r="M1350"/>
    </row>
    <row r="1351" spans="1:13" x14ac:dyDescent="0.2">
      <c r="A1351" s="7"/>
      <c r="B1351"/>
      <c r="C1351"/>
      <c r="K1351" s="1"/>
      <c r="M1351"/>
    </row>
    <row r="1352" spans="1:13" x14ac:dyDescent="0.2">
      <c r="A1352" s="7"/>
      <c r="B1352"/>
      <c r="C1352"/>
      <c r="K1352" s="1"/>
      <c r="M1352"/>
    </row>
    <row r="1353" spans="1:13" x14ac:dyDescent="0.2">
      <c r="A1353" s="7"/>
      <c r="B1353"/>
      <c r="C1353"/>
      <c r="K1353" s="1"/>
      <c r="M1353"/>
    </row>
    <row r="1354" spans="1:13" x14ac:dyDescent="0.2">
      <c r="A1354" s="7"/>
      <c r="B1354"/>
      <c r="C1354"/>
      <c r="K1354" s="1"/>
      <c r="M1354"/>
    </row>
    <row r="1355" spans="1:13" x14ac:dyDescent="0.2">
      <c r="A1355" s="7"/>
      <c r="B1355"/>
      <c r="C1355"/>
      <c r="K1355" s="1"/>
      <c r="M1355"/>
    </row>
    <row r="1356" spans="1:13" x14ac:dyDescent="0.2">
      <c r="A1356" s="7"/>
      <c r="B1356"/>
      <c r="C1356"/>
      <c r="K1356" s="1"/>
      <c r="M1356"/>
    </row>
    <row r="1357" spans="1:13" x14ac:dyDescent="0.2">
      <c r="A1357" s="7"/>
      <c r="B1357"/>
      <c r="C1357"/>
      <c r="K1357" s="1"/>
      <c r="M1357"/>
    </row>
    <row r="1358" spans="1:13" x14ac:dyDescent="0.2">
      <c r="A1358" s="7"/>
      <c r="B1358"/>
      <c r="C1358"/>
      <c r="K1358" s="1"/>
      <c r="M1358"/>
    </row>
    <row r="1359" spans="1:13" x14ac:dyDescent="0.2">
      <c r="A1359" s="7"/>
      <c r="B1359"/>
      <c r="C1359"/>
      <c r="K1359" s="1"/>
      <c r="M1359"/>
    </row>
    <row r="1360" spans="1:13" x14ac:dyDescent="0.2">
      <c r="A1360" s="7"/>
      <c r="B1360"/>
      <c r="C1360"/>
      <c r="K1360" s="1"/>
      <c r="M1360"/>
    </row>
    <row r="1361" spans="1:13" x14ac:dyDescent="0.2">
      <c r="A1361" s="7"/>
      <c r="B1361"/>
      <c r="C1361"/>
      <c r="K1361" s="1"/>
      <c r="M1361"/>
    </row>
    <row r="1362" spans="1:13" x14ac:dyDescent="0.2">
      <c r="A1362" s="7"/>
      <c r="B1362"/>
      <c r="C1362"/>
      <c r="K1362" s="1"/>
      <c r="M1362"/>
    </row>
    <row r="1363" spans="1:13" x14ac:dyDescent="0.2">
      <c r="A1363" s="7"/>
      <c r="B1363"/>
      <c r="C1363"/>
      <c r="K1363" s="1"/>
      <c r="M1363"/>
    </row>
    <row r="1364" spans="1:13" x14ac:dyDescent="0.2">
      <c r="A1364" s="7"/>
      <c r="B1364"/>
      <c r="C1364"/>
      <c r="K1364" s="1"/>
      <c r="M1364"/>
    </row>
    <row r="1365" spans="1:13" x14ac:dyDescent="0.2">
      <c r="A1365" s="7"/>
      <c r="B1365"/>
      <c r="C1365"/>
      <c r="K1365" s="1"/>
      <c r="M1365"/>
    </row>
    <row r="1366" spans="1:13" x14ac:dyDescent="0.2">
      <c r="A1366" s="7"/>
      <c r="B1366"/>
      <c r="C1366"/>
      <c r="K1366" s="1"/>
      <c r="M1366"/>
    </row>
    <row r="1367" spans="1:13" x14ac:dyDescent="0.2">
      <c r="A1367" s="7"/>
      <c r="B1367"/>
      <c r="C1367"/>
      <c r="K1367" s="1"/>
      <c r="M1367"/>
    </row>
    <row r="1368" spans="1:13" x14ac:dyDescent="0.2">
      <c r="A1368" s="7"/>
      <c r="B1368"/>
      <c r="C1368"/>
      <c r="K1368" s="1"/>
      <c r="M1368"/>
    </row>
    <row r="1369" spans="1:13" x14ac:dyDescent="0.2">
      <c r="A1369" s="7"/>
      <c r="B1369"/>
      <c r="C1369"/>
      <c r="K1369" s="1"/>
      <c r="M1369"/>
    </row>
    <row r="1370" spans="1:13" x14ac:dyDescent="0.2">
      <c r="A1370" s="7"/>
      <c r="B1370"/>
      <c r="C1370"/>
      <c r="K1370" s="1"/>
      <c r="M1370"/>
    </row>
    <row r="1371" spans="1:13" x14ac:dyDescent="0.2">
      <c r="A1371" s="7"/>
      <c r="B1371"/>
      <c r="C1371"/>
      <c r="K1371" s="1"/>
      <c r="M1371"/>
    </row>
    <row r="1372" spans="1:13" x14ac:dyDescent="0.2">
      <c r="A1372" s="7"/>
      <c r="B1372"/>
      <c r="C1372"/>
      <c r="K1372" s="1"/>
      <c r="M1372"/>
    </row>
    <row r="1373" spans="1:13" x14ac:dyDescent="0.2">
      <c r="A1373" s="7"/>
      <c r="B1373"/>
      <c r="C1373"/>
      <c r="K1373" s="1"/>
      <c r="M1373"/>
    </row>
    <row r="1374" spans="1:13" x14ac:dyDescent="0.2">
      <c r="A1374" s="7"/>
      <c r="B1374"/>
      <c r="C1374"/>
      <c r="K1374" s="1"/>
      <c r="M1374"/>
    </row>
    <row r="1375" spans="1:13" x14ac:dyDescent="0.2">
      <c r="A1375" s="7"/>
      <c r="B1375"/>
      <c r="C1375"/>
      <c r="K1375" s="1"/>
      <c r="M1375"/>
    </row>
    <row r="1376" spans="1:13" x14ac:dyDescent="0.2">
      <c r="A1376" s="7"/>
      <c r="B1376"/>
      <c r="C1376"/>
      <c r="K1376" s="1"/>
      <c r="M1376"/>
    </row>
    <row r="1377" spans="1:13" x14ac:dyDescent="0.2">
      <c r="A1377" s="7"/>
      <c r="B1377"/>
      <c r="C1377"/>
      <c r="K1377" s="1"/>
      <c r="M1377"/>
    </row>
    <row r="1378" spans="1:13" x14ac:dyDescent="0.2">
      <c r="A1378" s="7"/>
      <c r="B1378"/>
      <c r="C1378"/>
      <c r="K1378" s="1"/>
      <c r="M1378"/>
    </row>
    <row r="1379" spans="1:13" x14ac:dyDescent="0.2">
      <c r="A1379" s="7"/>
      <c r="B1379"/>
      <c r="C1379"/>
      <c r="K1379" s="1"/>
      <c r="M1379"/>
    </row>
    <row r="1380" spans="1:13" x14ac:dyDescent="0.2">
      <c r="A1380" s="7"/>
      <c r="B1380"/>
      <c r="C1380"/>
      <c r="K1380" s="1"/>
      <c r="M1380"/>
    </row>
    <row r="1381" spans="1:13" x14ac:dyDescent="0.2">
      <c r="A1381" s="7"/>
      <c r="B1381"/>
      <c r="C1381"/>
      <c r="K1381" s="1"/>
      <c r="M1381"/>
    </row>
    <row r="1382" spans="1:13" x14ac:dyDescent="0.2">
      <c r="A1382" s="7"/>
      <c r="B1382"/>
      <c r="C1382"/>
      <c r="K1382" s="1"/>
      <c r="M1382"/>
    </row>
    <row r="1383" spans="1:13" x14ac:dyDescent="0.2">
      <c r="A1383" s="7"/>
      <c r="B1383"/>
      <c r="C1383"/>
      <c r="K1383" s="1"/>
      <c r="M1383"/>
    </row>
    <row r="1384" spans="1:13" x14ac:dyDescent="0.2">
      <c r="A1384" s="7"/>
      <c r="B1384"/>
      <c r="C1384"/>
      <c r="K1384" s="1"/>
      <c r="M1384"/>
    </row>
    <row r="1385" spans="1:13" x14ac:dyDescent="0.2">
      <c r="A1385" s="7"/>
      <c r="B1385"/>
      <c r="C1385"/>
      <c r="K1385" s="1"/>
      <c r="M1385"/>
    </row>
    <row r="1386" spans="1:13" x14ac:dyDescent="0.2">
      <c r="A1386" s="7"/>
      <c r="B1386"/>
      <c r="C1386"/>
      <c r="K1386" s="1"/>
      <c r="M1386"/>
    </row>
    <row r="1387" spans="1:13" x14ac:dyDescent="0.2">
      <c r="A1387" s="7"/>
      <c r="B1387"/>
      <c r="C1387"/>
      <c r="K1387" s="1"/>
      <c r="M1387"/>
    </row>
    <row r="1388" spans="1:13" x14ac:dyDescent="0.2">
      <c r="A1388" s="7"/>
      <c r="B1388"/>
      <c r="C1388"/>
      <c r="K1388" s="1"/>
      <c r="M1388"/>
    </row>
    <row r="1389" spans="1:13" x14ac:dyDescent="0.2">
      <c r="A1389" s="7"/>
      <c r="B1389"/>
      <c r="C1389"/>
      <c r="K1389" s="1"/>
      <c r="M1389"/>
    </row>
    <row r="1390" spans="1:13" x14ac:dyDescent="0.2">
      <c r="A1390" s="7"/>
      <c r="B1390"/>
      <c r="C1390"/>
      <c r="K1390" s="1"/>
      <c r="M1390"/>
    </row>
    <row r="1391" spans="1:13" x14ac:dyDescent="0.2">
      <c r="A1391" s="7"/>
      <c r="B1391"/>
      <c r="C1391"/>
      <c r="K1391" s="1"/>
      <c r="M1391"/>
    </row>
    <row r="1392" spans="1:13" x14ac:dyDescent="0.2">
      <c r="A1392" s="7"/>
      <c r="B1392"/>
      <c r="C1392"/>
      <c r="K1392" s="1"/>
      <c r="M1392"/>
    </row>
    <row r="1393" spans="1:13" x14ac:dyDescent="0.2">
      <c r="A1393" s="7"/>
      <c r="B1393"/>
      <c r="C1393"/>
      <c r="K1393" s="1"/>
      <c r="M1393"/>
    </row>
    <row r="1394" spans="1:13" x14ac:dyDescent="0.2">
      <c r="A1394" s="7"/>
      <c r="B1394"/>
      <c r="C1394"/>
      <c r="K1394" s="1"/>
      <c r="M1394"/>
    </row>
    <row r="1395" spans="1:13" x14ac:dyDescent="0.2">
      <c r="A1395" s="7"/>
      <c r="B1395"/>
      <c r="C1395"/>
      <c r="K1395" s="1"/>
      <c r="M1395"/>
    </row>
    <row r="1396" spans="1:13" x14ac:dyDescent="0.2">
      <c r="A1396" s="7"/>
      <c r="B1396"/>
      <c r="C1396"/>
      <c r="K1396" s="1"/>
      <c r="M1396"/>
    </row>
    <row r="1397" spans="1:13" x14ac:dyDescent="0.2">
      <c r="A1397" s="7"/>
      <c r="B1397"/>
      <c r="C1397"/>
      <c r="K1397" s="1"/>
      <c r="M1397"/>
    </row>
    <row r="1398" spans="1:13" x14ac:dyDescent="0.2">
      <c r="A1398" s="7"/>
      <c r="B1398"/>
      <c r="C1398"/>
      <c r="K1398" s="1"/>
      <c r="M1398"/>
    </row>
    <row r="1399" spans="1:13" x14ac:dyDescent="0.2">
      <c r="A1399" s="7"/>
      <c r="B1399"/>
      <c r="C1399"/>
      <c r="K1399" s="1"/>
      <c r="M1399"/>
    </row>
    <row r="1400" spans="1:13" x14ac:dyDescent="0.2">
      <c r="A1400" s="7"/>
      <c r="B1400"/>
      <c r="C1400"/>
      <c r="K1400" s="1"/>
      <c r="M1400"/>
    </row>
    <row r="1401" spans="1:13" x14ac:dyDescent="0.2">
      <c r="A1401" s="7"/>
      <c r="B1401"/>
      <c r="C1401"/>
      <c r="K1401" s="1"/>
      <c r="M1401"/>
    </row>
    <row r="1402" spans="1:13" x14ac:dyDescent="0.2">
      <c r="A1402" s="7"/>
      <c r="B1402"/>
      <c r="C1402"/>
      <c r="K1402" s="1"/>
      <c r="M1402"/>
    </row>
    <row r="1403" spans="1:13" x14ac:dyDescent="0.2">
      <c r="A1403" s="7"/>
      <c r="B1403"/>
      <c r="C1403"/>
      <c r="K1403" s="1"/>
      <c r="M1403"/>
    </row>
    <row r="1404" spans="1:13" x14ac:dyDescent="0.2">
      <c r="A1404" s="7"/>
      <c r="B1404"/>
      <c r="C1404"/>
      <c r="K1404" s="1"/>
      <c r="M1404"/>
    </row>
    <row r="1405" spans="1:13" x14ac:dyDescent="0.2">
      <c r="A1405" s="7"/>
      <c r="B1405"/>
      <c r="C1405"/>
      <c r="K1405" s="1"/>
      <c r="M1405"/>
    </row>
    <row r="1406" spans="1:13" x14ac:dyDescent="0.2">
      <c r="A1406" s="7"/>
      <c r="B1406"/>
      <c r="C1406"/>
      <c r="K1406" s="1"/>
      <c r="M1406"/>
    </row>
    <row r="1407" spans="1:13" x14ac:dyDescent="0.2">
      <c r="A1407" s="7"/>
      <c r="B1407"/>
      <c r="C1407"/>
      <c r="K1407" s="1"/>
      <c r="M1407"/>
    </row>
    <row r="1408" spans="1:13" x14ac:dyDescent="0.2">
      <c r="A1408" s="7"/>
      <c r="B1408"/>
      <c r="C1408"/>
      <c r="K1408" s="1"/>
      <c r="M1408"/>
    </row>
    <row r="1409" spans="1:13" x14ac:dyDescent="0.2">
      <c r="A1409" s="7"/>
      <c r="B1409"/>
      <c r="C1409"/>
      <c r="K1409" s="1"/>
      <c r="M1409"/>
    </row>
    <row r="1410" spans="1:13" x14ac:dyDescent="0.2">
      <c r="A1410" s="7"/>
      <c r="B1410"/>
      <c r="C1410"/>
      <c r="K1410" s="1"/>
      <c r="M1410"/>
    </row>
    <row r="1411" spans="1:13" x14ac:dyDescent="0.2">
      <c r="A1411" s="7"/>
      <c r="B1411"/>
      <c r="C1411"/>
      <c r="K1411" s="1"/>
      <c r="M1411"/>
    </row>
    <row r="1412" spans="1:13" x14ac:dyDescent="0.2">
      <c r="A1412" s="7"/>
      <c r="B1412"/>
      <c r="C1412"/>
      <c r="K1412" s="1"/>
      <c r="M1412"/>
    </row>
    <row r="1413" spans="1:13" x14ac:dyDescent="0.2">
      <c r="A1413" s="7"/>
      <c r="B1413"/>
      <c r="C1413"/>
      <c r="K1413" s="1"/>
      <c r="M1413"/>
    </row>
    <row r="1414" spans="1:13" x14ac:dyDescent="0.2">
      <c r="A1414" s="7"/>
      <c r="B1414"/>
      <c r="C1414"/>
      <c r="K1414" s="1"/>
      <c r="M1414"/>
    </row>
    <row r="1415" spans="1:13" x14ac:dyDescent="0.2">
      <c r="A1415" s="7"/>
      <c r="B1415"/>
      <c r="C1415"/>
      <c r="K1415" s="1"/>
      <c r="M1415"/>
    </row>
    <row r="1416" spans="1:13" x14ac:dyDescent="0.2">
      <c r="A1416" s="7"/>
      <c r="B1416"/>
      <c r="C1416"/>
      <c r="K1416" s="1"/>
      <c r="M1416"/>
    </row>
    <row r="1417" spans="1:13" x14ac:dyDescent="0.2">
      <c r="A1417" s="7"/>
      <c r="B1417"/>
      <c r="C1417"/>
      <c r="K1417" s="1"/>
      <c r="M1417"/>
    </row>
    <row r="1418" spans="1:13" x14ac:dyDescent="0.2">
      <c r="A1418" s="7"/>
      <c r="B1418"/>
      <c r="C1418"/>
      <c r="K1418" s="1"/>
      <c r="M1418"/>
    </row>
    <row r="1419" spans="1:13" x14ac:dyDescent="0.2">
      <c r="A1419" s="7"/>
      <c r="B1419"/>
      <c r="C1419"/>
      <c r="K1419" s="1"/>
      <c r="M1419"/>
    </row>
    <row r="1420" spans="1:13" x14ac:dyDescent="0.2">
      <c r="A1420" s="7"/>
      <c r="B1420"/>
      <c r="C1420"/>
      <c r="K1420" s="1"/>
      <c r="M1420"/>
    </row>
    <row r="1421" spans="1:13" x14ac:dyDescent="0.2">
      <c r="A1421" s="7"/>
      <c r="B1421"/>
      <c r="C1421"/>
      <c r="K1421" s="1"/>
      <c r="M1421"/>
    </row>
    <row r="1422" spans="1:13" x14ac:dyDescent="0.2">
      <c r="A1422" s="7"/>
      <c r="B1422"/>
      <c r="C1422"/>
      <c r="K1422" s="1"/>
      <c r="M1422"/>
    </row>
    <row r="1423" spans="1:13" x14ac:dyDescent="0.2">
      <c r="A1423" s="7"/>
      <c r="B1423"/>
      <c r="C1423"/>
      <c r="K1423" s="1"/>
      <c r="M1423"/>
    </row>
    <row r="1424" spans="1:13" x14ac:dyDescent="0.2">
      <c r="A1424" s="7"/>
      <c r="B1424"/>
      <c r="C1424"/>
      <c r="K1424" s="1"/>
      <c r="M1424"/>
    </row>
    <row r="1425" spans="1:13" x14ac:dyDescent="0.2">
      <c r="A1425" s="7"/>
      <c r="B1425"/>
      <c r="C1425"/>
      <c r="K1425" s="1"/>
      <c r="M1425"/>
    </row>
    <row r="1426" spans="1:13" x14ac:dyDescent="0.2">
      <c r="A1426" s="7"/>
      <c r="B1426"/>
      <c r="C1426"/>
      <c r="K1426" s="1"/>
      <c r="M1426"/>
    </row>
    <row r="1427" spans="1:13" x14ac:dyDescent="0.2">
      <c r="A1427" s="7"/>
      <c r="B1427"/>
      <c r="C1427"/>
      <c r="K1427" s="1"/>
      <c r="M1427"/>
    </row>
    <row r="1428" spans="1:13" x14ac:dyDescent="0.2">
      <c r="A1428" s="7"/>
      <c r="B1428"/>
      <c r="C1428"/>
      <c r="K1428" s="1"/>
      <c r="M1428"/>
    </row>
    <row r="1429" spans="1:13" x14ac:dyDescent="0.2">
      <c r="A1429" s="7"/>
      <c r="B1429"/>
      <c r="C1429"/>
      <c r="K1429" s="1"/>
      <c r="M1429"/>
    </row>
    <row r="1430" spans="1:13" x14ac:dyDescent="0.2">
      <c r="A1430" s="7"/>
      <c r="B1430"/>
      <c r="C1430"/>
      <c r="K1430" s="1"/>
      <c r="M1430"/>
    </row>
    <row r="1431" spans="1:13" x14ac:dyDescent="0.2">
      <c r="A1431" s="7"/>
      <c r="B1431"/>
      <c r="C1431"/>
      <c r="K1431" s="1"/>
      <c r="M1431"/>
    </row>
    <row r="1432" spans="1:13" x14ac:dyDescent="0.2">
      <c r="A1432" s="7"/>
      <c r="B1432"/>
      <c r="C1432"/>
      <c r="K1432" s="1"/>
      <c r="M1432"/>
    </row>
    <row r="1433" spans="1:13" x14ac:dyDescent="0.2">
      <c r="A1433" s="7"/>
      <c r="B1433"/>
      <c r="C1433"/>
      <c r="K1433" s="1"/>
      <c r="M1433"/>
    </row>
    <row r="1434" spans="1:13" x14ac:dyDescent="0.2">
      <c r="A1434" s="7"/>
      <c r="B1434"/>
      <c r="C1434"/>
      <c r="K1434" s="1"/>
      <c r="M1434"/>
    </row>
    <row r="1435" spans="1:13" x14ac:dyDescent="0.2">
      <c r="A1435" s="7"/>
      <c r="B1435"/>
      <c r="C1435"/>
      <c r="K1435" s="1"/>
      <c r="M1435"/>
    </row>
    <row r="1436" spans="1:13" x14ac:dyDescent="0.2">
      <c r="A1436" s="7"/>
      <c r="B1436"/>
      <c r="C1436"/>
      <c r="K1436" s="1"/>
      <c r="M1436"/>
    </row>
    <row r="1437" spans="1:13" x14ac:dyDescent="0.2">
      <c r="A1437" s="7"/>
      <c r="B1437"/>
      <c r="C1437"/>
      <c r="K1437" s="1"/>
      <c r="M1437"/>
    </row>
    <row r="1438" spans="1:13" x14ac:dyDescent="0.2">
      <c r="A1438" s="7"/>
      <c r="B1438"/>
      <c r="C1438"/>
      <c r="K1438" s="1"/>
      <c r="M1438"/>
    </row>
    <row r="1439" spans="1:13" x14ac:dyDescent="0.2">
      <c r="A1439" s="7"/>
      <c r="B1439"/>
      <c r="C1439"/>
      <c r="K1439" s="1"/>
      <c r="M1439"/>
    </row>
    <row r="1440" spans="1:13" x14ac:dyDescent="0.2">
      <c r="A1440" s="7"/>
      <c r="B1440"/>
      <c r="C1440"/>
      <c r="K1440" s="1"/>
      <c r="M1440"/>
    </row>
    <row r="1441" spans="1:13" x14ac:dyDescent="0.2">
      <c r="A1441" s="7"/>
      <c r="B1441"/>
      <c r="C1441"/>
      <c r="K1441" s="1"/>
      <c r="M1441"/>
    </row>
    <row r="1442" spans="1:13" x14ac:dyDescent="0.2">
      <c r="A1442" s="7"/>
      <c r="B1442"/>
      <c r="C1442"/>
      <c r="K1442" s="1"/>
      <c r="M1442"/>
    </row>
    <row r="1443" spans="1:13" x14ac:dyDescent="0.2">
      <c r="A1443" s="7"/>
      <c r="B1443"/>
      <c r="C1443"/>
      <c r="K1443" s="1"/>
      <c r="M1443"/>
    </row>
    <row r="1444" spans="1:13" x14ac:dyDescent="0.2">
      <c r="A1444" s="7"/>
      <c r="B1444"/>
      <c r="C1444"/>
      <c r="K1444" s="1"/>
      <c r="M1444"/>
    </row>
    <row r="1445" spans="1:13" x14ac:dyDescent="0.2">
      <c r="A1445" s="7"/>
      <c r="B1445"/>
      <c r="C1445"/>
      <c r="K1445" s="1"/>
      <c r="M1445"/>
    </row>
    <row r="1446" spans="1:13" x14ac:dyDescent="0.2">
      <c r="A1446" s="7"/>
      <c r="B1446"/>
      <c r="C1446"/>
      <c r="K1446" s="1"/>
      <c r="M1446"/>
    </row>
    <row r="1447" spans="1:13" x14ac:dyDescent="0.2">
      <c r="A1447" s="7"/>
      <c r="B1447"/>
      <c r="C1447"/>
      <c r="K1447" s="1"/>
      <c r="M1447"/>
    </row>
    <row r="1448" spans="1:13" x14ac:dyDescent="0.2">
      <c r="A1448" s="7"/>
      <c r="B1448"/>
      <c r="C1448"/>
      <c r="K1448" s="1"/>
      <c r="M1448"/>
    </row>
    <row r="1449" spans="1:13" x14ac:dyDescent="0.2">
      <c r="A1449" s="7"/>
      <c r="B1449"/>
      <c r="C1449"/>
      <c r="K1449" s="1"/>
      <c r="M1449"/>
    </row>
    <row r="1450" spans="1:13" x14ac:dyDescent="0.2">
      <c r="A1450" s="7"/>
      <c r="B1450"/>
      <c r="C1450"/>
      <c r="K1450" s="1"/>
      <c r="M1450"/>
    </row>
    <row r="1451" spans="1:13" x14ac:dyDescent="0.2">
      <c r="A1451" s="7"/>
      <c r="B1451"/>
      <c r="C1451"/>
      <c r="K1451" s="1"/>
      <c r="M1451"/>
    </row>
    <row r="1452" spans="1:13" x14ac:dyDescent="0.2">
      <c r="A1452" s="7"/>
      <c r="B1452"/>
      <c r="C1452"/>
      <c r="K1452" s="1"/>
      <c r="M1452"/>
    </row>
    <row r="1453" spans="1:13" x14ac:dyDescent="0.2">
      <c r="A1453" s="7"/>
      <c r="B1453"/>
      <c r="C1453"/>
      <c r="K1453" s="1"/>
      <c r="M1453"/>
    </row>
    <row r="1454" spans="1:13" x14ac:dyDescent="0.2">
      <c r="A1454" s="7"/>
      <c r="B1454"/>
      <c r="C1454"/>
      <c r="K1454" s="1"/>
      <c r="M1454"/>
    </row>
    <row r="1455" spans="1:13" x14ac:dyDescent="0.2">
      <c r="A1455" s="7"/>
      <c r="B1455"/>
      <c r="C1455"/>
      <c r="K1455" s="1"/>
      <c r="M1455"/>
    </row>
    <row r="1456" spans="1:13" x14ac:dyDescent="0.2">
      <c r="A1456" s="7"/>
      <c r="B1456"/>
      <c r="C1456"/>
      <c r="K1456" s="1"/>
      <c r="M1456"/>
    </row>
    <row r="1457" spans="1:13" x14ac:dyDescent="0.2">
      <c r="A1457" s="7"/>
      <c r="B1457"/>
      <c r="C1457"/>
      <c r="K1457" s="1"/>
      <c r="M1457"/>
    </row>
    <row r="1458" spans="1:13" x14ac:dyDescent="0.2">
      <c r="A1458" s="7"/>
      <c r="B1458"/>
      <c r="C1458"/>
      <c r="K1458" s="1"/>
      <c r="M1458"/>
    </row>
    <row r="1459" spans="1:13" x14ac:dyDescent="0.2">
      <c r="A1459" s="7"/>
      <c r="B1459"/>
      <c r="C1459"/>
      <c r="K1459" s="1"/>
      <c r="M1459"/>
    </row>
    <row r="1460" spans="1:13" x14ac:dyDescent="0.2">
      <c r="A1460" s="7"/>
      <c r="B1460"/>
      <c r="C1460"/>
      <c r="K1460" s="1"/>
      <c r="M1460"/>
    </row>
    <row r="1461" spans="1:13" x14ac:dyDescent="0.2">
      <c r="A1461" s="7"/>
      <c r="B1461"/>
      <c r="C1461"/>
      <c r="K1461" s="1"/>
      <c r="M1461"/>
    </row>
    <row r="1462" spans="1:13" x14ac:dyDescent="0.2">
      <c r="A1462" s="7"/>
      <c r="B1462"/>
      <c r="C1462"/>
      <c r="K1462" s="1"/>
      <c r="M1462"/>
    </row>
    <row r="1463" spans="1:13" x14ac:dyDescent="0.2">
      <c r="A1463" s="7"/>
      <c r="B1463"/>
      <c r="C1463"/>
      <c r="K1463" s="1"/>
      <c r="M1463"/>
    </row>
    <row r="1464" spans="1:13" x14ac:dyDescent="0.2">
      <c r="A1464" s="7"/>
      <c r="B1464"/>
      <c r="C1464"/>
      <c r="K1464" s="1"/>
      <c r="M1464"/>
    </row>
    <row r="1465" spans="1:13" x14ac:dyDescent="0.2">
      <c r="A1465" s="7"/>
      <c r="B1465"/>
      <c r="C1465"/>
      <c r="K1465" s="1"/>
      <c r="M1465"/>
    </row>
    <row r="1466" spans="1:13" x14ac:dyDescent="0.2">
      <c r="A1466" s="7"/>
      <c r="B1466"/>
      <c r="C1466"/>
      <c r="K1466" s="1"/>
      <c r="M1466"/>
    </row>
    <row r="1467" spans="1:13" x14ac:dyDescent="0.2">
      <c r="A1467" s="7"/>
      <c r="B1467"/>
      <c r="C1467"/>
      <c r="K1467" s="1"/>
      <c r="M1467"/>
    </row>
    <row r="1468" spans="1:13" x14ac:dyDescent="0.2">
      <c r="A1468" s="7"/>
      <c r="B1468"/>
      <c r="C1468"/>
      <c r="K1468" s="1"/>
      <c r="M1468"/>
    </row>
    <row r="1469" spans="1:13" x14ac:dyDescent="0.2">
      <c r="A1469" s="7"/>
      <c r="B1469"/>
      <c r="C1469"/>
      <c r="K1469" s="1"/>
      <c r="M1469"/>
    </row>
    <row r="1470" spans="1:13" x14ac:dyDescent="0.2">
      <c r="A1470" s="7"/>
      <c r="B1470"/>
      <c r="C1470"/>
      <c r="K1470" s="1"/>
      <c r="M1470"/>
    </row>
    <row r="1471" spans="1:13" x14ac:dyDescent="0.2">
      <c r="A1471" s="7"/>
      <c r="B1471"/>
      <c r="C1471"/>
      <c r="K1471" s="1"/>
      <c r="M1471"/>
    </row>
    <row r="1472" spans="1:13" x14ac:dyDescent="0.2">
      <c r="A1472" s="7"/>
      <c r="B1472"/>
      <c r="C1472"/>
      <c r="K1472" s="1"/>
      <c r="M1472"/>
    </row>
    <row r="1473" spans="1:13" x14ac:dyDescent="0.2">
      <c r="A1473" s="7"/>
      <c r="B1473"/>
      <c r="C1473"/>
      <c r="K1473" s="1"/>
      <c r="M1473"/>
    </row>
    <row r="1474" spans="1:13" x14ac:dyDescent="0.2">
      <c r="A1474" s="7"/>
      <c r="B1474"/>
      <c r="C1474"/>
      <c r="K1474" s="1"/>
      <c r="M1474"/>
    </row>
    <row r="1475" spans="1:13" x14ac:dyDescent="0.2">
      <c r="A1475" s="7"/>
      <c r="B1475"/>
      <c r="C1475"/>
      <c r="K1475" s="1"/>
      <c r="M1475"/>
    </row>
    <row r="1476" spans="1:13" x14ac:dyDescent="0.2">
      <c r="A1476" s="7"/>
      <c r="B1476"/>
      <c r="C1476"/>
      <c r="K1476" s="1"/>
      <c r="M1476"/>
    </row>
    <row r="1477" spans="1:13" x14ac:dyDescent="0.2">
      <c r="A1477" s="7"/>
      <c r="B1477"/>
      <c r="C1477"/>
      <c r="K1477" s="1"/>
      <c r="M1477"/>
    </row>
    <row r="1478" spans="1:13" x14ac:dyDescent="0.2">
      <c r="A1478" s="7"/>
      <c r="B1478"/>
      <c r="C1478"/>
      <c r="K1478" s="1"/>
      <c r="M1478"/>
    </row>
    <row r="1479" spans="1:13" x14ac:dyDescent="0.2">
      <c r="A1479" s="7"/>
      <c r="B1479"/>
      <c r="C1479"/>
      <c r="K1479" s="1"/>
      <c r="M1479"/>
    </row>
    <row r="1480" spans="1:13" x14ac:dyDescent="0.2">
      <c r="A1480" s="7"/>
      <c r="B1480"/>
      <c r="C1480"/>
      <c r="K1480" s="1"/>
      <c r="M1480"/>
    </row>
    <row r="1481" spans="1:13" x14ac:dyDescent="0.2">
      <c r="A1481" s="7"/>
      <c r="B1481"/>
      <c r="C1481"/>
      <c r="K1481" s="1"/>
      <c r="M1481"/>
    </row>
    <row r="1482" spans="1:13" x14ac:dyDescent="0.2">
      <c r="A1482" s="7"/>
      <c r="B1482"/>
      <c r="C1482"/>
      <c r="K1482" s="1"/>
      <c r="M1482"/>
    </row>
    <row r="1483" spans="1:13" x14ac:dyDescent="0.2">
      <c r="A1483" s="7"/>
      <c r="B1483"/>
      <c r="C1483"/>
      <c r="K1483" s="1"/>
      <c r="M1483"/>
    </row>
    <row r="1484" spans="1:13" x14ac:dyDescent="0.2">
      <c r="A1484" s="7"/>
      <c r="B1484"/>
      <c r="C1484"/>
      <c r="K1484" s="1"/>
      <c r="M1484"/>
    </row>
    <row r="1485" spans="1:13" x14ac:dyDescent="0.2">
      <c r="A1485" s="7"/>
      <c r="B1485"/>
      <c r="C1485"/>
      <c r="K1485" s="1"/>
      <c r="M1485"/>
    </row>
    <row r="1486" spans="1:13" x14ac:dyDescent="0.2">
      <c r="A1486" s="7"/>
      <c r="B1486"/>
      <c r="C1486"/>
      <c r="K1486" s="1"/>
      <c r="M1486"/>
    </row>
    <row r="1487" spans="1:13" x14ac:dyDescent="0.2">
      <c r="A1487" s="7"/>
      <c r="B1487"/>
      <c r="C1487"/>
      <c r="K1487" s="1"/>
      <c r="M1487"/>
    </row>
    <row r="1488" spans="1:13" x14ac:dyDescent="0.2">
      <c r="A1488" s="7"/>
      <c r="B1488"/>
      <c r="C1488"/>
      <c r="K1488" s="1"/>
      <c r="M1488"/>
    </row>
    <row r="1489" spans="1:13" x14ac:dyDescent="0.2">
      <c r="A1489" s="7"/>
      <c r="B1489"/>
      <c r="C1489"/>
      <c r="K1489" s="1"/>
      <c r="M1489"/>
    </row>
    <row r="1490" spans="1:13" x14ac:dyDescent="0.2">
      <c r="A1490" s="7"/>
      <c r="B1490"/>
      <c r="C1490"/>
      <c r="K1490" s="1"/>
      <c r="M1490"/>
    </row>
    <row r="1491" spans="1:13" x14ac:dyDescent="0.2">
      <c r="A1491" s="7"/>
      <c r="B1491"/>
      <c r="C1491"/>
      <c r="K1491" s="1"/>
      <c r="M1491"/>
    </row>
    <row r="1492" spans="1:13" x14ac:dyDescent="0.2">
      <c r="A1492" s="7"/>
      <c r="B1492"/>
      <c r="C1492"/>
      <c r="K1492" s="1"/>
      <c r="M1492"/>
    </row>
    <row r="1493" spans="1:13" x14ac:dyDescent="0.2">
      <c r="A1493" s="7"/>
      <c r="B1493"/>
      <c r="C1493"/>
      <c r="K1493" s="1"/>
      <c r="M1493"/>
    </row>
    <row r="1494" spans="1:13" x14ac:dyDescent="0.2">
      <c r="A1494" s="7"/>
      <c r="B1494"/>
      <c r="C1494"/>
      <c r="K1494" s="1"/>
      <c r="M1494"/>
    </row>
    <row r="1495" spans="1:13" x14ac:dyDescent="0.2">
      <c r="A1495" s="7"/>
      <c r="B1495"/>
      <c r="C1495"/>
      <c r="K1495" s="1"/>
      <c r="M1495"/>
    </row>
    <row r="1496" spans="1:13" x14ac:dyDescent="0.2">
      <c r="A1496" s="7"/>
      <c r="B1496"/>
      <c r="C1496"/>
      <c r="K1496" s="1"/>
      <c r="M1496"/>
    </row>
    <row r="1497" spans="1:13" x14ac:dyDescent="0.2">
      <c r="A1497" s="7"/>
      <c r="B1497"/>
      <c r="C1497"/>
      <c r="K1497" s="1"/>
      <c r="M1497"/>
    </row>
    <row r="1498" spans="1:13" x14ac:dyDescent="0.2">
      <c r="A1498" s="7"/>
      <c r="B1498"/>
      <c r="C1498"/>
      <c r="K1498" s="1"/>
      <c r="M1498"/>
    </row>
    <row r="1499" spans="1:13" x14ac:dyDescent="0.2">
      <c r="A1499" s="7"/>
      <c r="B1499"/>
      <c r="C1499"/>
      <c r="K1499" s="1"/>
      <c r="M1499"/>
    </row>
    <row r="1500" spans="1:13" x14ac:dyDescent="0.2">
      <c r="A1500" s="7"/>
      <c r="B1500"/>
      <c r="C1500"/>
      <c r="K1500" s="1"/>
      <c r="M1500"/>
    </row>
    <row r="1501" spans="1:13" x14ac:dyDescent="0.2">
      <c r="A1501" s="7"/>
      <c r="B1501"/>
      <c r="C1501"/>
      <c r="K1501" s="1"/>
      <c r="M1501"/>
    </row>
    <row r="1502" spans="1:13" x14ac:dyDescent="0.2">
      <c r="A1502" s="7"/>
      <c r="B1502"/>
      <c r="C1502"/>
      <c r="K1502" s="1"/>
      <c r="M1502"/>
    </row>
    <row r="1503" spans="1:13" x14ac:dyDescent="0.2">
      <c r="A1503" s="7"/>
      <c r="B1503"/>
      <c r="C1503"/>
      <c r="K1503" s="1"/>
      <c r="M1503"/>
    </row>
    <row r="1504" spans="1:13" x14ac:dyDescent="0.2">
      <c r="A1504" s="7"/>
      <c r="B1504"/>
      <c r="C1504"/>
      <c r="K1504" s="1"/>
      <c r="M1504"/>
    </row>
    <row r="1505" spans="1:13" x14ac:dyDescent="0.2">
      <c r="A1505" s="7"/>
      <c r="B1505"/>
      <c r="C1505"/>
      <c r="K1505" s="1"/>
      <c r="M1505"/>
    </row>
    <row r="1506" spans="1:13" x14ac:dyDescent="0.2">
      <c r="A1506" s="7"/>
      <c r="B1506"/>
      <c r="C1506"/>
      <c r="K1506" s="1"/>
      <c r="M1506"/>
    </row>
    <row r="1507" spans="1:13" x14ac:dyDescent="0.2">
      <c r="A1507" s="7"/>
      <c r="B1507"/>
      <c r="C1507"/>
      <c r="K1507" s="1"/>
      <c r="M1507"/>
    </row>
    <row r="1508" spans="1:13" x14ac:dyDescent="0.2">
      <c r="A1508" s="7"/>
      <c r="B1508"/>
      <c r="C1508"/>
      <c r="K1508" s="1"/>
      <c r="M1508"/>
    </row>
    <row r="1509" spans="1:13" x14ac:dyDescent="0.2">
      <c r="A1509" s="7"/>
      <c r="B1509"/>
      <c r="C1509"/>
      <c r="K1509" s="1"/>
      <c r="M1509"/>
    </row>
    <row r="1510" spans="1:13" x14ac:dyDescent="0.2">
      <c r="A1510" s="7"/>
      <c r="B1510"/>
      <c r="C1510"/>
      <c r="K1510" s="1"/>
      <c r="M1510"/>
    </row>
    <row r="1511" spans="1:13" x14ac:dyDescent="0.2">
      <c r="A1511" s="7"/>
      <c r="B1511"/>
      <c r="C1511"/>
      <c r="K1511" s="1"/>
      <c r="M1511"/>
    </row>
    <row r="1512" spans="1:13" x14ac:dyDescent="0.2">
      <c r="A1512" s="7"/>
      <c r="B1512"/>
      <c r="C1512"/>
      <c r="K1512" s="1"/>
      <c r="M1512"/>
    </row>
    <row r="1513" spans="1:13" x14ac:dyDescent="0.2">
      <c r="A1513" s="7"/>
      <c r="B1513"/>
      <c r="C1513"/>
      <c r="K1513" s="1"/>
      <c r="M1513"/>
    </row>
    <row r="1514" spans="1:13" x14ac:dyDescent="0.2">
      <c r="A1514" s="7"/>
      <c r="B1514"/>
      <c r="C1514"/>
      <c r="K1514" s="1"/>
      <c r="M1514"/>
    </row>
    <row r="1515" spans="1:13" x14ac:dyDescent="0.2">
      <c r="A1515" s="7"/>
      <c r="B1515"/>
      <c r="C1515"/>
      <c r="K1515" s="1"/>
      <c r="M1515"/>
    </row>
    <row r="1516" spans="1:13" x14ac:dyDescent="0.2">
      <c r="A1516" s="7"/>
      <c r="B1516"/>
      <c r="C1516"/>
      <c r="K1516" s="1"/>
      <c r="M1516"/>
    </row>
    <row r="1517" spans="1:13" x14ac:dyDescent="0.2">
      <c r="A1517" s="7"/>
      <c r="B1517"/>
      <c r="C1517"/>
      <c r="K1517" s="1"/>
      <c r="M1517"/>
    </row>
    <row r="1518" spans="1:13" x14ac:dyDescent="0.2">
      <c r="A1518" s="7"/>
      <c r="B1518"/>
      <c r="C1518"/>
      <c r="K1518" s="1"/>
      <c r="M1518"/>
    </row>
    <row r="1519" spans="1:13" x14ac:dyDescent="0.2">
      <c r="A1519" s="7"/>
      <c r="B1519"/>
      <c r="C1519"/>
      <c r="K1519" s="1"/>
      <c r="M1519"/>
    </row>
    <row r="1520" spans="1:13" x14ac:dyDescent="0.2">
      <c r="A1520" s="7"/>
      <c r="B1520"/>
      <c r="C1520"/>
      <c r="K1520" s="1"/>
      <c r="M1520"/>
    </row>
    <row r="1521" spans="1:13" x14ac:dyDescent="0.2">
      <c r="A1521" s="7"/>
      <c r="B1521"/>
      <c r="C1521"/>
      <c r="K1521" s="1"/>
      <c r="M1521"/>
    </row>
    <row r="1522" spans="1:13" x14ac:dyDescent="0.2">
      <c r="A1522" s="7"/>
      <c r="B1522"/>
      <c r="C1522"/>
      <c r="K1522" s="1"/>
      <c r="M1522"/>
    </row>
    <row r="1523" spans="1:13" x14ac:dyDescent="0.2">
      <c r="A1523" s="7"/>
      <c r="B1523"/>
      <c r="C1523"/>
      <c r="K1523" s="1"/>
      <c r="M1523"/>
    </row>
    <row r="1524" spans="1:13" x14ac:dyDescent="0.2">
      <c r="A1524" s="7"/>
      <c r="B1524"/>
      <c r="C1524"/>
      <c r="K1524" s="1"/>
      <c r="M1524"/>
    </row>
    <row r="1525" spans="1:13" x14ac:dyDescent="0.2">
      <c r="A1525" s="7"/>
      <c r="B1525"/>
      <c r="C1525"/>
      <c r="K1525" s="1"/>
      <c r="M1525"/>
    </row>
    <row r="1526" spans="1:13" x14ac:dyDescent="0.2">
      <c r="A1526" s="7"/>
      <c r="B1526"/>
      <c r="C1526"/>
      <c r="K1526" s="1"/>
      <c r="M1526"/>
    </row>
    <row r="1527" spans="1:13" x14ac:dyDescent="0.2">
      <c r="A1527" s="7"/>
      <c r="B1527"/>
      <c r="C1527"/>
      <c r="K1527" s="1"/>
      <c r="M1527"/>
    </row>
    <row r="1528" spans="1:13" x14ac:dyDescent="0.2">
      <c r="A1528" s="7"/>
      <c r="B1528"/>
      <c r="C1528"/>
      <c r="K1528" s="1"/>
      <c r="M1528"/>
    </row>
    <row r="1529" spans="1:13" x14ac:dyDescent="0.2">
      <c r="A1529" s="7"/>
      <c r="B1529"/>
      <c r="C1529"/>
      <c r="K1529" s="1"/>
      <c r="M1529"/>
    </row>
    <row r="1530" spans="1:13" x14ac:dyDescent="0.2">
      <c r="A1530" s="7"/>
      <c r="B1530"/>
      <c r="C1530"/>
      <c r="K1530" s="1"/>
      <c r="M1530"/>
    </row>
    <row r="1531" spans="1:13" x14ac:dyDescent="0.2">
      <c r="A1531" s="7"/>
      <c r="B1531"/>
      <c r="C1531"/>
      <c r="K1531" s="1"/>
      <c r="M1531"/>
    </row>
    <row r="1532" spans="1:13" x14ac:dyDescent="0.2">
      <c r="A1532" s="7"/>
      <c r="B1532"/>
      <c r="C1532"/>
      <c r="K1532" s="1"/>
      <c r="M1532"/>
    </row>
    <row r="1533" spans="1:13" x14ac:dyDescent="0.2">
      <c r="A1533" s="7"/>
      <c r="B1533"/>
      <c r="C1533"/>
      <c r="K1533" s="1"/>
      <c r="M1533"/>
    </row>
    <row r="1534" spans="1:13" x14ac:dyDescent="0.2">
      <c r="A1534" s="7"/>
      <c r="B1534"/>
      <c r="C1534"/>
      <c r="K1534" s="1"/>
      <c r="M1534"/>
    </row>
    <row r="1535" spans="1:13" x14ac:dyDescent="0.2">
      <c r="A1535" s="7"/>
      <c r="B1535"/>
      <c r="C1535"/>
      <c r="K1535" s="1"/>
      <c r="M1535"/>
    </row>
    <row r="1536" spans="1:13" x14ac:dyDescent="0.2">
      <c r="A1536" s="7"/>
      <c r="B1536"/>
      <c r="C1536"/>
      <c r="K1536" s="1"/>
      <c r="M1536"/>
    </row>
    <row r="1537" spans="1:13" x14ac:dyDescent="0.2">
      <c r="A1537" s="7"/>
      <c r="B1537"/>
      <c r="C1537"/>
      <c r="K1537" s="1"/>
      <c r="M1537"/>
    </row>
    <row r="1538" spans="1:13" x14ac:dyDescent="0.2">
      <c r="A1538" s="7"/>
      <c r="B1538"/>
      <c r="C1538"/>
      <c r="K1538" s="1"/>
      <c r="M1538"/>
    </row>
    <row r="1539" spans="1:13" x14ac:dyDescent="0.2">
      <c r="A1539" s="7"/>
      <c r="B1539"/>
      <c r="C1539"/>
      <c r="K1539" s="1"/>
      <c r="M1539"/>
    </row>
    <row r="1540" spans="1:13" x14ac:dyDescent="0.2">
      <c r="A1540" s="7"/>
      <c r="B1540"/>
      <c r="C1540"/>
      <c r="K1540" s="1"/>
      <c r="M1540"/>
    </row>
    <row r="1541" spans="1:13" x14ac:dyDescent="0.2">
      <c r="A1541" s="7"/>
      <c r="B1541"/>
      <c r="C1541"/>
      <c r="K1541" s="1"/>
      <c r="M1541"/>
    </row>
    <row r="1542" spans="1:13" x14ac:dyDescent="0.2">
      <c r="A1542" s="7"/>
      <c r="B1542"/>
      <c r="C1542"/>
      <c r="K1542" s="1"/>
      <c r="M1542"/>
    </row>
    <row r="1543" spans="1:13" x14ac:dyDescent="0.2">
      <c r="A1543" s="7"/>
      <c r="B1543"/>
      <c r="C1543"/>
      <c r="K1543" s="1"/>
      <c r="M1543"/>
    </row>
    <row r="1544" spans="1:13" x14ac:dyDescent="0.2">
      <c r="A1544" s="7"/>
      <c r="B1544"/>
      <c r="C1544"/>
      <c r="K1544" s="1"/>
      <c r="M1544"/>
    </row>
    <row r="1545" spans="1:13" x14ac:dyDescent="0.2">
      <c r="A1545" s="7"/>
      <c r="B1545"/>
      <c r="C1545"/>
      <c r="K1545" s="1"/>
      <c r="M1545"/>
    </row>
    <row r="1546" spans="1:13" x14ac:dyDescent="0.2">
      <c r="A1546" s="7"/>
      <c r="B1546"/>
      <c r="C1546"/>
      <c r="K1546" s="1"/>
      <c r="M1546"/>
    </row>
    <row r="1547" spans="1:13" x14ac:dyDescent="0.2">
      <c r="A1547" s="7"/>
      <c r="B1547"/>
      <c r="C1547"/>
      <c r="K1547" s="1"/>
      <c r="M1547"/>
    </row>
    <row r="1548" spans="1:13" x14ac:dyDescent="0.2">
      <c r="A1548" s="7"/>
      <c r="B1548"/>
      <c r="C1548"/>
      <c r="K1548" s="1"/>
      <c r="M1548"/>
    </row>
    <row r="1549" spans="1:13" x14ac:dyDescent="0.2">
      <c r="A1549" s="7"/>
      <c r="B1549"/>
      <c r="C1549"/>
      <c r="K1549" s="1"/>
      <c r="M1549"/>
    </row>
    <row r="1550" spans="1:13" x14ac:dyDescent="0.2">
      <c r="A1550" s="7"/>
      <c r="B1550"/>
      <c r="C1550"/>
      <c r="K1550" s="1"/>
      <c r="M1550"/>
    </row>
    <row r="1551" spans="1:13" x14ac:dyDescent="0.2">
      <c r="A1551" s="7"/>
      <c r="B1551"/>
      <c r="C1551"/>
      <c r="K1551" s="1"/>
      <c r="M1551"/>
    </row>
    <row r="1552" spans="1:13" x14ac:dyDescent="0.2">
      <c r="A1552" s="7"/>
      <c r="B1552"/>
      <c r="C1552"/>
      <c r="K1552" s="1"/>
      <c r="M1552"/>
    </row>
    <row r="1553" spans="1:13" x14ac:dyDescent="0.2">
      <c r="A1553" s="7"/>
      <c r="B1553"/>
      <c r="C1553"/>
      <c r="K1553" s="1"/>
      <c r="M1553"/>
    </row>
    <row r="1554" spans="1:13" x14ac:dyDescent="0.2">
      <c r="A1554" s="7"/>
      <c r="B1554"/>
      <c r="C1554"/>
      <c r="K1554" s="1"/>
      <c r="M1554"/>
    </row>
    <row r="1555" spans="1:13" x14ac:dyDescent="0.2">
      <c r="A1555" s="7"/>
      <c r="B1555"/>
      <c r="C1555"/>
      <c r="K1555" s="1"/>
      <c r="M1555"/>
    </row>
    <row r="1556" spans="1:13" x14ac:dyDescent="0.2">
      <c r="A1556" s="7"/>
      <c r="B1556"/>
      <c r="C1556"/>
      <c r="K1556" s="1"/>
      <c r="M1556"/>
    </row>
    <row r="1557" spans="1:13" x14ac:dyDescent="0.2">
      <c r="A1557" s="7"/>
      <c r="B1557"/>
      <c r="C1557"/>
      <c r="K1557" s="1"/>
      <c r="M1557"/>
    </row>
    <row r="1558" spans="1:13" x14ac:dyDescent="0.2">
      <c r="A1558" s="7"/>
      <c r="B1558"/>
      <c r="C1558"/>
      <c r="K1558" s="1"/>
      <c r="M1558"/>
    </row>
    <row r="1559" spans="1:13" x14ac:dyDescent="0.2">
      <c r="A1559" s="7"/>
      <c r="B1559"/>
      <c r="C1559"/>
      <c r="K1559" s="1"/>
      <c r="M1559"/>
    </row>
    <row r="1560" spans="1:13" x14ac:dyDescent="0.2">
      <c r="A1560" s="7"/>
      <c r="B1560"/>
      <c r="C1560"/>
      <c r="K1560" s="1"/>
      <c r="M1560"/>
    </row>
    <row r="1561" spans="1:13" x14ac:dyDescent="0.2">
      <c r="A1561" s="7"/>
      <c r="B1561"/>
      <c r="C1561"/>
      <c r="K1561" s="1"/>
      <c r="M1561"/>
    </row>
    <row r="1562" spans="1:13" x14ac:dyDescent="0.2">
      <c r="A1562" s="7"/>
      <c r="B1562"/>
      <c r="C1562"/>
      <c r="K1562" s="1"/>
      <c r="M1562"/>
    </row>
    <row r="1563" spans="1:13" x14ac:dyDescent="0.2">
      <c r="A1563" s="7"/>
      <c r="B1563"/>
      <c r="C1563"/>
      <c r="K1563" s="1"/>
      <c r="M1563"/>
    </row>
    <row r="1564" spans="1:13" x14ac:dyDescent="0.2">
      <c r="A1564" s="7"/>
      <c r="B1564"/>
      <c r="C1564"/>
      <c r="K1564" s="1"/>
      <c r="M1564"/>
    </row>
    <row r="1565" spans="1:13" x14ac:dyDescent="0.2">
      <c r="A1565" s="7"/>
      <c r="B1565"/>
      <c r="C1565"/>
      <c r="K1565" s="1"/>
      <c r="M1565"/>
    </row>
    <row r="1566" spans="1:13" x14ac:dyDescent="0.2">
      <c r="A1566" s="7"/>
      <c r="B1566"/>
      <c r="C1566"/>
      <c r="K1566" s="1"/>
      <c r="M1566"/>
    </row>
    <row r="1567" spans="1:13" x14ac:dyDescent="0.2">
      <c r="A1567" s="7"/>
      <c r="B1567"/>
      <c r="C1567"/>
      <c r="K1567" s="1"/>
      <c r="M1567"/>
    </row>
    <row r="1568" spans="1:13" x14ac:dyDescent="0.2">
      <c r="A1568" s="7"/>
      <c r="B1568"/>
      <c r="C1568"/>
      <c r="K1568" s="1"/>
      <c r="M1568"/>
    </row>
    <row r="1569" spans="1:13" x14ac:dyDescent="0.2">
      <c r="A1569" s="7"/>
      <c r="B1569"/>
      <c r="C1569"/>
      <c r="K1569" s="1"/>
      <c r="M1569"/>
    </row>
    <row r="1570" spans="1:13" x14ac:dyDescent="0.2">
      <c r="A1570" s="7"/>
      <c r="B1570"/>
      <c r="C1570"/>
      <c r="K1570" s="1"/>
      <c r="M1570"/>
    </row>
    <row r="1571" spans="1:13" x14ac:dyDescent="0.2">
      <c r="A1571" s="7"/>
      <c r="B1571"/>
      <c r="C1571"/>
      <c r="K1571" s="1"/>
      <c r="M1571"/>
    </row>
    <row r="1572" spans="1:13" x14ac:dyDescent="0.2">
      <c r="A1572" s="7"/>
      <c r="B1572"/>
      <c r="C1572"/>
      <c r="K1572" s="1"/>
      <c r="M1572"/>
    </row>
    <row r="1573" spans="1:13" x14ac:dyDescent="0.2">
      <c r="A1573" s="7"/>
      <c r="B1573"/>
      <c r="C1573"/>
      <c r="K1573" s="1"/>
      <c r="M1573"/>
    </row>
    <row r="1574" spans="1:13" x14ac:dyDescent="0.2">
      <c r="A1574" s="7"/>
      <c r="B1574"/>
      <c r="C1574"/>
      <c r="K1574" s="1"/>
      <c r="M1574"/>
    </row>
    <row r="1575" spans="1:13" x14ac:dyDescent="0.2">
      <c r="A1575" s="7"/>
      <c r="B1575"/>
      <c r="C1575"/>
      <c r="K1575" s="1"/>
      <c r="M1575"/>
    </row>
    <row r="1576" spans="1:13" x14ac:dyDescent="0.2">
      <c r="A1576" s="7"/>
      <c r="B1576"/>
      <c r="C1576"/>
      <c r="K1576" s="1"/>
      <c r="M1576"/>
    </row>
    <row r="1577" spans="1:13" x14ac:dyDescent="0.2">
      <c r="A1577" s="7"/>
      <c r="B1577"/>
      <c r="C1577"/>
      <c r="K1577" s="1"/>
      <c r="M1577"/>
    </row>
    <row r="1578" spans="1:13" x14ac:dyDescent="0.2">
      <c r="A1578" s="7"/>
      <c r="B1578"/>
      <c r="C1578"/>
      <c r="K1578" s="1"/>
      <c r="M1578"/>
    </row>
    <row r="1579" spans="1:13" x14ac:dyDescent="0.2">
      <c r="A1579" s="7"/>
      <c r="B1579"/>
      <c r="C1579"/>
      <c r="K1579" s="1"/>
      <c r="M1579"/>
    </row>
    <row r="1580" spans="1:13" x14ac:dyDescent="0.2">
      <c r="A1580" s="7"/>
      <c r="B1580"/>
      <c r="C1580"/>
      <c r="K1580" s="1"/>
      <c r="M1580"/>
    </row>
    <row r="1581" spans="1:13" x14ac:dyDescent="0.2">
      <c r="A1581" s="7"/>
      <c r="B1581"/>
      <c r="C1581"/>
      <c r="K1581" s="1"/>
      <c r="M1581"/>
    </row>
    <row r="1582" spans="1:13" x14ac:dyDescent="0.2">
      <c r="A1582" s="7"/>
      <c r="B1582"/>
      <c r="C1582"/>
      <c r="K1582" s="1"/>
      <c r="M1582"/>
    </row>
    <row r="1583" spans="1:13" x14ac:dyDescent="0.2">
      <c r="A1583" s="7"/>
      <c r="B1583"/>
      <c r="C1583"/>
      <c r="K1583" s="1"/>
      <c r="M1583"/>
    </row>
    <row r="1584" spans="1:13" x14ac:dyDescent="0.2">
      <c r="A1584" s="7"/>
      <c r="B1584"/>
      <c r="C1584"/>
      <c r="K1584" s="1"/>
      <c r="M1584"/>
    </row>
    <row r="1585" spans="1:13" x14ac:dyDescent="0.2">
      <c r="A1585" s="7"/>
      <c r="B1585"/>
      <c r="C1585"/>
      <c r="K1585" s="1"/>
      <c r="M1585"/>
    </row>
    <row r="1586" spans="1:13" x14ac:dyDescent="0.2">
      <c r="A1586" s="7"/>
      <c r="B1586"/>
      <c r="C1586"/>
      <c r="K1586" s="1"/>
      <c r="M1586"/>
    </row>
    <row r="1587" spans="1:13" x14ac:dyDescent="0.2">
      <c r="A1587" s="7"/>
      <c r="B1587"/>
      <c r="C1587"/>
      <c r="K1587" s="1"/>
      <c r="M1587"/>
    </row>
    <row r="1588" spans="1:13" x14ac:dyDescent="0.2">
      <c r="A1588" s="7"/>
      <c r="B1588"/>
      <c r="C1588"/>
      <c r="K1588" s="1"/>
      <c r="M1588"/>
    </row>
    <row r="1589" spans="1:13" x14ac:dyDescent="0.2">
      <c r="A1589" s="7"/>
      <c r="B1589"/>
      <c r="C1589"/>
      <c r="K1589" s="1"/>
      <c r="M1589"/>
    </row>
    <row r="1590" spans="1:13" x14ac:dyDescent="0.2">
      <c r="A1590" s="7"/>
      <c r="B1590"/>
      <c r="C1590"/>
      <c r="K1590" s="1"/>
      <c r="M1590"/>
    </row>
    <row r="1591" spans="1:13" x14ac:dyDescent="0.2">
      <c r="A1591" s="7"/>
      <c r="B1591"/>
      <c r="C1591"/>
      <c r="K1591" s="1"/>
      <c r="M1591"/>
    </row>
    <row r="1592" spans="1:13" x14ac:dyDescent="0.2">
      <c r="A1592" s="7"/>
      <c r="B1592"/>
      <c r="C1592"/>
      <c r="K1592" s="1"/>
      <c r="M1592"/>
    </row>
    <row r="1593" spans="1:13" x14ac:dyDescent="0.2">
      <c r="A1593" s="7"/>
      <c r="B1593"/>
      <c r="C1593"/>
      <c r="K1593" s="1"/>
      <c r="M1593"/>
    </row>
    <row r="1594" spans="1:13" x14ac:dyDescent="0.2">
      <c r="A1594" s="7"/>
      <c r="B1594"/>
      <c r="C1594"/>
      <c r="K1594" s="1"/>
      <c r="M1594"/>
    </row>
    <row r="1595" spans="1:13" x14ac:dyDescent="0.2">
      <c r="A1595" s="7"/>
      <c r="B1595"/>
      <c r="C1595"/>
      <c r="K1595" s="1"/>
      <c r="M1595"/>
    </row>
    <row r="1596" spans="1:13" x14ac:dyDescent="0.2">
      <c r="A1596" s="7"/>
      <c r="B1596"/>
      <c r="C1596"/>
      <c r="K1596" s="1"/>
      <c r="M1596"/>
    </row>
    <row r="1597" spans="1:13" x14ac:dyDescent="0.2">
      <c r="A1597" s="7"/>
      <c r="B1597"/>
      <c r="C1597"/>
      <c r="K1597" s="1"/>
      <c r="M1597"/>
    </row>
    <row r="1598" spans="1:13" x14ac:dyDescent="0.2">
      <c r="A1598" s="7"/>
      <c r="B1598"/>
      <c r="C1598"/>
      <c r="K1598" s="1"/>
      <c r="M1598"/>
    </row>
    <row r="1599" spans="1:13" x14ac:dyDescent="0.2">
      <c r="A1599" s="7"/>
      <c r="B1599"/>
      <c r="C1599"/>
      <c r="K1599" s="1"/>
      <c r="M1599"/>
    </row>
    <row r="1600" spans="1:13" x14ac:dyDescent="0.2">
      <c r="A1600" s="7"/>
      <c r="B1600"/>
      <c r="C1600"/>
      <c r="K1600" s="1"/>
      <c r="M1600"/>
    </row>
    <row r="1601" spans="1:13" x14ac:dyDescent="0.2">
      <c r="A1601" s="7"/>
      <c r="B1601"/>
      <c r="C1601"/>
      <c r="K1601" s="1"/>
      <c r="M1601"/>
    </row>
    <row r="1602" spans="1:13" x14ac:dyDescent="0.2">
      <c r="A1602" s="7"/>
      <c r="B1602"/>
      <c r="C1602"/>
      <c r="K1602" s="1"/>
      <c r="M1602"/>
    </row>
    <row r="1603" spans="1:13" x14ac:dyDescent="0.2">
      <c r="A1603" s="7"/>
      <c r="B1603"/>
      <c r="C1603"/>
      <c r="K1603" s="1"/>
      <c r="M1603"/>
    </row>
    <row r="1604" spans="1:13" x14ac:dyDescent="0.2">
      <c r="A1604" s="7"/>
      <c r="B1604"/>
      <c r="C1604"/>
      <c r="K1604" s="1"/>
      <c r="M1604"/>
    </row>
    <row r="1605" spans="1:13" x14ac:dyDescent="0.2">
      <c r="A1605" s="7"/>
      <c r="B1605"/>
      <c r="C1605"/>
      <c r="K1605" s="1"/>
      <c r="M1605"/>
    </row>
    <row r="1606" spans="1:13" x14ac:dyDescent="0.2">
      <c r="A1606" s="7"/>
      <c r="B1606"/>
      <c r="C1606"/>
      <c r="K1606" s="1"/>
      <c r="M1606"/>
    </row>
    <row r="1607" spans="1:13" x14ac:dyDescent="0.2">
      <c r="A1607" s="7"/>
      <c r="B1607"/>
      <c r="C1607"/>
      <c r="K1607" s="1"/>
      <c r="M1607"/>
    </row>
    <row r="1608" spans="1:13" x14ac:dyDescent="0.2">
      <c r="A1608" s="7"/>
      <c r="B1608"/>
      <c r="C1608"/>
      <c r="K1608" s="1"/>
      <c r="M1608"/>
    </row>
    <row r="1609" spans="1:13" x14ac:dyDescent="0.2">
      <c r="A1609" s="7"/>
      <c r="B1609"/>
      <c r="C1609"/>
      <c r="K1609" s="1"/>
      <c r="M1609"/>
    </row>
    <row r="1610" spans="1:13" x14ac:dyDescent="0.2">
      <c r="A1610" s="7"/>
      <c r="B1610"/>
      <c r="C1610"/>
      <c r="K1610" s="1"/>
      <c r="M1610"/>
    </row>
    <row r="1611" spans="1:13" x14ac:dyDescent="0.2">
      <c r="A1611" s="7"/>
      <c r="B1611"/>
      <c r="C1611"/>
      <c r="K1611" s="1"/>
      <c r="M1611"/>
    </row>
    <row r="1612" spans="1:13" x14ac:dyDescent="0.2">
      <c r="A1612" s="7"/>
      <c r="B1612"/>
      <c r="C1612"/>
      <c r="K1612" s="1"/>
      <c r="M1612"/>
    </row>
    <row r="1613" spans="1:13" x14ac:dyDescent="0.2">
      <c r="A1613" s="7"/>
      <c r="B1613"/>
      <c r="C1613"/>
      <c r="K1613" s="1"/>
      <c r="M1613"/>
    </row>
    <row r="1614" spans="1:13" x14ac:dyDescent="0.2">
      <c r="A1614" s="7"/>
      <c r="B1614"/>
      <c r="C1614"/>
      <c r="K1614" s="1"/>
      <c r="M1614"/>
    </row>
    <row r="1615" spans="1:13" x14ac:dyDescent="0.2">
      <c r="A1615" s="7"/>
      <c r="B1615"/>
      <c r="C1615"/>
      <c r="K1615" s="1"/>
      <c r="M1615"/>
    </row>
    <row r="1616" spans="1:13" x14ac:dyDescent="0.2">
      <c r="A1616" s="7"/>
      <c r="B1616"/>
      <c r="C1616"/>
      <c r="K1616" s="1"/>
      <c r="M1616"/>
    </row>
    <row r="1617" spans="1:13" x14ac:dyDescent="0.2">
      <c r="A1617" s="7"/>
      <c r="B1617"/>
      <c r="C1617"/>
      <c r="K1617" s="1"/>
      <c r="M1617"/>
    </row>
    <row r="1618" spans="1:13" x14ac:dyDescent="0.2">
      <c r="A1618" s="7"/>
      <c r="B1618"/>
      <c r="C1618"/>
      <c r="K1618" s="1"/>
      <c r="M1618"/>
    </row>
    <row r="1619" spans="1:13" x14ac:dyDescent="0.2">
      <c r="A1619" s="7"/>
      <c r="B1619"/>
      <c r="C1619"/>
      <c r="K1619" s="1"/>
      <c r="M1619"/>
    </row>
    <row r="1620" spans="1:13" x14ac:dyDescent="0.2">
      <c r="A1620" s="7"/>
      <c r="B1620"/>
      <c r="C1620"/>
      <c r="K1620" s="1"/>
      <c r="M1620"/>
    </row>
    <row r="1621" spans="1:13" x14ac:dyDescent="0.2">
      <c r="A1621" s="7"/>
      <c r="B1621"/>
      <c r="C1621"/>
      <c r="K1621" s="1"/>
      <c r="M1621"/>
    </row>
    <row r="1622" spans="1:13" x14ac:dyDescent="0.2">
      <c r="A1622" s="7"/>
      <c r="B1622"/>
      <c r="C1622"/>
      <c r="K1622" s="1"/>
      <c r="M1622"/>
    </row>
    <row r="1623" spans="1:13" x14ac:dyDescent="0.2">
      <c r="A1623" s="7"/>
      <c r="B1623"/>
      <c r="C1623"/>
      <c r="K1623" s="1"/>
      <c r="M1623"/>
    </row>
    <row r="1624" spans="1:13" x14ac:dyDescent="0.2">
      <c r="A1624" s="7"/>
      <c r="B1624"/>
      <c r="C1624"/>
      <c r="K1624" s="1"/>
      <c r="M1624"/>
    </row>
    <row r="1625" spans="1:13" x14ac:dyDescent="0.2">
      <c r="A1625" s="7"/>
      <c r="B1625"/>
      <c r="C1625"/>
      <c r="K1625" s="1"/>
      <c r="M1625"/>
    </row>
    <row r="1626" spans="1:13" x14ac:dyDescent="0.2">
      <c r="A1626" s="7"/>
      <c r="B1626"/>
      <c r="C1626"/>
      <c r="K1626" s="1"/>
      <c r="M1626"/>
    </row>
    <row r="1627" spans="1:13" x14ac:dyDescent="0.2">
      <c r="A1627" s="7"/>
      <c r="B1627"/>
      <c r="C1627"/>
      <c r="K1627" s="1"/>
      <c r="M1627"/>
    </row>
    <row r="1628" spans="1:13" x14ac:dyDescent="0.2">
      <c r="A1628" s="7"/>
      <c r="B1628"/>
      <c r="C1628"/>
      <c r="K1628" s="1"/>
      <c r="M1628"/>
    </row>
    <row r="1629" spans="1:13" x14ac:dyDescent="0.2">
      <c r="A1629" s="7"/>
      <c r="B1629"/>
      <c r="C1629"/>
      <c r="K1629" s="1"/>
      <c r="M1629"/>
    </row>
    <row r="1630" spans="1:13" x14ac:dyDescent="0.2">
      <c r="A1630" s="7"/>
      <c r="B1630"/>
      <c r="C1630"/>
      <c r="K1630" s="1"/>
      <c r="M1630"/>
    </row>
    <row r="1631" spans="1:13" x14ac:dyDescent="0.2">
      <c r="A1631" s="7"/>
      <c r="B1631"/>
      <c r="C1631"/>
      <c r="K1631" s="1"/>
      <c r="M1631"/>
    </row>
    <row r="1632" spans="1:13" x14ac:dyDescent="0.2">
      <c r="A1632" s="7"/>
      <c r="B1632"/>
      <c r="C1632"/>
      <c r="K1632" s="1"/>
      <c r="M1632"/>
    </row>
    <row r="1633" spans="1:13" x14ac:dyDescent="0.2">
      <c r="A1633" s="7"/>
      <c r="B1633"/>
      <c r="C1633"/>
      <c r="K1633" s="1"/>
      <c r="M1633"/>
    </row>
    <row r="1634" spans="1:13" x14ac:dyDescent="0.2">
      <c r="A1634" s="7"/>
      <c r="B1634"/>
      <c r="C1634"/>
      <c r="K1634" s="1"/>
      <c r="M1634"/>
    </row>
    <row r="1635" spans="1:13" x14ac:dyDescent="0.2">
      <c r="A1635" s="7"/>
      <c r="B1635"/>
      <c r="C1635"/>
      <c r="K1635" s="1"/>
      <c r="M1635"/>
    </row>
    <row r="1636" spans="1:13" x14ac:dyDescent="0.2">
      <c r="A1636" s="7"/>
      <c r="B1636"/>
      <c r="C1636"/>
      <c r="K1636" s="1"/>
      <c r="M1636"/>
    </row>
    <row r="1637" spans="1:13" x14ac:dyDescent="0.2">
      <c r="A1637" s="7"/>
      <c r="B1637"/>
      <c r="C1637"/>
      <c r="K1637" s="1"/>
      <c r="M1637"/>
    </row>
    <row r="1638" spans="1:13" x14ac:dyDescent="0.2">
      <c r="A1638" s="7"/>
      <c r="B1638"/>
      <c r="C1638"/>
      <c r="K1638" s="1"/>
      <c r="M1638"/>
    </row>
    <row r="1639" spans="1:13" x14ac:dyDescent="0.2">
      <c r="A1639" s="7"/>
      <c r="B1639"/>
      <c r="C1639"/>
      <c r="K1639" s="1"/>
      <c r="M1639"/>
    </row>
    <row r="1640" spans="1:13" x14ac:dyDescent="0.2">
      <c r="A1640" s="7"/>
      <c r="B1640"/>
      <c r="C1640"/>
      <c r="K1640" s="1"/>
      <c r="M1640"/>
    </row>
    <row r="1641" spans="1:13" x14ac:dyDescent="0.2">
      <c r="A1641" s="7"/>
      <c r="B1641"/>
      <c r="C1641"/>
      <c r="K1641" s="1"/>
      <c r="M1641"/>
    </row>
    <row r="1642" spans="1:13" x14ac:dyDescent="0.2">
      <c r="A1642" s="7"/>
      <c r="B1642"/>
      <c r="C1642"/>
      <c r="K1642" s="1"/>
      <c r="M1642"/>
    </row>
    <row r="1643" spans="1:13" x14ac:dyDescent="0.2">
      <c r="A1643" s="7"/>
      <c r="B1643"/>
      <c r="C1643"/>
      <c r="K1643" s="1"/>
      <c r="M1643"/>
    </row>
    <row r="1644" spans="1:13" x14ac:dyDescent="0.2">
      <c r="A1644" s="7"/>
      <c r="B1644"/>
      <c r="C1644"/>
      <c r="K1644" s="1"/>
      <c r="M1644"/>
    </row>
    <row r="1645" spans="1:13" x14ac:dyDescent="0.2">
      <c r="A1645" s="7"/>
      <c r="B1645"/>
      <c r="C1645"/>
      <c r="K1645" s="1"/>
      <c r="M1645"/>
    </row>
    <row r="1646" spans="1:13" x14ac:dyDescent="0.2">
      <c r="A1646" s="7"/>
      <c r="B1646"/>
      <c r="C1646"/>
      <c r="K1646" s="1"/>
      <c r="M1646"/>
    </row>
    <row r="1647" spans="1:13" x14ac:dyDescent="0.2">
      <c r="A1647" s="7"/>
      <c r="B1647"/>
      <c r="C1647"/>
      <c r="K1647" s="1"/>
      <c r="M1647"/>
    </row>
    <row r="1648" spans="1:13" x14ac:dyDescent="0.2">
      <c r="A1648" s="7"/>
      <c r="B1648"/>
      <c r="C1648"/>
      <c r="K1648" s="1"/>
      <c r="M1648"/>
    </row>
    <row r="1649" spans="1:13" x14ac:dyDescent="0.2">
      <c r="A1649" s="7"/>
      <c r="B1649"/>
      <c r="C1649"/>
      <c r="K1649" s="1"/>
      <c r="M1649"/>
    </row>
    <row r="1650" spans="1:13" x14ac:dyDescent="0.2">
      <c r="A1650" s="7"/>
      <c r="B1650"/>
      <c r="C1650"/>
      <c r="K1650" s="1"/>
      <c r="M1650"/>
    </row>
    <row r="1651" spans="1:13" x14ac:dyDescent="0.2">
      <c r="A1651" s="7"/>
      <c r="B1651"/>
      <c r="C1651"/>
      <c r="K1651" s="1"/>
      <c r="M1651"/>
    </row>
    <row r="1652" spans="1:13" x14ac:dyDescent="0.2">
      <c r="A1652" s="7"/>
      <c r="B1652"/>
      <c r="C1652"/>
      <c r="K1652" s="1"/>
      <c r="M1652"/>
    </row>
    <row r="1653" spans="1:13" x14ac:dyDescent="0.2">
      <c r="A1653" s="7"/>
      <c r="B1653"/>
      <c r="C1653"/>
      <c r="K1653" s="1"/>
      <c r="M1653"/>
    </row>
    <row r="1654" spans="1:13" x14ac:dyDescent="0.2">
      <c r="A1654" s="7"/>
      <c r="B1654"/>
      <c r="C1654"/>
      <c r="K1654" s="1"/>
      <c r="M1654"/>
    </row>
    <row r="1655" spans="1:13" x14ac:dyDescent="0.2">
      <c r="A1655" s="7"/>
      <c r="B1655"/>
      <c r="C1655"/>
      <c r="K1655" s="1"/>
      <c r="M1655"/>
    </row>
    <row r="1656" spans="1:13" x14ac:dyDescent="0.2">
      <c r="A1656" s="7"/>
      <c r="B1656"/>
      <c r="C1656"/>
      <c r="K1656" s="1"/>
      <c r="M1656"/>
    </row>
    <row r="1657" spans="1:13" x14ac:dyDescent="0.2">
      <c r="A1657" s="7"/>
      <c r="B1657"/>
      <c r="C1657"/>
      <c r="K1657" s="1"/>
      <c r="M1657"/>
    </row>
    <row r="1658" spans="1:13" x14ac:dyDescent="0.2">
      <c r="A1658" s="7"/>
      <c r="B1658"/>
      <c r="C1658"/>
      <c r="K1658" s="1"/>
      <c r="M1658"/>
    </row>
    <row r="1659" spans="1:13" x14ac:dyDescent="0.2">
      <c r="A1659" s="7"/>
      <c r="B1659"/>
      <c r="C1659"/>
      <c r="K1659" s="1"/>
      <c r="M1659"/>
    </row>
    <row r="1660" spans="1:13" x14ac:dyDescent="0.2">
      <c r="A1660" s="7"/>
      <c r="B1660"/>
      <c r="C1660"/>
      <c r="K1660" s="1"/>
      <c r="M1660"/>
    </row>
    <row r="1661" spans="1:13" x14ac:dyDescent="0.2">
      <c r="A1661" s="7"/>
      <c r="B1661"/>
      <c r="C1661"/>
      <c r="K1661" s="1"/>
      <c r="M1661"/>
    </row>
    <row r="1662" spans="1:13" x14ac:dyDescent="0.2">
      <c r="A1662" s="7"/>
      <c r="B1662"/>
      <c r="C1662"/>
      <c r="K1662" s="1"/>
      <c r="M1662"/>
    </row>
    <row r="1663" spans="1:13" x14ac:dyDescent="0.2">
      <c r="A1663" s="7"/>
      <c r="B1663"/>
      <c r="C1663"/>
      <c r="K1663" s="1"/>
      <c r="M1663"/>
    </row>
    <row r="1664" spans="1:13" x14ac:dyDescent="0.2">
      <c r="A1664" s="7"/>
      <c r="B1664"/>
      <c r="C1664"/>
      <c r="K1664" s="1"/>
      <c r="M1664"/>
    </row>
    <row r="1665" spans="1:13" x14ac:dyDescent="0.2">
      <c r="A1665" s="7"/>
      <c r="B1665"/>
      <c r="C1665"/>
      <c r="K1665" s="1"/>
      <c r="M1665"/>
    </row>
    <row r="1666" spans="1:13" x14ac:dyDescent="0.2">
      <c r="A1666" s="7"/>
      <c r="B1666"/>
      <c r="C1666"/>
      <c r="K1666" s="1"/>
      <c r="M1666"/>
    </row>
    <row r="1667" spans="1:13" x14ac:dyDescent="0.2">
      <c r="A1667" s="7"/>
      <c r="B1667"/>
      <c r="C1667"/>
      <c r="K1667" s="1"/>
      <c r="M1667"/>
    </row>
    <row r="1668" spans="1:13" x14ac:dyDescent="0.2">
      <c r="A1668" s="7"/>
      <c r="B1668"/>
      <c r="C1668"/>
      <c r="K1668" s="1"/>
      <c r="M1668"/>
    </row>
    <row r="1669" spans="1:13" x14ac:dyDescent="0.2">
      <c r="A1669" s="7"/>
      <c r="B1669"/>
      <c r="C1669"/>
      <c r="K1669" s="1"/>
      <c r="M1669"/>
    </row>
    <row r="1670" spans="1:13" x14ac:dyDescent="0.2">
      <c r="A1670" s="7"/>
      <c r="B1670"/>
      <c r="C1670"/>
      <c r="K1670" s="1"/>
      <c r="M1670"/>
    </row>
    <row r="1671" spans="1:13" x14ac:dyDescent="0.2">
      <c r="A1671" s="7"/>
      <c r="B1671"/>
      <c r="C1671"/>
      <c r="K1671" s="1"/>
      <c r="M1671"/>
    </row>
    <row r="1672" spans="1:13" x14ac:dyDescent="0.2">
      <c r="A1672" s="7"/>
      <c r="B1672"/>
      <c r="C1672"/>
      <c r="K1672" s="1"/>
      <c r="M1672"/>
    </row>
    <row r="1673" spans="1:13" x14ac:dyDescent="0.2">
      <c r="A1673" s="7"/>
      <c r="B1673"/>
      <c r="C1673"/>
      <c r="K1673" s="1"/>
      <c r="M1673"/>
    </row>
    <row r="1674" spans="1:13" x14ac:dyDescent="0.2">
      <c r="A1674" s="7"/>
      <c r="B1674"/>
      <c r="C1674"/>
      <c r="K1674" s="1"/>
      <c r="M1674"/>
    </row>
    <row r="1675" spans="1:13" x14ac:dyDescent="0.2">
      <c r="A1675" s="7"/>
      <c r="B1675"/>
      <c r="C1675"/>
      <c r="K1675" s="1"/>
      <c r="M1675"/>
    </row>
    <row r="1676" spans="1:13" x14ac:dyDescent="0.2">
      <c r="A1676" s="7"/>
      <c r="B1676"/>
      <c r="C1676"/>
      <c r="K1676" s="1"/>
      <c r="M1676"/>
    </row>
    <row r="1677" spans="1:13" x14ac:dyDescent="0.2">
      <c r="A1677" s="7"/>
      <c r="B1677"/>
      <c r="C1677"/>
      <c r="K1677" s="1"/>
      <c r="M1677"/>
    </row>
    <row r="1678" spans="1:13" x14ac:dyDescent="0.2">
      <c r="A1678" s="7"/>
      <c r="B1678"/>
      <c r="C1678"/>
      <c r="K1678" s="1"/>
      <c r="M1678"/>
    </row>
    <row r="1679" spans="1:13" x14ac:dyDescent="0.2">
      <c r="A1679" s="7"/>
      <c r="B1679"/>
      <c r="C1679"/>
      <c r="K1679" s="1"/>
      <c r="M1679"/>
    </row>
    <row r="1680" spans="1:13" x14ac:dyDescent="0.2">
      <c r="A1680" s="7"/>
      <c r="B1680"/>
      <c r="C1680"/>
      <c r="K1680" s="1"/>
      <c r="M1680"/>
    </row>
    <row r="1681" spans="1:13" x14ac:dyDescent="0.2">
      <c r="A1681" s="7"/>
      <c r="B1681"/>
      <c r="C1681"/>
      <c r="K1681" s="1"/>
      <c r="M1681"/>
    </row>
    <row r="1682" spans="1:13" x14ac:dyDescent="0.2">
      <c r="A1682" s="7"/>
      <c r="B1682"/>
      <c r="C1682"/>
      <c r="K1682" s="1"/>
      <c r="M1682"/>
    </row>
    <row r="1683" spans="1:13" x14ac:dyDescent="0.2">
      <c r="A1683" s="7"/>
      <c r="B1683"/>
      <c r="C1683"/>
      <c r="K1683" s="1"/>
      <c r="M1683"/>
    </row>
    <row r="1684" spans="1:13" x14ac:dyDescent="0.2">
      <c r="A1684" s="7"/>
      <c r="B1684"/>
      <c r="C1684"/>
      <c r="K1684" s="1"/>
      <c r="M1684"/>
    </row>
    <row r="1685" spans="1:13" x14ac:dyDescent="0.2">
      <c r="A1685" s="7"/>
      <c r="B1685"/>
      <c r="C1685"/>
      <c r="K1685" s="1"/>
      <c r="M1685"/>
    </row>
    <row r="1686" spans="1:13" x14ac:dyDescent="0.2">
      <c r="A1686" s="7"/>
      <c r="B1686"/>
      <c r="C1686"/>
      <c r="K1686" s="1"/>
      <c r="M1686"/>
    </row>
    <row r="1687" spans="1:13" x14ac:dyDescent="0.2">
      <c r="A1687" s="7"/>
      <c r="B1687"/>
      <c r="C1687"/>
      <c r="K1687" s="1"/>
      <c r="M1687"/>
    </row>
    <row r="1688" spans="1:13" x14ac:dyDescent="0.2">
      <c r="A1688" s="7"/>
      <c r="B1688"/>
      <c r="C1688"/>
      <c r="K1688" s="1"/>
      <c r="M1688"/>
    </row>
    <row r="1689" spans="1:13" x14ac:dyDescent="0.2">
      <c r="A1689" s="7"/>
      <c r="B1689"/>
      <c r="C1689"/>
      <c r="K1689" s="1"/>
      <c r="M1689"/>
    </row>
    <row r="1690" spans="1:13" x14ac:dyDescent="0.2">
      <c r="A1690" s="7"/>
      <c r="B1690"/>
      <c r="C1690"/>
      <c r="K1690" s="1"/>
      <c r="M1690"/>
    </row>
    <row r="1691" spans="1:13" x14ac:dyDescent="0.2">
      <c r="A1691" s="7"/>
      <c r="B1691"/>
      <c r="C1691"/>
      <c r="K1691" s="1"/>
      <c r="M1691"/>
    </row>
    <row r="1692" spans="1:13" x14ac:dyDescent="0.2">
      <c r="A1692" s="7"/>
      <c r="B1692"/>
      <c r="C1692"/>
      <c r="K1692" s="1"/>
      <c r="M1692"/>
    </row>
    <row r="1693" spans="1:13" x14ac:dyDescent="0.2">
      <c r="A1693" s="7"/>
      <c r="B1693"/>
      <c r="C1693"/>
      <c r="K1693" s="1"/>
      <c r="M1693"/>
    </row>
    <row r="1694" spans="1:13" x14ac:dyDescent="0.2">
      <c r="A1694" s="7"/>
      <c r="B1694"/>
      <c r="C1694"/>
      <c r="K1694" s="1"/>
      <c r="M1694"/>
    </row>
    <row r="1695" spans="1:13" x14ac:dyDescent="0.2">
      <c r="A1695" s="7"/>
      <c r="B1695"/>
      <c r="C1695"/>
      <c r="K1695" s="1"/>
      <c r="M1695"/>
    </row>
    <row r="1696" spans="1:13" x14ac:dyDescent="0.2">
      <c r="A1696" s="7"/>
      <c r="B1696"/>
      <c r="C1696"/>
      <c r="K1696" s="1"/>
      <c r="M1696"/>
    </row>
    <row r="1697" spans="1:13" x14ac:dyDescent="0.2">
      <c r="A1697" s="7"/>
      <c r="B1697"/>
      <c r="C1697"/>
      <c r="K1697" s="1"/>
      <c r="M1697"/>
    </row>
    <row r="1698" spans="1:13" x14ac:dyDescent="0.2">
      <c r="A1698" s="7"/>
      <c r="B1698"/>
      <c r="C1698"/>
      <c r="K1698" s="1"/>
      <c r="M1698"/>
    </row>
    <row r="1699" spans="1:13" x14ac:dyDescent="0.2">
      <c r="A1699" s="7"/>
      <c r="B1699"/>
      <c r="C1699"/>
      <c r="K1699" s="1"/>
      <c r="M1699"/>
    </row>
    <row r="1700" spans="1:13" x14ac:dyDescent="0.2">
      <c r="A1700" s="7"/>
      <c r="B1700"/>
      <c r="C1700"/>
      <c r="K1700" s="1"/>
      <c r="M1700"/>
    </row>
    <row r="1701" spans="1:13" x14ac:dyDescent="0.2">
      <c r="A1701" s="7"/>
      <c r="B1701"/>
      <c r="C1701"/>
      <c r="K1701" s="1"/>
      <c r="M1701"/>
    </row>
    <row r="1702" spans="1:13" x14ac:dyDescent="0.2">
      <c r="A1702" s="7"/>
      <c r="B1702"/>
      <c r="C1702"/>
      <c r="K1702" s="1"/>
      <c r="M1702"/>
    </row>
    <row r="1703" spans="1:13" x14ac:dyDescent="0.2">
      <c r="A1703" s="7"/>
      <c r="B1703"/>
      <c r="C1703"/>
      <c r="K1703" s="1"/>
      <c r="M1703"/>
    </row>
    <row r="1704" spans="1:13" x14ac:dyDescent="0.2">
      <c r="A1704" s="7"/>
      <c r="B1704"/>
      <c r="C1704"/>
      <c r="K1704" s="1"/>
      <c r="M1704"/>
    </row>
    <row r="1705" spans="1:13" x14ac:dyDescent="0.2">
      <c r="A1705" s="7"/>
      <c r="B1705"/>
      <c r="C1705"/>
      <c r="K1705" s="1"/>
      <c r="M1705"/>
    </row>
    <row r="1706" spans="1:13" x14ac:dyDescent="0.2">
      <c r="A1706" s="7"/>
      <c r="B1706"/>
      <c r="C1706"/>
      <c r="K1706" s="1"/>
      <c r="M1706"/>
    </row>
    <row r="1707" spans="1:13" x14ac:dyDescent="0.2">
      <c r="A1707" s="7"/>
      <c r="B1707"/>
      <c r="C1707"/>
      <c r="K1707" s="1"/>
      <c r="M1707"/>
    </row>
    <row r="1708" spans="1:13" x14ac:dyDescent="0.2">
      <c r="A1708" s="7"/>
      <c r="B1708"/>
      <c r="C1708"/>
      <c r="K1708" s="1"/>
      <c r="M1708"/>
    </row>
    <row r="1709" spans="1:13" x14ac:dyDescent="0.2">
      <c r="A1709" s="7"/>
      <c r="B1709"/>
      <c r="C1709"/>
      <c r="K1709" s="1"/>
      <c r="M1709"/>
    </row>
    <row r="1710" spans="1:13" x14ac:dyDescent="0.2">
      <c r="A1710" s="7"/>
      <c r="B1710"/>
      <c r="C1710"/>
      <c r="K1710" s="1"/>
      <c r="M1710"/>
    </row>
    <row r="1711" spans="1:13" x14ac:dyDescent="0.2">
      <c r="A1711" s="7"/>
      <c r="B1711"/>
      <c r="C1711"/>
      <c r="K1711" s="1"/>
      <c r="M1711"/>
    </row>
    <row r="1712" spans="1:13" x14ac:dyDescent="0.2">
      <c r="A1712" s="7"/>
      <c r="B1712"/>
      <c r="C1712"/>
      <c r="K1712" s="1"/>
      <c r="M1712"/>
    </row>
    <row r="1713" spans="1:13" x14ac:dyDescent="0.2">
      <c r="A1713" s="7"/>
      <c r="B1713"/>
      <c r="C1713"/>
      <c r="K1713" s="1"/>
      <c r="M1713"/>
    </row>
    <row r="1714" spans="1:13" x14ac:dyDescent="0.2">
      <c r="A1714" s="7"/>
      <c r="B1714"/>
      <c r="C1714"/>
      <c r="K1714" s="1"/>
      <c r="M1714"/>
    </row>
    <row r="1715" spans="1:13" x14ac:dyDescent="0.2">
      <c r="A1715" s="7"/>
      <c r="B1715"/>
      <c r="C1715"/>
      <c r="K1715" s="1"/>
      <c r="M1715"/>
    </row>
    <row r="1716" spans="1:13" x14ac:dyDescent="0.2">
      <c r="A1716" s="7"/>
      <c r="B1716"/>
      <c r="C1716"/>
      <c r="K1716" s="1"/>
      <c r="M1716"/>
    </row>
    <row r="1717" spans="1:13" x14ac:dyDescent="0.2">
      <c r="A1717" s="7"/>
      <c r="B1717"/>
      <c r="C1717"/>
      <c r="K1717" s="1"/>
      <c r="M1717"/>
    </row>
    <row r="1718" spans="1:13" x14ac:dyDescent="0.2">
      <c r="A1718" s="7"/>
      <c r="B1718"/>
      <c r="C1718"/>
      <c r="K1718" s="1"/>
      <c r="M1718"/>
    </row>
    <row r="1719" spans="1:13" x14ac:dyDescent="0.2">
      <c r="A1719" s="7"/>
      <c r="B1719"/>
      <c r="C1719"/>
      <c r="K1719" s="1"/>
      <c r="M1719"/>
    </row>
    <row r="1720" spans="1:13" x14ac:dyDescent="0.2">
      <c r="A1720" s="7"/>
      <c r="B1720"/>
      <c r="C1720"/>
      <c r="K1720" s="1"/>
      <c r="M1720"/>
    </row>
    <row r="1721" spans="1:13" x14ac:dyDescent="0.2">
      <c r="A1721" s="7"/>
      <c r="B1721"/>
      <c r="C1721"/>
      <c r="K1721" s="1"/>
      <c r="M1721"/>
    </row>
    <row r="1722" spans="1:13" x14ac:dyDescent="0.2">
      <c r="A1722" s="7"/>
      <c r="B1722"/>
      <c r="C1722"/>
      <c r="K1722" s="1"/>
      <c r="M1722"/>
    </row>
    <row r="1723" spans="1:13" x14ac:dyDescent="0.2">
      <c r="A1723" s="7"/>
      <c r="B1723"/>
      <c r="C1723"/>
      <c r="K1723" s="1"/>
      <c r="M1723"/>
    </row>
    <row r="1724" spans="1:13" x14ac:dyDescent="0.2">
      <c r="A1724" s="7"/>
      <c r="B1724"/>
      <c r="C1724"/>
      <c r="K1724" s="1"/>
      <c r="M1724"/>
    </row>
    <row r="1725" spans="1:13" x14ac:dyDescent="0.2">
      <c r="A1725" s="7"/>
      <c r="B1725"/>
      <c r="C1725"/>
      <c r="K1725" s="1"/>
      <c r="M1725"/>
    </row>
    <row r="1726" spans="1:13" x14ac:dyDescent="0.2">
      <c r="A1726" s="7"/>
      <c r="B1726"/>
      <c r="C1726"/>
      <c r="K1726" s="1"/>
      <c r="M1726"/>
    </row>
    <row r="1727" spans="1:13" x14ac:dyDescent="0.2">
      <c r="A1727" s="7"/>
      <c r="B1727"/>
      <c r="C1727"/>
      <c r="K1727" s="1"/>
      <c r="M1727"/>
    </row>
    <row r="1728" spans="1:13" x14ac:dyDescent="0.2">
      <c r="A1728" s="7"/>
      <c r="B1728"/>
      <c r="C1728"/>
      <c r="K1728" s="1"/>
      <c r="M1728"/>
    </row>
    <row r="1729" spans="1:13" x14ac:dyDescent="0.2">
      <c r="A1729" s="7"/>
      <c r="B1729"/>
      <c r="C1729"/>
      <c r="K1729" s="1"/>
      <c r="M1729"/>
    </row>
    <row r="1730" spans="1:13" x14ac:dyDescent="0.2">
      <c r="A1730" s="7"/>
      <c r="B1730"/>
      <c r="C1730"/>
      <c r="K1730" s="1"/>
      <c r="M1730"/>
    </row>
    <row r="1731" spans="1:13" x14ac:dyDescent="0.2">
      <c r="A1731" s="7"/>
      <c r="B1731"/>
      <c r="C1731"/>
      <c r="K1731" s="1"/>
      <c r="M1731"/>
    </row>
    <row r="1732" spans="1:13" x14ac:dyDescent="0.2">
      <c r="A1732" s="7"/>
      <c r="B1732"/>
      <c r="C1732"/>
      <c r="K1732" s="1"/>
      <c r="M1732"/>
    </row>
    <row r="1733" spans="1:13" x14ac:dyDescent="0.2">
      <c r="A1733" s="7"/>
      <c r="B1733"/>
      <c r="C1733"/>
      <c r="K1733" s="1"/>
      <c r="M1733"/>
    </row>
    <row r="1734" spans="1:13" x14ac:dyDescent="0.2">
      <c r="A1734" s="7"/>
      <c r="B1734"/>
      <c r="C1734"/>
      <c r="K1734" s="1"/>
      <c r="M1734"/>
    </row>
    <row r="1735" spans="1:13" x14ac:dyDescent="0.2">
      <c r="A1735" s="7"/>
      <c r="B1735"/>
      <c r="C1735"/>
      <c r="K1735" s="1"/>
      <c r="M1735"/>
    </row>
    <row r="1736" spans="1:13" x14ac:dyDescent="0.2">
      <c r="A1736" s="7"/>
      <c r="B1736"/>
      <c r="C1736"/>
      <c r="K1736" s="1"/>
      <c r="M1736"/>
    </row>
    <row r="1737" spans="1:13" x14ac:dyDescent="0.2">
      <c r="A1737" s="7"/>
      <c r="B1737"/>
      <c r="C1737"/>
      <c r="K1737" s="1"/>
      <c r="M1737"/>
    </row>
    <row r="1738" spans="1:13" x14ac:dyDescent="0.2">
      <c r="A1738" s="7"/>
      <c r="B1738"/>
      <c r="C1738"/>
      <c r="K1738" s="1"/>
      <c r="M1738"/>
    </row>
    <row r="1739" spans="1:13" x14ac:dyDescent="0.2">
      <c r="A1739" s="7"/>
      <c r="B1739"/>
      <c r="C1739"/>
      <c r="K1739" s="1"/>
      <c r="M1739"/>
    </row>
    <row r="1740" spans="1:13" x14ac:dyDescent="0.2">
      <c r="A1740" s="7"/>
      <c r="B1740"/>
      <c r="C1740"/>
      <c r="K1740" s="1"/>
      <c r="M1740"/>
    </row>
    <row r="1741" spans="1:13" x14ac:dyDescent="0.2">
      <c r="A1741" s="7"/>
      <c r="B1741"/>
      <c r="C1741"/>
      <c r="K1741" s="1"/>
      <c r="M1741"/>
    </row>
    <row r="1742" spans="1:13" x14ac:dyDescent="0.2">
      <c r="A1742" s="7"/>
      <c r="B1742"/>
      <c r="C1742"/>
      <c r="K1742" s="1"/>
      <c r="M1742"/>
    </row>
    <row r="1743" spans="1:13" x14ac:dyDescent="0.2">
      <c r="A1743" s="7"/>
      <c r="B1743"/>
      <c r="C1743"/>
      <c r="K1743" s="1"/>
      <c r="M1743"/>
    </row>
    <row r="1744" spans="1:13" x14ac:dyDescent="0.2">
      <c r="A1744" s="7"/>
      <c r="B1744"/>
      <c r="C1744"/>
      <c r="K1744" s="1"/>
      <c r="M1744"/>
    </row>
    <row r="1745" spans="1:13" x14ac:dyDescent="0.2">
      <c r="A1745" s="7"/>
      <c r="B1745"/>
      <c r="C1745"/>
      <c r="K1745" s="1"/>
      <c r="M1745"/>
    </row>
    <row r="1746" spans="1:13" x14ac:dyDescent="0.2">
      <c r="A1746" s="7"/>
      <c r="B1746"/>
      <c r="C1746"/>
      <c r="K1746" s="1"/>
      <c r="M1746"/>
    </row>
    <row r="1747" spans="1:13" x14ac:dyDescent="0.2">
      <c r="A1747" s="7"/>
      <c r="B1747"/>
      <c r="C1747"/>
      <c r="K1747" s="1"/>
      <c r="M1747"/>
    </row>
    <row r="1748" spans="1:13" x14ac:dyDescent="0.2">
      <c r="A1748" s="7"/>
      <c r="B1748"/>
      <c r="C1748"/>
      <c r="K1748" s="1"/>
      <c r="M1748"/>
    </row>
    <row r="1749" spans="1:13" x14ac:dyDescent="0.2">
      <c r="A1749" s="7"/>
      <c r="B1749"/>
      <c r="C1749"/>
      <c r="K1749" s="1"/>
      <c r="M1749"/>
    </row>
    <row r="1750" spans="1:13" x14ac:dyDescent="0.2">
      <c r="A1750" s="7"/>
      <c r="B1750"/>
      <c r="C1750"/>
      <c r="K1750" s="1"/>
      <c r="M1750"/>
    </row>
    <row r="1751" spans="1:13" x14ac:dyDescent="0.2">
      <c r="A1751" s="7"/>
      <c r="B1751"/>
      <c r="C1751"/>
      <c r="K1751" s="1"/>
      <c r="M1751"/>
    </row>
    <row r="1752" spans="1:13" x14ac:dyDescent="0.2">
      <c r="A1752" s="7"/>
      <c r="B1752"/>
      <c r="C1752"/>
      <c r="K1752" s="1"/>
      <c r="M1752"/>
    </row>
    <row r="1753" spans="1:13" x14ac:dyDescent="0.2">
      <c r="A1753" s="7"/>
      <c r="B1753"/>
      <c r="C1753"/>
      <c r="K1753" s="1"/>
      <c r="M1753"/>
    </row>
    <row r="1754" spans="1:13" x14ac:dyDescent="0.2">
      <c r="A1754" s="7"/>
      <c r="B1754"/>
      <c r="C1754"/>
      <c r="K1754" s="1"/>
      <c r="M1754"/>
    </row>
    <row r="1755" spans="1:13" x14ac:dyDescent="0.2">
      <c r="A1755" s="7"/>
      <c r="B1755"/>
      <c r="C1755"/>
      <c r="K1755" s="1"/>
      <c r="M1755"/>
    </row>
    <row r="1756" spans="1:13" x14ac:dyDescent="0.2">
      <c r="A1756" s="7"/>
      <c r="B1756"/>
      <c r="C1756"/>
      <c r="K1756" s="1"/>
      <c r="M1756"/>
    </row>
    <row r="1757" spans="1:13" x14ac:dyDescent="0.2">
      <c r="A1757" s="7"/>
      <c r="B1757"/>
      <c r="C1757"/>
      <c r="K1757" s="1"/>
      <c r="M1757"/>
    </row>
    <row r="1758" spans="1:13" x14ac:dyDescent="0.2">
      <c r="A1758" s="7"/>
      <c r="B1758"/>
      <c r="C1758"/>
      <c r="K1758" s="1"/>
      <c r="M1758"/>
    </row>
    <row r="1759" spans="1:13" x14ac:dyDescent="0.2">
      <c r="A1759" s="7"/>
      <c r="B1759"/>
      <c r="C1759"/>
      <c r="K1759" s="1"/>
      <c r="M1759"/>
    </row>
    <row r="1760" spans="1:13" x14ac:dyDescent="0.2">
      <c r="A1760" s="7"/>
      <c r="B1760"/>
      <c r="C1760"/>
      <c r="K1760" s="1"/>
      <c r="M1760"/>
    </row>
    <row r="1761" spans="1:13" x14ac:dyDescent="0.2">
      <c r="A1761" s="7"/>
      <c r="B1761"/>
      <c r="C1761"/>
      <c r="K1761" s="1"/>
      <c r="M1761"/>
    </row>
    <row r="1762" spans="1:13" x14ac:dyDescent="0.2">
      <c r="A1762" s="7"/>
      <c r="B1762"/>
      <c r="C1762"/>
      <c r="K1762" s="1"/>
      <c r="M1762"/>
    </row>
    <row r="1763" spans="1:13" x14ac:dyDescent="0.2">
      <c r="A1763" s="7"/>
      <c r="B1763"/>
      <c r="C1763"/>
      <c r="K1763" s="1"/>
      <c r="M1763"/>
    </row>
    <row r="1764" spans="1:13" x14ac:dyDescent="0.2">
      <c r="A1764" s="7"/>
      <c r="B1764"/>
      <c r="C1764"/>
      <c r="K1764" s="1"/>
      <c r="M1764"/>
    </row>
    <row r="1765" spans="1:13" x14ac:dyDescent="0.2">
      <c r="A1765" s="7"/>
      <c r="B1765"/>
      <c r="C1765"/>
      <c r="K1765" s="1"/>
      <c r="M1765"/>
    </row>
    <row r="1766" spans="1:13" x14ac:dyDescent="0.2">
      <c r="A1766" s="7"/>
      <c r="B1766"/>
      <c r="C1766"/>
      <c r="K1766" s="1"/>
      <c r="M1766"/>
    </row>
    <row r="1767" spans="1:13" x14ac:dyDescent="0.2">
      <c r="A1767" s="7"/>
      <c r="B1767"/>
      <c r="C1767"/>
      <c r="K1767" s="1"/>
      <c r="M1767"/>
    </row>
    <row r="1768" spans="1:13" x14ac:dyDescent="0.2">
      <c r="A1768" s="7"/>
      <c r="B1768"/>
      <c r="C1768"/>
      <c r="K1768" s="1"/>
      <c r="M1768"/>
    </row>
    <row r="1769" spans="1:13" x14ac:dyDescent="0.2">
      <c r="A1769" s="7"/>
      <c r="B1769"/>
      <c r="C1769"/>
      <c r="K1769" s="1"/>
      <c r="M1769"/>
    </row>
    <row r="1770" spans="1:13" x14ac:dyDescent="0.2">
      <c r="A1770" s="7"/>
      <c r="B1770"/>
      <c r="C1770"/>
      <c r="K1770" s="1"/>
      <c r="M1770"/>
    </row>
    <row r="1771" spans="1:13" x14ac:dyDescent="0.2">
      <c r="A1771" s="7"/>
      <c r="B1771"/>
      <c r="C1771"/>
      <c r="K1771" s="1"/>
      <c r="M1771"/>
    </row>
    <row r="1772" spans="1:13" x14ac:dyDescent="0.2">
      <c r="A1772" s="7"/>
      <c r="B1772"/>
      <c r="C1772"/>
      <c r="K1772" s="1"/>
      <c r="M1772"/>
    </row>
    <row r="1773" spans="1:13" x14ac:dyDescent="0.2">
      <c r="A1773" s="7"/>
      <c r="B1773"/>
      <c r="C1773"/>
      <c r="K1773" s="1"/>
      <c r="M1773"/>
    </row>
    <row r="1774" spans="1:13" x14ac:dyDescent="0.2">
      <c r="A1774" s="7"/>
      <c r="B1774"/>
      <c r="C1774"/>
      <c r="K1774" s="1"/>
      <c r="M1774"/>
    </row>
    <row r="1775" spans="1:13" x14ac:dyDescent="0.2">
      <c r="A1775" s="7"/>
      <c r="B1775"/>
      <c r="C1775"/>
      <c r="K1775" s="1"/>
      <c r="M1775"/>
    </row>
    <row r="1776" spans="1:13" x14ac:dyDescent="0.2">
      <c r="A1776" s="7"/>
      <c r="B1776"/>
      <c r="C1776"/>
      <c r="K1776" s="1"/>
      <c r="M1776"/>
    </row>
    <row r="1777" spans="1:13" x14ac:dyDescent="0.2">
      <c r="A1777" s="7"/>
      <c r="B1777"/>
      <c r="C1777"/>
      <c r="K1777" s="1"/>
      <c r="M1777"/>
    </row>
    <row r="1778" spans="1:13" x14ac:dyDescent="0.2">
      <c r="A1778" s="7"/>
      <c r="B1778"/>
      <c r="C1778"/>
      <c r="K1778" s="1"/>
      <c r="M1778"/>
    </row>
    <row r="1779" spans="1:13" x14ac:dyDescent="0.2">
      <c r="A1779" s="7"/>
      <c r="B1779"/>
      <c r="C1779"/>
      <c r="K1779" s="1"/>
      <c r="M1779"/>
    </row>
    <row r="1780" spans="1:13" x14ac:dyDescent="0.2">
      <c r="A1780" s="7"/>
      <c r="B1780"/>
      <c r="C1780"/>
      <c r="K1780" s="1"/>
      <c r="M1780"/>
    </row>
    <row r="1781" spans="1:13" x14ac:dyDescent="0.2">
      <c r="A1781" s="7"/>
      <c r="B1781"/>
      <c r="C1781"/>
      <c r="K1781" s="1"/>
      <c r="M1781"/>
    </row>
    <row r="1782" spans="1:13" x14ac:dyDescent="0.2">
      <c r="A1782" s="7"/>
      <c r="B1782"/>
      <c r="C1782"/>
      <c r="K1782" s="1"/>
      <c r="M1782"/>
    </row>
    <row r="1783" spans="1:13" x14ac:dyDescent="0.2">
      <c r="A1783" s="7"/>
      <c r="B1783"/>
      <c r="C1783"/>
      <c r="K1783" s="1"/>
      <c r="M1783"/>
    </row>
    <row r="1784" spans="1:13" x14ac:dyDescent="0.2">
      <c r="A1784" s="7"/>
      <c r="B1784"/>
      <c r="C1784"/>
      <c r="K1784" s="1"/>
      <c r="M1784"/>
    </row>
    <row r="1785" spans="1:13" x14ac:dyDescent="0.2">
      <c r="A1785" s="7"/>
      <c r="B1785"/>
      <c r="C1785"/>
      <c r="K1785" s="1"/>
      <c r="M1785"/>
    </row>
    <row r="1786" spans="1:13" x14ac:dyDescent="0.2">
      <c r="A1786" s="7"/>
      <c r="B1786"/>
      <c r="C1786"/>
      <c r="K1786" s="1"/>
      <c r="M1786"/>
    </row>
    <row r="1787" spans="1:13" x14ac:dyDescent="0.2">
      <c r="A1787" s="7"/>
      <c r="B1787"/>
      <c r="C1787"/>
      <c r="K1787" s="1"/>
      <c r="M1787"/>
    </row>
    <row r="1788" spans="1:13" x14ac:dyDescent="0.2">
      <c r="A1788" s="7"/>
      <c r="B1788"/>
      <c r="C1788"/>
      <c r="K1788" s="1"/>
      <c r="M1788"/>
    </row>
    <row r="1789" spans="1:13" x14ac:dyDescent="0.2">
      <c r="A1789" s="7"/>
      <c r="B1789"/>
      <c r="C1789"/>
      <c r="K1789" s="1"/>
      <c r="M1789"/>
    </row>
    <row r="1790" spans="1:13" x14ac:dyDescent="0.2">
      <c r="A1790" s="7"/>
      <c r="B1790"/>
      <c r="C1790"/>
      <c r="K1790" s="1"/>
      <c r="M1790"/>
    </row>
    <row r="1791" spans="1:13" x14ac:dyDescent="0.2">
      <c r="A1791" s="7"/>
      <c r="B1791"/>
      <c r="C1791"/>
      <c r="K1791" s="1"/>
      <c r="M1791"/>
    </row>
    <row r="1792" spans="1:13" x14ac:dyDescent="0.2">
      <c r="A1792" s="7"/>
      <c r="B1792"/>
      <c r="C1792"/>
      <c r="K1792" s="1"/>
      <c r="M1792"/>
    </row>
    <row r="1793" spans="1:13" x14ac:dyDescent="0.2">
      <c r="A1793" s="7"/>
      <c r="B1793"/>
      <c r="C1793"/>
      <c r="K1793" s="1"/>
      <c r="M1793"/>
    </row>
    <row r="1794" spans="1:13" x14ac:dyDescent="0.2">
      <c r="A1794" s="7"/>
      <c r="B1794"/>
      <c r="C1794"/>
      <c r="K1794" s="1"/>
      <c r="M1794"/>
    </row>
    <row r="1795" spans="1:13" x14ac:dyDescent="0.2">
      <c r="A1795" s="7"/>
      <c r="B1795"/>
      <c r="C1795"/>
      <c r="K1795" s="1"/>
      <c r="M1795"/>
    </row>
    <row r="1796" spans="1:13" x14ac:dyDescent="0.2">
      <c r="A1796" s="7"/>
      <c r="B1796"/>
      <c r="C1796"/>
      <c r="K1796" s="1"/>
      <c r="M1796"/>
    </row>
    <row r="1797" spans="1:13" x14ac:dyDescent="0.2">
      <c r="A1797" s="7"/>
      <c r="B1797"/>
      <c r="C1797"/>
      <c r="K1797" s="1"/>
      <c r="M1797"/>
    </row>
    <row r="1798" spans="1:13" x14ac:dyDescent="0.2">
      <c r="A1798" s="7"/>
      <c r="B1798"/>
      <c r="C1798"/>
      <c r="K1798" s="1"/>
      <c r="M1798"/>
    </row>
    <row r="1799" spans="1:13" x14ac:dyDescent="0.2">
      <c r="A1799" s="7"/>
      <c r="B1799"/>
      <c r="C1799"/>
      <c r="K1799" s="1"/>
      <c r="M1799"/>
    </row>
    <row r="1800" spans="1:13" x14ac:dyDescent="0.2">
      <c r="A1800" s="7"/>
      <c r="B1800"/>
      <c r="C1800"/>
      <c r="K1800" s="1"/>
      <c r="M1800"/>
    </row>
    <row r="1801" spans="1:13" x14ac:dyDescent="0.2">
      <c r="A1801" s="7"/>
      <c r="B1801"/>
      <c r="C1801"/>
      <c r="K1801" s="1"/>
      <c r="M1801"/>
    </row>
    <row r="1802" spans="1:13" x14ac:dyDescent="0.2">
      <c r="A1802" s="7"/>
      <c r="B1802"/>
      <c r="C1802"/>
      <c r="K1802" s="1"/>
      <c r="M1802"/>
    </row>
    <row r="1803" spans="1:13" x14ac:dyDescent="0.2">
      <c r="A1803" s="7"/>
      <c r="B1803"/>
      <c r="C1803"/>
      <c r="K1803" s="1"/>
      <c r="M1803"/>
    </row>
    <row r="1804" spans="1:13" x14ac:dyDescent="0.2">
      <c r="A1804" s="7"/>
      <c r="B1804"/>
      <c r="C1804"/>
      <c r="K1804" s="1"/>
      <c r="M1804"/>
    </row>
    <row r="1805" spans="1:13" x14ac:dyDescent="0.2">
      <c r="A1805" s="7"/>
      <c r="B1805"/>
      <c r="C1805"/>
      <c r="K1805" s="1"/>
      <c r="M1805"/>
    </row>
    <row r="1806" spans="1:13" x14ac:dyDescent="0.2">
      <c r="A1806" s="7"/>
      <c r="B1806"/>
      <c r="C1806"/>
      <c r="K1806" s="1"/>
      <c r="M1806"/>
    </row>
    <row r="1807" spans="1:13" x14ac:dyDescent="0.2">
      <c r="A1807" s="7"/>
      <c r="B1807"/>
      <c r="C1807"/>
      <c r="K1807" s="1"/>
      <c r="M1807"/>
    </row>
    <row r="1808" spans="1:13" x14ac:dyDescent="0.2">
      <c r="A1808" s="7"/>
      <c r="B1808"/>
      <c r="C1808"/>
      <c r="K1808" s="1"/>
      <c r="M1808"/>
    </row>
    <row r="1809" spans="1:13" x14ac:dyDescent="0.2">
      <c r="A1809" s="7"/>
      <c r="B1809"/>
      <c r="C1809"/>
      <c r="K1809" s="1"/>
      <c r="M1809"/>
    </row>
    <row r="1810" spans="1:13" x14ac:dyDescent="0.2">
      <c r="A1810" s="7"/>
      <c r="B1810"/>
      <c r="C1810"/>
      <c r="K1810" s="1"/>
      <c r="M1810"/>
    </row>
    <row r="1811" spans="1:13" x14ac:dyDescent="0.2">
      <c r="A1811" s="7"/>
      <c r="B1811"/>
      <c r="C1811"/>
      <c r="K1811" s="1"/>
      <c r="M1811"/>
    </row>
    <row r="1812" spans="1:13" x14ac:dyDescent="0.2">
      <c r="A1812" s="7"/>
      <c r="B1812"/>
      <c r="C1812"/>
      <c r="K1812" s="1"/>
      <c r="M1812"/>
    </row>
    <row r="1813" spans="1:13" x14ac:dyDescent="0.2">
      <c r="A1813" s="7"/>
      <c r="B1813"/>
      <c r="C1813"/>
      <c r="K1813" s="1"/>
      <c r="M1813"/>
    </row>
    <row r="1814" spans="1:13" x14ac:dyDescent="0.2">
      <c r="A1814" s="7"/>
      <c r="B1814"/>
      <c r="C1814"/>
      <c r="K1814" s="1"/>
      <c r="M1814"/>
    </row>
    <row r="1815" spans="1:13" x14ac:dyDescent="0.2">
      <c r="A1815" s="7"/>
      <c r="B1815"/>
      <c r="C1815"/>
      <c r="K1815" s="1"/>
      <c r="M1815"/>
    </row>
    <row r="1816" spans="1:13" x14ac:dyDescent="0.2">
      <c r="A1816" s="7"/>
      <c r="B1816"/>
      <c r="C1816"/>
      <c r="K1816" s="1"/>
      <c r="M1816"/>
    </row>
    <row r="1817" spans="1:13" x14ac:dyDescent="0.2">
      <c r="A1817" s="7"/>
      <c r="B1817"/>
      <c r="C1817"/>
      <c r="K1817" s="1"/>
      <c r="M1817"/>
    </row>
    <row r="1818" spans="1:13" x14ac:dyDescent="0.2">
      <c r="A1818" s="7"/>
      <c r="B1818"/>
      <c r="C1818"/>
      <c r="K1818" s="1"/>
      <c r="M1818"/>
    </row>
    <row r="1819" spans="1:13" x14ac:dyDescent="0.2">
      <c r="A1819" s="7"/>
      <c r="B1819"/>
      <c r="C1819"/>
      <c r="K1819" s="1"/>
      <c r="M1819"/>
    </row>
    <row r="1820" spans="1:13" x14ac:dyDescent="0.2">
      <c r="A1820" s="7"/>
      <c r="B1820"/>
      <c r="C1820"/>
      <c r="K1820" s="1"/>
      <c r="M1820"/>
    </row>
    <row r="1821" spans="1:13" x14ac:dyDescent="0.2">
      <c r="A1821" s="7"/>
      <c r="B1821"/>
      <c r="C1821"/>
      <c r="K1821" s="1"/>
      <c r="M1821"/>
    </row>
    <row r="1822" spans="1:13" x14ac:dyDescent="0.2">
      <c r="A1822" s="7"/>
      <c r="B1822"/>
      <c r="C1822"/>
      <c r="K1822" s="1"/>
      <c r="M1822"/>
    </row>
    <row r="1823" spans="1:13" x14ac:dyDescent="0.2">
      <c r="A1823" s="7"/>
      <c r="B1823"/>
      <c r="C1823"/>
      <c r="K1823" s="1"/>
      <c r="M1823"/>
    </row>
    <row r="1824" spans="1:13" x14ac:dyDescent="0.2">
      <c r="A1824" s="7"/>
      <c r="B1824"/>
      <c r="C1824"/>
      <c r="K1824" s="1"/>
      <c r="M1824"/>
    </row>
    <row r="1825" spans="1:13" x14ac:dyDescent="0.2">
      <c r="A1825" s="7"/>
      <c r="B1825"/>
      <c r="C1825"/>
      <c r="K1825" s="1"/>
      <c r="M1825"/>
    </row>
    <row r="1826" spans="1:13" x14ac:dyDescent="0.2">
      <c r="A1826" s="7"/>
      <c r="B1826"/>
      <c r="C1826"/>
      <c r="K1826" s="1"/>
      <c r="M1826"/>
    </row>
    <row r="1827" spans="1:13" x14ac:dyDescent="0.2">
      <c r="A1827" s="7"/>
      <c r="B1827"/>
      <c r="C1827"/>
      <c r="K1827" s="1"/>
      <c r="M1827"/>
    </row>
    <row r="1828" spans="1:13" x14ac:dyDescent="0.2">
      <c r="A1828" s="7"/>
      <c r="B1828"/>
      <c r="C1828"/>
      <c r="K1828" s="1"/>
      <c r="M1828"/>
    </row>
    <row r="1829" spans="1:13" x14ac:dyDescent="0.2">
      <c r="A1829" s="7"/>
      <c r="B1829"/>
      <c r="C1829"/>
      <c r="K1829" s="1"/>
      <c r="M1829"/>
    </row>
    <row r="1830" spans="1:13" x14ac:dyDescent="0.2">
      <c r="A1830" s="7"/>
      <c r="B1830"/>
      <c r="C1830"/>
      <c r="K1830" s="1"/>
      <c r="M1830"/>
    </row>
    <row r="1831" spans="1:13" x14ac:dyDescent="0.2">
      <c r="A1831" s="7"/>
      <c r="B1831"/>
      <c r="C1831"/>
      <c r="K1831" s="1"/>
      <c r="M1831"/>
    </row>
    <row r="1832" spans="1:13" x14ac:dyDescent="0.2">
      <c r="A1832" s="7"/>
      <c r="B1832"/>
      <c r="C1832"/>
      <c r="K1832" s="1"/>
      <c r="M1832"/>
    </row>
    <row r="1833" spans="1:13" x14ac:dyDescent="0.2">
      <c r="A1833" s="7"/>
      <c r="B1833"/>
      <c r="C1833"/>
      <c r="K1833" s="1"/>
      <c r="M1833"/>
    </row>
    <row r="1834" spans="1:13" x14ac:dyDescent="0.2">
      <c r="A1834" s="7"/>
      <c r="B1834"/>
      <c r="C1834"/>
      <c r="K1834" s="1"/>
      <c r="M1834"/>
    </row>
    <row r="1835" spans="1:13" x14ac:dyDescent="0.2">
      <c r="A1835" s="7"/>
      <c r="B1835"/>
      <c r="C1835"/>
      <c r="K1835" s="1"/>
      <c r="M1835"/>
    </row>
    <row r="1836" spans="1:13" x14ac:dyDescent="0.2">
      <c r="A1836" s="7"/>
      <c r="B1836"/>
      <c r="C1836"/>
      <c r="K1836" s="1"/>
      <c r="M1836"/>
    </row>
    <row r="1837" spans="1:13" x14ac:dyDescent="0.2">
      <c r="A1837" s="7"/>
      <c r="B1837"/>
      <c r="C1837"/>
      <c r="K1837" s="1"/>
      <c r="M1837"/>
    </row>
    <row r="1838" spans="1:13" x14ac:dyDescent="0.2">
      <c r="A1838" s="7"/>
      <c r="B1838"/>
      <c r="C1838"/>
      <c r="K1838" s="1"/>
      <c r="M1838"/>
    </row>
    <row r="1839" spans="1:13" x14ac:dyDescent="0.2">
      <c r="A1839" s="7"/>
      <c r="B1839"/>
      <c r="C1839"/>
      <c r="K1839" s="1"/>
      <c r="M1839"/>
    </row>
    <row r="1840" spans="1:13" x14ac:dyDescent="0.2">
      <c r="A1840" s="7"/>
      <c r="B1840"/>
      <c r="C1840"/>
      <c r="K1840" s="1"/>
      <c r="M1840"/>
    </row>
    <row r="1841" spans="1:13" x14ac:dyDescent="0.2">
      <c r="A1841" s="7"/>
      <c r="B1841"/>
      <c r="C1841"/>
      <c r="K1841" s="1"/>
      <c r="M1841"/>
    </row>
    <row r="1842" spans="1:13" x14ac:dyDescent="0.2">
      <c r="A1842" s="7"/>
      <c r="B1842"/>
      <c r="C1842"/>
      <c r="K1842" s="1"/>
      <c r="M1842"/>
    </row>
    <row r="1843" spans="1:13" x14ac:dyDescent="0.2">
      <c r="A1843" s="7"/>
      <c r="B1843"/>
      <c r="C1843"/>
      <c r="K1843" s="1"/>
      <c r="M1843"/>
    </row>
    <row r="1844" spans="1:13" x14ac:dyDescent="0.2">
      <c r="A1844" s="7"/>
      <c r="B1844"/>
      <c r="C1844"/>
      <c r="K1844" s="1"/>
      <c r="M1844"/>
    </row>
    <row r="1845" spans="1:13" x14ac:dyDescent="0.2">
      <c r="A1845" s="7"/>
      <c r="B1845"/>
      <c r="C1845"/>
      <c r="K1845" s="1"/>
      <c r="M1845"/>
    </row>
    <row r="1846" spans="1:13" x14ac:dyDescent="0.2">
      <c r="A1846" s="7"/>
      <c r="B1846"/>
      <c r="C1846"/>
      <c r="K1846" s="1"/>
      <c r="M1846"/>
    </row>
    <row r="1847" spans="1:13" x14ac:dyDescent="0.2">
      <c r="A1847" s="7"/>
      <c r="B1847"/>
      <c r="C1847"/>
      <c r="K1847" s="1"/>
      <c r="M1847"/>
    </row>
    <row r="1848" spans="1:13" x14ac:dyDescent="0.2">
      <c r="A1848" s="7"/>
      <c r="B1848"/>
      <c r="C1848"/>
      <c r="K1848" s="1"/>
      <c r="M1848"/>
    </row>
    <row r="1849" spans="1:13" x14ac:dyDescent="0.2">
      <c r="A1849" s="7"/>
      <c r="B1849"/>
      <c r="C1849"/>
      <c r="K1849" s="1"/>
      <c r="M1849"/>
    </row>
    <row r="1850" spans="1:13" x14ac:dyDescent="0.2">
      <c r="A1850" s="7"/>
      <c r="B1850"/>
      <c r="C1850"/>
      <c r="K1850" s="1"/>
      <c r="M1850"/>
    </row>
    <row r="1851" spans="1:13" x14ac:dyDescent="0.2">
      <c r="A1851" s="7"/>
      <c r="B1851"/>
      <c r="C1851"/>
      <c r="K1851" s="1"/>
      <c r="M1851"/>
    </row>
    <row r="1852" spans="1:13" x14ac:dyDescent="0.2">
      <c r="A1852" s="7"/>
      <c r="B1852"/>
      <c r="C1852"/>
      <c r="K1852" s="1"/>
      <c r="M1852"/>
    </row>
    <row r="1853" spans="1:13" x14ac:dyDescent="0.2">
      <c r="A1853" s="7"/>
      <c r="B1853"/>
      <c r="C1853"/>
      <c r="K1853" s="1"/>
      <c r="M1853"/>
    </row>
    <row r="1854" spans="1:13" x14ac:dyDescent="0.2">
      <c r="A1854" s="7"/>
      <c r="B1854"/>
      <c r="C1854"/>
      <c r="K1854" s="1"/>
      <c r="M1854"/>
    </row>
    <row r="1855" spans="1:13" x14ac:dyDescent="0.2">
      <c r="A1855" s="7"/>
      <c r="B1855"/>
      <c r="C1855"/>
      <c r="K1855" s="1"/>
      <c r="M1855"/>
    </row>
    <row r="1856" spans="1:13" x14ac:dyDescent="0.2">
      <c r="A1856" s="7"/>
      <c r="B1856"/>
      <c r="C1856"/>
      <c r="K1856" s="1"/>
      <c r="M1856"/>
    </row>
    <row r="1857" spans="1:13" x14ac:dyDescent="0.2">
      <c r="A1857" s="7"/>
      <c r="B1857"/>
      <c r="C1857"/>
      <c r="K1857" s="1"/>
      <c r="M1857"/>
    </row>
    <row r="1858" spans="1:13" x14ac:dyDescent="0.2">
      <c r="A1858" s="7"/>
      <c r="B1858"/>
      <c r="C1858"/>
      <c r="K1858" s="1"/>
      <c r="M1858"/>
    </row>
    <row r="1859" spans="1:13" x14ac:dyDescent="0.2">
      <c r="A1859" s="7"/>
      <c r="B1859"/>
      <c r="C1859"/>
      <c r="K1859" s="1"/>
      <c r="M1859"/>
    </row>
    <row r="1860" spans="1:13" x14ac:dyDescent="0.2">
      <c r="A1860" s="7"/>
      <c r="B1860"/>
      <c r="C1860"/>
      <c r="K1860" s="1"/>
      <c r="M1860"/>
    </row>
    <row r="1861" spans="1:13" x14ac:dyDescent="0.2">
      <c r="A1861" s="7"/>
      <c r="B1861"/>
      <c r="C1861"/>
      <c r="K1861" s="1"/>
      <c r="M1861"/>
    </row>
    <row r="1862" spans="1:13" x14ac:dyDescent="0.2">
      <c r="A1862" s="7"/>
      <c r="B1862"/>
      <c r="C1862"/>
      <c r="K1862" s="1"/>
      <c r="M1862"/>
    </row>
    <row r="1863" spans="1:13" x14ac:dyDescent="0.2">
      <c r="A1863" s="7"/>
      <c r="B1863"/>
      <c r="C1863"/>
      <c r="K1863" s="1"/>
      <c r="M1863"/>
    </row>
    <row r="1864" spans="1:13" x14ac:dyDescent="0.2">
      <c r="A1864" s="7"/>
      <c r="B1864"/>
      <c r="C1864"/>
      <c r="K1864" s="1"/>
      <c r="M1864"/>
    </row>
    <row r="1865" spans="1:13" x14ac:dyDescent="0.2">
      <c r="A1865" s="7"/>
      <c r="B1865"/>
      <c r="C1865"/>
      <c r="K1865" s="1"/>
      <c r="M1865"/>
    </row>
    <row r="1866" spans="1:13" x14ac:dyDescent="0.2">
      <c r="A1866" s="7"/>
      <c r="B1866"/>
      <c r="C1866"/>
      <c r="K1866" s="1"/>
      <c r="M1866"/>
    </row>
    <row r="1867" spans="1:13" x14ac:dyDescent="0.2">
      <c r="A1867" s="7"/>
      <c r="B1867"/>
      <c r="C1867"/>
      <c r="K1867" s="1"/>
      <c r="M1867"/>
    </row>
    <row r="1868" spans="1:13" x14ac:dyDescent="0.2">
      <c r="A1868" s="7"/>
      <c r="B1868"/>
      <c r="C1868"/>
      <c r="K1868" s="1"/>
      <c r="M1868"/>
    </row>
    <row r="1869" spans="1:13" x14ac:dyDescent="0.2">
      <c r="A1869" s="7"/>
      <c r="B1869"/>
      <c r="C1869"/>
      <c r="K1869" s="1"/>
      <c r="M1869"/>
    </row>
    <row r="1870" spans="1:13" x14ac:dyDescent="0.2">
      <c r="A1870" s="7"/>
      <c r="B1870"/>
      <c r="C1870"/>
      <c r="K1870" s="1"/>
      <c r="M1870"/>
    </row>
    <row r="1871" spans="1:13" x14ac:dyDescent="0.2">
      <c r="A1871" s="7"/>
      <c r="B1871"/>
      <c r="C1871"/>
      <c r="K1871" s="1"/>
      <c r="M1871"/>
    </row>
    <row r="1872" spans="1:13" x14ac:dyDescent="0.2">
      <c r="A1872" s="7"/>
      <c r="B1872"/>
      <c r="C1872"/>
      <c r="K1872" s="1"/>
      <c r="M1872"/>
    </row>
    <row r="1873" spans="1:13" x14ac:dyDescent="0.2">
      <c r="A1873" s="7"/>
      <c r="B1873"/>
      <c r="C1873"/>
      <c r="K1873" s="1"/>
      <c r="M1873"/>
    </row>
    <row r="1874" spans="1:13" x14ac:dyDescent="0.2">
      <c r="A1874" s="7"/>
      <c r="B1874"/>
      <c r="C1874"/>
      <c r="K1874" s="1"/>
      <c r="M1874"/>
    </row>
    <row r="1875" spans="1:13" x14ac:dyDescent="0.2">
      <c r="A1875" s="7"/>
      <c r="B1875"/>
      <c r="C1875"/>
      <c r="K1875" s="1"/>
      <c r="M1875"/>
    </row>
    <row r="1876" spans="1:13" x14ac:dyDescent="0.2">
      <c r="A1876" s="7"/>
      <c r="B1876"/>
      <c r="C1876"/>
      <c r="K1876" s="1"/>
      <c r="M1876"/>
    </row>
    <row r="1877" spans="1:13" x14ac:dyDescent="0.2">
      <c r="A1877" s="7"/>
      <c r="B1877"/>
      <c r="C1877"/>
      <c r="K1877" s="1"/>
      <c r="M1877"/>
    </row>
    <row r="1878" spans="1:13" x14ac:dyDescent="0.2">
      <c r="A1878" s="7"/>
      <c r="B1878"/>
      <c r="C1878"/>
      <c r="K1878" s="1"/>
      <c r="M1878"/>
    </row>
    <row r="1879" spans="1:13" x14ac:dyDescent="0.2">
      <c r="A1879" s="7"/>
      <c r="B1879"/>
      <c r="C1879"/>
      <c r="K1879" s="1"/>
      <c r="M1879"/>
    </row>
    <row r="1880" spans="1:13" x14ac:dyDescent="0.2">
      <c r="A1880" s="7"/>
      <c r="B1880"/>
      <c r="C1880"/>
      <c r="K1880" s="1"/>
      <c r="M1880"/>
    </row>
    <row r="1881" spans="1:13" x14ac:dyDescent="0.2">
      <c r="A1881" s="7"/>
      <c r="B1881"/>
      <c r="C1881"/>
      <c r="K1881" s="1"/>
      <c r="M1881"/>
    </row>
    <row r="1882" spans="1:13" x14ac:dyDescent="0.2">
      <c r="A1882" s="7"/>
      <c r="B1882"/>
      <c r="C1882"/>
      <c r="K1882" s="1"/>
      <c r="M1882"/>
    </row>
    <row r="1883" spans="1:13" x14ac:dyDescent="0.2">
      <c r="A1883" s="7"/>
      <c r="B1883"/>
      <c r="C1883"/>
      <c r="K1883" s="1"/>
      <c r="M1883"/>
    </row>
    <row r="1884" spans="1:13" x14ac:dyDescent="0.2">
      <c r="A1884" s="7"/>
      <c r="B1884"/>
      <c r="C1884"/>
      <c r="K1884" s="1"/>
      <c r="M1884"/>
    </row>
    <row r="1885" spans="1:13" x14ac:dyDescent="0.2">
      <c r="A1885" s="7"/>
      <c r="B1885"/>
      <c r="C1885"/>
      <c r="K1885" s="1"/>
      <c r="M1885"/>
    </row>
    <row r="1886" spans="1:13" x14ac:dyDescent="0.2">
      <c r="A1886" s="7"/>
      <c r="B1886"/>
      <c r="C1886"/>
      <c r="K1886" s="1"/>
      <c r="M1886"/>
    </row>
    <row r="1887" spans="1:13" x14ac:dyDescent="0.2">
      <c r="A1887" s="7"/>
      <c r="B1887"/>
      <c r="C1887"/>
      <c r="K1887" s="1"/>
      <c r="M1887"/>
    </row>
    <row r="1888" spans="1:13" x14ac:dyDescent="0.2">
      <c r="A1888" s="7"/>
      <c r="B1888"/>
      <c r="C1888"/>
      <c r="K1888" s="1"/>
      <c r="M1888"/>
    </row>
    <row r="1889" spans="1:13" x14ac:dyDescent="0.2">
      <c r="A1889" s="7"/>
      <c r="B1889"/>
      <c r="C1889"/>
      <c r="K1889" s="1"/>
      <c r="M1889"/>
    </row>
    <row r="1890" spans="1:13" x14ac:dyDescent="0.2">
      <c r="A1890" s="7"/>
      <c r="B1890"/>
      <c r="C1890"/>
      <c r="K1890" s="1"/>
      <c r="M1890"/>
    </row>
    <row r="1891" spans="1:13" x14ac:dyDescent="0.2">
      <c r="A1891" s="7"/>
      <c r="B1891"/>
      <c r="C1891"/>
      <c r="K1891" s="1"/>
      <c r="M1891"/>
    </row>
    <row r="1892" spans="1:13" x14ac:dyDescent="0.2">
      <c r="A1892" s="7"/>
      <c r="B1892"/>
      <c r="C1892"/>
      <c r="K1892" s="1"/>
      <c r="M1892"/>
    </row>
    <row r="1893" spans="1:13" x14ac:dyDescent="0.2">
      <c r="A1893" s="7"/>
      <c r="B1893"/>
      <c r="C1893"/>
      <c r="K1893" s="1"/>
      <c r="M1893"/>
    </row>
    <row r="1894" spans="1:13" x14ac:dyDescent="0.2">
      <c r="A1894" s="7"/>
      <c r="B1894"/>
      <c r="C1894"/>
      <c r="K1894" s="1"/>
      <c r="M1894"/>
    </row>
    <row r="1895" spans="1:13" x14ac:dyDescent="0.2">
      <c r="A1895" s="7"/>
      <c r="B1895"/>
      <c r="C1895"/>
      <c r="K1895" s="1"/>
      <c r="M1895"/>
    </row>
    <row r="1896" spans="1:13" x14ac:dyDescent="0.2">
      <c r="A1896" s="7"/>
      <c r="B1896"/>
      <c r="C1896"/>
      <c r="K1896" s="1"/>
      <c r="M1896"/>
    </row>
    <row r="1897" spans="1:13" x14ac:dyDescent="0.2">
      <c r="A1897" s="7"/>
      <c r="B1897"/>
      <c r="C1897"/>
      <c r="K1897" s="1"/>
      <c r="M1897"/>
    </row>
    <row r="1898" spans="1:13" x14ac:dyDescent="0.2">
      <c r="A1898" s="7"/>
      <c r="B1898"/>
      <c r="C1898"/>
      <c r="K1898" s="1"/>
      <c r="M1898"/>
    </row>
    <row r="1899" spans="1:13" x14ac:dyDescent="0.2">
      <c r="A1899" s="7"/>
      <c r="B1899"/>
      <c r="C1899"/>
      <c r="K1899" s="1"/>
      <c r="M1899"/>
    </row>
    <row r="1900" spans="1:13" x14ac:dyDescent="0.2">
      <c r="A1900" s="7"/>
      <c r="B1900"/>
      <c r="C1900"/>
      <c r="K1900" s="1"/>
      <c r="M1900"/>
    </row>
    <row r="1901" spans="1:13" x14ac:dyDescent="0.2">
      <c r="A1901" s="7"/>
      <c r="B1901"/>
      <c r="C1901"/>
      <c r="K1901" s="1"/>
      <c r="M1901"/>
    </row>
    <row r="1902" spans="1:13" x14ac:dyDescent="0.2">
      <c r="A1902" s="7"/>
      <c r="B1902"/>
      <c r="C1902"/>
      <c r="K1902" s="1"/>
      <c r="M1902"/>
    </row>
    <row r="1903" spans="1:13" x14ac:dyDescent="0.2">
      <c r="A1903" s="7"/>
      <c r="B1903"/>
      <c r="C1903"/>
      <c r="K1903" s="1"/>
      <c r="M1903"/>
    </row>
    <row r="1904" spans="1:13" x14ac:dyDescent="0.2">
      <c r="A1904" s="7"/>
      <c r="B1904"/>
      <c r="C1904"/>
      <c r="K1904" s="1"/>
      <c r="M1904"/>
    </row>
    <row r="1905" spans="1:13" x14ac:dyDescent="0.2">
      <c r="A1905" s="7"/>
      <c r="B1905"/>
      <c r="C1905"/>
      <c r="K1905" s="1"/>
      <c r="M1905"/>
    </row>
    <row r="1906" spans="1:13" x14ac:dyDescent="0.2">
      <c r="A1906" s="7"/>
      <c r="B1906"/>
      <c r="C1906"/>
      <c r="K1906" s="1"/>
      <c r="M1906"/>
    </row>
    <row r="1907" spans="1:13" x14ac:dyDescent="0.2">
      <c r="A1907" s="7"/>
      <c r="B1907"/>
      <c r="C1907"/>
      <c r="K1907" s="1"/>
      <c r="M1907"/>
    </row>
    <row r="1908" spans="1:13" x14ac:dyDescent="0.2">
      <c r="A1908" s="7"/>
      <c r="B1908"/>
      <c r="C1908"/>
      <c r="K1908" s="1"/>
      <c r="M1908"/>
    </row>
    <row r="1909" spans="1:13" x14ac:dyDescent="0.2">
      <c r="A1909" s="7"/>
      <c r="B1909"/>
      <c r="C1909"/>
      <c r="K1909" s="1"/>
      <c r="M1909"/>
    </row>
    <row r="1910" spans="1:13" x14ac:dyDescent="0.2">
      <c r="A1910" s="7"/>
      <c r="B1910"/>
      <c r="C1910"/>
      <c r="K1910" s="1"/>
      <c r="M1910"/>
    </row>
    <row r="1911" spans="1:13" x14ac:dyDescent="0.2">
      <c r="A1911" s="7"/>
      <c r="B1911"/>
      <c r="C1911"/>
      <c r="K1911" s="1"/>
      <c r="M1911"/>
    </row>
    <row r="1912" spans="1:13" x14ac:dyDescent="0.2">
      <c r="A1912" s="7"/>
      <c r="B1912"/>
      <c r="C1912"/>
      <c r="K1912" s="1"/>
      <c r="M1912"/>
    </row>
    <row r="1913" spans="1:13" x14ac:dyDescent="0.2">
      <c r="A1913" s="7"/>
      <c r="B1913"/>
      <c r="C1913"/>
      <c r="K1913" s="1"/>
      <c r="M1913"/>
    </row>
    <row r="1914" spans="1:13" x14ac:dyDescent="0.2">
      <c r="A1914" s="7"/>
      <c r="B1914"/>
      <c r="C1914"/>
      <c r="K1914" s="1"/>
      <c r="M1914"/>
    </row>
    <row r="1915" spans="1:13" x14ac:dyDescent="0.2">
      <c r="A1915" s="7"/>
      <c r="B1915"/>
      <c r="C1915"/>
      <c r="K1915" s="1"/>
      <c r="M1915"/>
    </row>
    <row r="1916" spans="1:13" x14ac:dyDescent="0.2">
      <c r="A1916" s="7"/>
      <c r="B1916"/>
      <c r="C1916"/>
      <c r="K1916" s="1"/>
      <c r="M1916"/>
    </row>
    <row r="1917" spans="1:13" x14ac:dyDescent="0.2">
      <c r="A1917" s="7"/>
      <c r="B1917"/>
      <c r="C1917"/>
      <c r="K1917" s="1"/>
      <c r="M1917"/>
    </row>
    <row r="1918" spans="1:13" x14ac:dyDescent="0.2">
      <c r="A1918" s="7"/>
      <c r="B1918"/>
      <c r="C1918"/>
      <c r="K1918" s="1"/>
      <c r="M1918"/>
    </row>
    <row r="1919" spans="1:13" x14ac:dyDescent="0.2">
      <c r="A1919" s="7"/>
      <c r="B1919"/>
      <c r="C1919"/>
      <c r="K1919" s="1"/>
      <c r="M1919"/>
    </row>
    <row r="1920" spans="1:13" x14ac:dyDescent="0.2">
      <c r="A1920" s="7"/>
      <c r="B1920"/>
      <c r="C1920"/>
      <c r="K1920" s="1"/>
      <c r="M1920"/>
    </row>
    <row r="1921" spans="1:13" x14ac:dyDescent="0.2">
      <c r="A1921" s="7"/>
      <c r="B1921"/>
      <c r="C1921"/>
      <c r="K1921" s="1"/>
      <c r="M1921"/>
    </row>
    <row r="1922" spans="1:13" x14ac:dyDescent="0.2">
      <c r="A1922" s="7"/>
      <c r="B1922"/>
      <c r="C1922"/>
      <c r="K1922" s="1"/>
      <c r="M1922"/>
    </row>
    <row r="1923" spans="1:13" x14ac:dyDescent="0.2">
      <c r="A1923" s="7"/>
      <c r="B1923"/>
      <c r="C1923"/>
      <c r="K1923" s="1"/>
      <c r="M1923"/>
    </row>
    <row r="1924" spans="1:13" x14ac:dyDescent="0.2">
      <c r="A1924" s="7"/>
      <c r="B1924"/>
      <c r="C1924"/>
      <c r="K1924" s="1"/>
      <c r="M1924"/>
    </row>
    <row r="1925" spans="1:13" x14ac:dyDescent="0.2">
      <c r="A1925" s="7"/>
      <c r="B1925"/>
      <c r="C1925"/>
      <c r="K1925" s="1"/>
      <c r="M1925"/>
    </row>
    <row r="1926" spans="1:13" x14ac:dyDescent="0.2">
      <c r="A1926" s="7"/>
      <c r="B1926"/>
      <c r="C1926"/>
      <c r="K1926" s="1"/>
      <c r="M1926"/>
    </row>
    <row r="1927" spans="1:13" x14ac:dyDescent="0.2">
      <c r="A1927" s="7"/>
      <c r="B1927"/>
      <c r="C1927"/>
      <c r="K1927" s="1"/>
      <c r="M1927"/>
    </row>
    <row r="1928" spans="1:13" x14ac:dyDescent="0.2">
      <c r="A1928" s="7"/>
      <c r="B1928"/>
      <c r="C1928"/>
      <c r="K1928" s="1"/>
      <c r="M1928"/>
    </row>
    <row r="1929" spans="1:13" x14ac:dyDescent="0.2">
      <c r="A1929" s="7"/>
      <c r="B1929"/>
      <c r="C1929"/>
      <c r="K1929" s="1"/>
      <c r="M1929"/>
    </row>
    <row r="1930" spans="1:13" x14ac:dyDescent="0.2">
      <c r="A1930" s="7"/>
      <c r="B1930"/>
      <c r="C1930"/>
      <c r="K1930" s="1"/>
      <c r="M1930"/>
    </row>
    <row r="1931" spans="1:13" x14ac:dyDescent="0.2">
      <c r="A1931" s="7"/>
      <c r="B1931"/>
      <c r="C1931"/>
      <c r="K1931" s="1"/>
      <c r="M1931"/>
    </row>
    <row r="1932" spans="1:13" x14ac:dyDescent="0.2">
      <c r="A1932" s="7"/>
      <c r="B1932"/>
      <c r="C1932"/>
      <c r="K1932" s="1"/>
      <c r="M1932"/>
    </row>
    <row r="1933" spans="1:13" x14ac:dyDescent="0.2">
      <c r="A1933" s="7"/>
      <c r="B1933"/>
      <c r="C1933"/>
      <c r="K1933" s="1"/>
      <c r="M1933"/>
    </row>
    <row r="1934" spans="1:13" x14ac:dyDescent="0.2">
      <c r="A1934" s="7"/>
      <c r="B1934"/>
      <c r="C1934"/>
      <c r="K1934" s="1"/>
      <c r="M1934"/>
    </row>
    <row r="1935" spans="1:13" x14ac:dyDescent="0.2">
      <c r="A1935" s="7"/>
      <c r="B1935"/>
      <c r="C1935"/>
      <c r="K1935" s="1"/>
      <c r="M1935"/>
    </row>
    <row r="1936" spans="1:13" x14ac:dyDescent="0.2">
      <c r="A1936" s="7"/>
      <c r="B1936"/>
      <c r="C1936"/>
      <c r="K1936" s="1"/>
      <c r="M1936"/>
    </row>
    <row r="1937" spans="1:13" x14ac:dyDescent="0.2">
      <c r="A1937" s="7"/>
      <c r="B1937"/>
      <c r="C1937"/>
      <c r="K1937" s="1"/>
      <c r="M1937"/>
    </row>
    <row r="1938" spans="1:13" x14ac:dyDescent="0.2">
      <c r="A1938" s="7"/>
      <c r="B1938"/>
      <c r="C1938"/>
      <c r="K1938" s="1"/>
      <c r="M1938"/>
    </row>
    <row r="1939" spans="1:13" x14ac:dyDescent="0.2">
      <c r="A1939" s="7"/>
      <c r="B1939"/>
      <c r="C1939"/>
      <c r="K1939" s="1"/>
      <c r="M1939"/>
    </row>
    <row r="1940" spans="1:13" x14ac:dyDescent="0.2">
      <c r="A1940" s="7"/>
      <c r="B1940"/>
      <c r="C1940"/>
      <c r="K1940" s="1"/>
      <c r="M1940"/>
    </row>
    <row r="1941" spans="1:13" x14ac:dyDescent="0.2">
      <c r="A1941" s="7"/>
      <c r="B1941"/>
      <c r="C1941"/>
      <c r="K1941" s="1"/>
      <c r="M1941"/>
    </row>
    <row r="1942" spans="1:13" x14ac:dyDescent="0.2">
      <c r="A1942" s="7"/>
      <c r="B1942"/>
      <c r="C1942"/>
      <c r="K1942" s="1"/>
      <c r="M1942"/>
    </row>
    <row r="1943" spans="1:13" x14ac:dyDescent="0.2">
      <c r="A1943" s="7"/>
      <c r="B1943"/>
      <c r="C1943"/>
      <c r="K1943" s="1"/>
      <c r="M1943"/>
    </row>
    <row r="1944" spans="1:13" x14ac:dyDescent="0.2">
      <c r="A1944" s="7"/>
      <c r="B1944"/>
      <c r="C1944"/>
      <c r="K1944" s="1"/>
      <c r="M1944"/>
    </row>
    <row r="1945" spans="1:13" x14ac:dyDescent="0.2">
      <c r="A1945" s="7"/>
      <c r="B1945"/>
      <c r="C1945"/>
      <c r="K1945" s="1"/>
      <c r="M1945"/>
    </row>
    <row r="1946" spans="1:13" x14ac:dyDescent="0.2">
      <c r="A1946" s="7"/>
      <c r="B1946"/>
      <c r="C1946"/>
      <c r="K1946" s="1"/>
      <c r="M1946"/>
    </row>
    <row r="1947" spans="1:13" x14ac:dyDescent="0.2">
      <c r="A1947" s="7"/>
      <c r="B1947"/>
      <c r="C1947"/>
      <c r="K1947" s="1"/>
      <c r="M1947"/>
    </row>
    <row r="1948" spans="1:13" x14ac:dyDescent="0.2">
      <c r="A1948" s="7"/>
      <c r="B1948"/>
      <c r="C1948"/>
      <c r="K1948" s="1"/>
      <c r="M1948"/>
    </row>
    <row r="1949" spans="1:13" x14ac:dyDescent="0.2">
      <c r="A1949" s="7"/>
      <c r="B1949"/>
      <c r="C1949"/>
      <c r="K1949" s="1"/>
      <c r="M1949"/>
    </row>
    <row r="1950" spans="1:13" x14ac:dyDescent="0.2">
      <c r="A1950" s="7"/>
      <c r="B1950"/>
      <c r="C1950"/>
      <c r="K1950" s="1"/>
      <c r="M1950"/>
    </row>
    <row r="1951" spans="1:13" x14ac:dyDescent="0.2">
      <c r="A1951" s="7"/>
      <c r="B1951"/>
      <c r="C1951"/>
      <c r="K1951" s="1"/>
      <c r="M1951"/>
    </row>
    <row r="1952" spans="1:13" x14ac:dyDescent="0.2">
      <c r="A1952" s="7"/>
      <c r="B1952"/>
      <c r="C1952"/>
      <c r="K1952" s="1"/>
      <c r="M1952"/>
    </row>
    <row r="1953" spans="1:13" x14ac:dyDescent="0.2">
      <c r="A1953" s="7"/>
      <c r="B1953"/>
      <c r="C1953"/>
      <c r="K1953" s="1"/>
      <c r="M1953"/>
    </row>
    <row r="1954" spans="1:13" x14ac:dyDescent="0.2">
      <c r="A1954" s="7"/>
      <c r="B1954"/>
      <c r="C1954"/>
      <c r="K1954" s="1"/>
      <c r="M1954"/>
    </row>
    <row r="1955" spans="1:13" x14ac:dyDescent="0.2">
      <c r="A1955" s="7"/>
      <c r="B1955"/>
      <c r="C1955"/>
      <c r="K1955" s="1"/>
      <c r="M1955"/>
    </row>
    <row r="1956" spans="1:13" x14ac:dyDescent="0.2">
      <c r="A1956" s="7"/>
      <c r="B1956"/>
      <c r="C1956"/>
      <c r="K1956" s="1"/>
      <c r="M1956"/>
    </row>
    <row r="1957" spans="1:13" x14ac:dyDescent="0.2">
      <c r="A1957" s="7"/>
      <c r="B1957"/>
      <c r="C1957"/>
      <c r="K1957" s="1"/>
      <c r="M1957"/>
    </row>
    <row r="1958" spans="1:13" x14ac:dyDescent="0.2">
      <c r="A1958" s="7"/>
      <c r="B1958"/>
      <c r="C1958"/>
      <c r="K1958" s="1"/>
      <c r="M1958"/>
    </row>
    <row r="1959" spans="1:13" x14ac:dyDescent="0.2">
      <c r="A1959" s="7"/>
      <c r="B1959"/>
      <c r="C1959"/>
      <c r="K1959" s="1"/>
      <c r="M1959"/>
    </row>
    <row r="1960" spans="1:13" x14ac:dyDescent="0.2">
      <c r="A1960" s="7"/>
      <c r="B1960"/>
      <c r="C1960"/>
      <c r="K1960" s="1"/>
      <c r="M1960"/>
    </row>
    <row r="1961" spans="1:13" x14ac:dyDescent="0.2">
      <c r="A1961" s="7"/>
      <c r="B1961"/>
      <c r="C1961"/>
      <c r="K1961" s="1"/>
      <c r="M1961"/>
    </row>
    <row r="1962" spans="1:13" x14ac:dyDescent="0.2">
      <c r="A1962" s="7"/>
      <c r="B1962"/>
      <c r="C1962"/>
      <c r="K1962" s="1"/>
      <c r="M1962"/>
    </row>
    <row r="1963" spans="1:13" x14ac:dyDescent="0.2">
      <c r="A1963" s="7"/>
      <c r="B1963"/>
      <c r="C1963"/>
      <c r="K1963" s="1"/>
      <c r="M1963"/>
    </row>
    <row r="1964" spans="1:13" x14ac:dyDescent="0.2">
      <c r="A1964" s="7"/>
      <c r="B1964"/>
      <c r="C1964"/>
      <c r="K1964" s="1"/>
      <c r="M1964"/>
    </row>
    <row r="1965" spans="1:13" x14ac:dyDescent="0.2">
      <c r="A1965" s="7"/>
      <c r="B1965"/>
      <c r="C1965"/>
      <c r="K1965" s="1"/>
      <c r="M1965"/>
    </row>
    <row r="1966" spans="1:13" x14ac:dyDescent="0.2">
      <c r="A1966" s="7"/>
      <c r="B1966"/>
      <c r="C1966"/>
      <c r="K1966" s="1"/>
      <c r="M1966"/>
    </row>
    <row r="1967" spans="1:13" x14ac:dyDescent="0.2">
      <c r="A1967" s="7"/>
      <c r="B1967"/>
      <c r="C1967"/>
      <c r="K1967" s="1"/>
      <c r="M1967"/>
    </row>
    <row r="1968" spans="1:13" x14ac:dyDescent="0.2">
      <c r="A1968" s="7"/>
      <c r="B1968"/>
      <c r="C1968"/>
      <c r="K1968" s="1"/>
      <c r="M1968"/>
    </row>
    <row r="1969" spans="1:13" x14ac:dyDescent="0.2">
      <c r="A1969" s="7"/>
      <c r="B1969"/>
      <c r="C1969"/>
      <c r="K1969" s="1"/>
      <c r="M1969"/>
    </row>
    <row r="1970" spans="1:13" x14ac:dyDescent="0.2">
      <c r="A1970" s="7"/>
      <c r="B1970"/>
      <c r="C1970"/>
      <c r="K1970" s="1"/>
      <c r="M1970"/>
    </row>
    <row r="1971" spans="1:13" x14ac:dyDescent="0.2">
      <c r="A1971" s="7"/>
      <c r="B1971"/>
      <c r="C1971"/>
      <c r="K1971" s="1"/>
      <c r="M1971"/>
    </row>
    <row r="1972" spans="1:13" x14ac:dyDescent="0.2">
      <c r="A1972" s="7"/>
      <c r="B1972"/>
      <c r="C1972"/>
      <c r="K1972" s="1"/>
      <c r="M1972"/>
    </row>
    <row r="1973" spans="1:13" x14ac:dyDescent="0.2">
      <c r="A1973" s="7"/>
      <c r="B1973"/>
      <c r="C1973"/>
      <c r="K1973" s="1"/>
      <c r="M1973"/>
    </row>
    <row r="1974" spans="1:13" x14ac:dyDescent="0.2">
      <c r="A1974" s="7"/>
      <c r="B1974"/>
      <c r="C1974"/>
      <c r="K1974" s="1"/>
      <c r="M1974"/>
    </row>
    <row r="1975" spans="1:13" x14ac:dyDescent="0.2">
      <c r="A1975" s="7"/>
      <c r="B1975"/>
      <c r="C1975"/>
      <c r="K1975" s="1"/>
      <c r="M1975"/>
    </row>
    <row r="1976" spans="1:13" x14ac:dyDescent="0.2">
      <c r="A1976" s="7"/>
      <c r="B1976"/>
      <c r="C1976"/>
      <c r="K1976" s="1"/>
      <c r="M1976"/>
    </row>
    <row r="1977" spans="1:13" x14ac:dyDescent="0.2">
      <c r="A1977" s="7"/>
      <c r="B1977"/>
      <c r="C1977"/>
      <c r="K1977" s="1"/>
      <c r="M1977"/>
    </row>
    <row r="1978" spans="1:13" x14ac:dyDescent="0.2">
      <c r="A1978" s="7"/>
      <c r="B1978"/>
      <c r="C1978"/>
      <c r="K1978" s="1"/>
      <c r="M1978"/>
    </row>
    <row r="1979" spans="1:13" x14ac:dyDescent="0.2">
      <c r="A1979" s="7"/>
      <c r="B1979"/>
      <c r="C1979"/>
      <c r="K1979" s="1"/>
      <c r="M1979"/>
    </row>
    <row r="1980" spans="1:13" x14ac:dyDescent="0.2">
      <c r="A1980" s="7"/>
      <c r="B1980"/>
      <c r="C1980"/>
      <c r="K1980" s="1"/>
      <c r="M1980"/>
    </row>
    <row r="1981" spans="1:13" x14ac:dyDescent="0.2">
      <c r="A1981" s="7"/>
      <c r="B1981"/>
      <c r="C1981"/>
      <c r="K1981" s="1"/>
      <c r="M1981"/>
    </row>
    <row r="1982" spans="1:13" x14ac:dyDescent="0.2">
      <c r="A1982" s="7"/>
      <c r="B1982"/>
      <c r="C1982"/>
      <c r="K1982" s="1"/>
      <c r="M1982"/>
    </row>
    <row r="1983" spans="1:13" x14ac:dyDescent="0.2">
      <c r="A1983" s="7"/>
      <c r="B1983"/>
      <c r="C1983"/>
      <c r="K1983" s="1"/>
      <c r="M1983"/>
    </row>
    <row r="1984" spans="1:13" x14ac:dyDescent="0.2">
      <c r="A1984" s="7"/>
      <c r="B1984"/>
      <c r="C1984"/>
      <c r="K1984" s="1"/>
      <c r="M1984"/>
    </row>
    <row r="1985" spans="1:13" x14ac:dyDescent="0.2">
      <c r="A1985" s="7"/>
      <c r="B1985"/>
      <c r="C1985"/>
      <c r="K1985" s="1"/>
      <c r="M1985"/>
    </row>
    <row r="1986" spans="1:13" x14ac:dyDescent="0.2">
      <c r="A1986" s="7"/>
      <c r="B1986"/>
      <c r="C1986"/>
      <c r="K1986" s="1"/>
      <c r="M1986"/>
    </row>
    <row r="1987" spans="1:13" x14ac:dyDescent="0.2">
      <c r="A1987" s="7"/>
      <c r="B1987"/>
      <c r="C1987"/>
      <c r="K1987" s="1"/>
      <c r="M1987"/>
    </row>
    <row r="1988" spans="1:13" x14ac:dyDescent="0.2">
      <c r="A1988" s="7"/>
      <c r="B1988"/>
      <c r="C1988"/>
      <c r="K1988" s="1"/>
      <c r="M1988"/>
    </row>
    <row r="1989" spans="1:13" x14ac:dyDescent="0.2">
      <c r="A1989" s="7"/>
      <c r="B1989"/>
      <c r="C1989"/>
      <c r="K1989" s="1"/>
      <c r="M1989"/>
    </row>
    <row r="1990" spans="1:13" x14ac:dyDescent="0.2">
      <c r="A1990" s="7"/>
      <c r="B1990"/>
      <c r="C1990"/>
      <c r="K1990" s="1"/>
      <c r="M1990"/>
    </row>
    <row r="1991" spans="1:13" x14ac:dyDescent="0.2">
      <c r="A1991" s="7"/>
      <c r="B1991"/>
      <c r="C1991"/>
      <c r="K1991" s="1"/>
      <c r="M1991"/>
    </row>
    <row r="1992" spans="1:13" x14ac:dyDescent="0.2">
      <c r="A1992" s="7"/>
      <c r="B1992"/>
      <c r="C1992"/>
      <c r="K1992" s="1"/>
      <c r="M1992"/>
    </row>
    <row r="1993" spans="1:13" x14ac:dyDescent="0.2">
      <c r="A1993" s="7"/>
      <c r="B1993"/>
      <c r="C1993"/>
      <c r="K1993" s="1"/>
      <c r="M1993"/>
    </row>
    <row r="1994" spans="1:13" x14ac:dyDescent="0.2">
      <c r="A1994" s="7"/>
      <c r="B1994"/>
      <c r="C1994"/>
      <c r="K1994" s="1"/>
      <c r="M1994"/>
    </row>
    <row r="1995" spans="1:13" x14ac:dyDescent="0.2">
      <c r="A1995" s="7"/>
      <c r="B1995"/>
      <c r="C1995"/>
      <c r="K1995" s="1"/>
      <c r="M1995"/>
    </row>
    <row r="1996" spans="1:13" x14ac:dyDescent="0.2">
      <c r="A1996" s="7"/>
      <c r="B1996"/>
      <c r="C1996"/>
      <c r="K1996" s="1"/>
      <c r="M1996"/>
    </row>
    <row r="1997" spans="1:13" x14ac:dyDescent="0.2">
      <c r="A1997" s="7"/>
      <c r="B1997"/>
      <c r="C1997"/>
      <c r="K1997" s="1"/>
      <c r="M1997"/>
    </row>
    <row r="1998" spans="1:13" x14ac:dyDescent="0.2">
      <c r="A1998" s="7"/>
      <c r="B1998"/>
      <c r="C1998"/>
      <c r="K1998" s="1"/>
      <c r="M1998"/>
    </row>
    <row r="1999" spans="1:13" x14ac:dyDescent="0.2">
      <c r="A1999" s="7"/>
      <c r="B1999"/>
      <c r="C1999"/>
      <c r="K1999" s="1"/>
      <c r="M1999"/>
    </row>
    <row r="2000" spans="1:13" x14ac:dyDescent="0.2">
      <c r="A2000" s="7"/>
      <c r="B2000"/>
      <c r="C2000"/>
      <c r="K2000" s="1"/>
      <c r="M2000"/>
    </row>
    <row r="2001" spans="1:13" x14ac:dyDescent="0.2">
      <c r="A2001" s="7"/>
      <c r="B2001"/>
      <c r="C2001"/>
      <c r="K2001" s="1"/>
      <c r="M2001"/>
    </row>
    <row r="2002" spans="1:13" x14ac:dyDescent="0.2">
      <c r="A2002" s="7"/>
      <c r="B2002"/>
      <c r="C2002"/>
      <c r="K2002" s="1"/>
      <c r="M2002"/>
    </row>
    <row r="2003" spans="1:13" x14ac:dyDescent="0.2">
      <c r="A2003" s="7"/>
      <c r="B2003"/>
      <c r="C2003"/>
      <c r="K2003" s="1"/>
      <c r="M2003"/>
    </row>
    <row r="2004" spans="1:13" x14ac:dyDescent="0.2">
      <c r="A2004" s="7"/>
      <c r="B2004"/>
      <c r="C2004"/>
      <c r="K2004" s="1"/>
      <c r="M2004"/>
    </row>
    <row r="2005" spans="1:13" x14ac:dyDescent="0.2">
      <c r="A2005" s="7"/>
      <c r="B2005"/>
      <c r="C2005"/>
      <c r="K2005" s="1"/>
      <c r="M2005"/>
    </row>
    <row r="2006" spans="1:13" x14ac:dyDescent="0.2">
      <c r="A2006" s="7"/>
      <c r="B2006"/>
      <c r="C2006"/>
      <c r="K2006" s="1"/>
      <c r="M2006"/>
    </row>
    <row r="2007" spans="1:13" x14ac:dyDescent="0.2">
      <c r="A2007" s="7"/>
      <c r="B2007"/>
      <c r="C2007"/>
      <c r="K2007" s="1"/>
      <c r="M2007"/>
    </row>
    <row r="2008" spans="1:13" x14ac:dyDescent="0.2">
      <c r="A2008" s="7"/>
      <c r="B2008"/>
      <c r="C2008"/>
      <c r="K2008" s="1"/>
      <c r="M2008"/>
    </row>
    <row r="2009" spans="1:13" x14ac:dyDescent="0.2">
      <c r="A2009" s="7"/>
      <c r="B2009"/>
      <c r="C2009"/>
      <c r="K2009" s="1"/>
      <c r="M2009"/>
    </row>
    <row r="2010" spans="1:13" x14ac:dyDescent="0.2">
      <c r="A2010" s="7"/>
      <c r="B2010"/>
      <c r="C2010"/>
      <c r="K2010" s="1"/>
      <c r="M2010"/>
    </row>
    <row r="2011" spans="1:13" x14ac:dyDescent="0.2">
      <c r="A2011" s="7"/>
      <c r="B2011"/>
      <c r="C2011"/>
      <c r="K2011" s="1"/>
      <c r="M2011"/>
    </row>
    <row r="2012" spans="1:13" x14ac:dyDescent="0.2">
      <c r="A2012" s="7"/>
      <c r="B2012"/>
      <c r="C2012"/>
      <c r="K2012" s="1"/>
      <c r="M2012"/>
    </row>
    <row r="2013" spans="1:13" x14ac:dyDescent="0.2">
      <c r="A2013" s="7"/>
      <c r="B2013"/>
      <c r="C2013"/>
      <c r="K2013" s="1"/>
      <c r="M2013"/>
    </row>
    <row r="2014" spans="1:13" x14ac:dyDescent="0.2">
      <c r="A2014" s="7"/>
      <c r="B2014"/>
      <c r="C2014"/>
      <c r="K2014" s="1"/>
      <c r="M2014"/>
    </row>
    <row r="2015" spans="1:13" x14ac:dyDescent="0.2">
      <c r="A2015" s="7"/>
      <c r="B2015"/>
      <c r="C2015"/>
      <c r="K2015" s="1"/>
      <c r="M2015"/>
    </row>
    <row r="2016" spans="1:13" x14ac:dyDescent="0.2">
      <c r="A2016" s="7"/>
      <c r="B2016"/>
      <c r="C2016"/>
      <c r="K2016" s="1"/>
      <c r="M2016"/>
    </row>
    <row r="2017" spans="1:13" x14ac:dyDescent="0.2">
      <c r="A2017" s="7"/>
      <c r="B2017"/>
      <c r="C2017"/>
      <c r="K2017" s="1"/>
      <c r="M2017"/>
    </row>
    <row r="2018" spans="1:13" x14ac:dyDescent="0.2">
      <c r="A2018" s="7"/>
      <c r="B2018"/>
      <c r="C2018"/>
      <c r="K2018" s="1"/>
      <c r="M2018"/>
    </row>
    <row r="2019" spans="1:13" x14ac:dyDescent="0.2">
      <c r="A2019" s="7"/>
      <c r="B2019"/>
      <c r="C2019"/>
      <c r="K2019" s="1"/>
      <c r="M2019"/>
    </row>
    <row r="2020" spans="1:13" x14ac:dyDescent="0.2">
      <c r="A2020" s="7"/>
      <c r="B2020"/>
      <c r="C2020"/>
      <c r="K2020" s="1"/>
      <c r="M2020"/>
    </row>
    <row r="2021" spans="1:13" x14ac:dyDescent="0.2">
      <c r="A2021" s="7"/>
      <c r="B2021"/>
      <c r="C2021"/>
      <c r="K2021" s="1"/>
      <c r="M2021"/>
    </row>
    <row r="2022" spans="1:13" x14ac:dyDescent="0.2">
      <c r="A2022" s="7"/>
      <c r="B2022"/>
      <c r="C2022"/>
      <c r="K2022" s="1"/>
      <c r="M2022"/>
    </row>
    <row r="2023" spans="1:13" x14ac:dyDescent="0.2">
      <c r="A2023" s="7"/>
      <c r="B2023"/>
      <c r="C2023"/>
      <c r="K2023" s="1"/>
      <c r="M2023"/>
    </row>
    <row r="2024" spans="1:13" x14ac:dyDescent="0.2">
      <c r="A2024" s="7"/>
      <c r="B2024"/>
      <c r="C2024"/>
      <c r="K2024" s="1"/>
      <c r="M2024"/>
    </row>
    <row r="2025" spans="1:13" x14ac:dyDescent="0.2">
      <c r="A2025" s="7"/>
      <c r="B2025"/>
      <c r="C2025"/>
      <c r="K2025" s="1"/>
      <c r="M2025"/>
    </row>
    <row r="2026" spans="1:13" x14ac:dyDescent="0.2">
      <c r="A2026" s="7"/>
      <c r="B2026"/>
      <c r="C2026"/>
      <c r="K2026" s="1"/>
      <c r="M2026"/>
    </row>
    <row r="2027" spans="1:13" x14ac:dyDescent="0.2">
      <c r="A2027" s="7"/>
      <c r="B2027"/>
      <c r="C2027"/>
      <c r="K2027" s="1"/>
      <c r="M2027"/>
    </row>
    <row r="2028" spans="1:13" x14ac:dyDescent="0.2">
      <c r="A2028" s="7"/>
      <c r="B2028"/>
      <c r="C2028"/>
      <c r="K2028" s="1"/>
      <c r="M2028"/>
    </row>
    <row r="2029" spans="1:13" x14ac:dyDescent="0.2">
      <c r="A2029" s="7"/>
      <c r="B2029"/>
      <c r="C2029"/>
      <c r="K2029" s="1"/>
      <c r="M2029"/>
    </row>
    <row r="2030" spans="1:13" x14ac:dyDescent="0.2">
      <c r="A2030" s="7"/>
      <c r="B2030"/>
      <c r="C2030"/>
      <c r="K2030" s="1"/>
      <c r="M2030"/>
    </row>
    <row r="2031" spans="1:13" x14ac:dyDescent="0.2">
      <c r="A2031" s="7"/>
      <c r="B2031"/>
      <c r="C2031"/>
      <c r="K2031" s="1"/>
      <c r="M2031"/>
    </row>
    <row r="2032" spans="1:13" x14ac:dyDescent="0.2">
      <c r="A2032" s="7"/>
      <c r="B2032"/>
      <c r="C2032"/>
      <c r="K2032" s="1"/>
      <c r="M2032"/>
    </row>
    <row r="2033" spans="1:13" x14ac:dyDescent="0.2">
      <c r="A2033" s="7"/>
      <c r="B2033"/>
      <c r="C2033"/>
      <c r="K2033" s="1"/>
      <c r="M2033"/>
    </row>
    <row r="2034" spans="1:13" x14ac:dyDescent="0.2">
      <c r="A2034" s="7"/>
      <c r="B2034"/>
      <c r="C2034"/>
      <c r="K2034" s="1"/>
      <c r="M2034"/>
    </row>
    <row r="2035" spans="1:13" x14ac:dyDescent="0.2">
      <c r="A2035" s="7"/>
      <c r="B2035"/>
      <c r="C2035"/>
      <c r="K2035" s="1"/>
      <c r="M2035"/>
    </row>
    <row r="2036" spans="1:13" x14ac:dyDescent="0.2">
      <c r="A2036" s="7"/>
      <c r="B2036"/>
      <c r="C2036"/>
      <c r="K2036" s="1"/>
      <c r="M2036"/>
    </row>
    <row r="2037" spans="1:13" x14ac:dyDescent="0.2">
      <c r="A2037" s="7"/>
      <c r="B2037"/>
      <c r="C2037"/>
      <c r="K2037" s="1"/>
      <c r="M2037"/>
    </row>
    <row r="2038" spans="1:13" x14ac:dyDescent="0.2">
      <c r="A2038" s="7"/>
      <c r="B2038"/>
      <c r="C2038"/>
      <c r="K2038" s="1"/>
      <c r="M2038"/>
    </row>
    <row r="2039" spans="1:13" x14ac:dyDescent="0.2">
      <c r="A2039" s="7"/>
      <c r="B2039"/>
      <c r="C2039"/>
      <c r="K2039" s="1"/>
      <c r="M2039"/>
    </row>
    <row r="2040" spans="1:13" x14ac:dyDescent="0.2">
      <c r="A2040" s="7"/>
      <c r="B2040"/>
      <c r="C2040"/>
      <c r="K2040" s="1"/>
      <c r="M2040"/>
    </row>
    <row r="2041" spans="1:13" x14ac:dyDescent="0.2">
      <c r="A2041" s="7"/>
      <c r="B2041"/>
      <c r="C2041"/>
      <c r="K2041" s="1"/>
      <c r="M2041"/>
    </row>
    <row r="2042" spans="1:13" x14ac:dyDescent="0.2">
      <c r="A2042" s="7"/>
      <c r="B2042"/>
      <c r="C2042"/>
      <c r="K2042" s="1"/>
      <c r="M2042"/>
    </row>
    <row r="2043" spans="1:13" x14ac:dyDescent="0.2">
      <c r="A2043" s="7"/>
      <c r="B2043"/>
      <c r="C2043"/>
      <c r="K2043" s="1"/>
      <c r="M2043"/>
    </row>
    <row r="2044" spans="1:13" x14ac:dyDescent="0.2">
      <c r="A2044" s="7"/>
      <c r="B2044"/>
      <c r="C2044"/>
      <c r="K2044" s="1"/>
      <c r="M2044"/>
    </row>
    <row r="2045" spans="1:13" x14ac:dyDescent="0.2">
      <c r="A2045" s="7"/>
      <c r="B2045"/>
      <c r="C2045"/>
      <c r="K2045" s="1"/>
      <c r="M2045"/>
    </row>
    <row r="2046" spans="1:13" x14ac:dyDescent="0.2">
      <c r="A2046" s="7"/>
      <c r="B2046"/>
      <c r="C2046"/>
      <c r="K2046" s="1"/>
      <c r="M2046"/>
    </row>
    <row r="2047" spans="1:13" x14ac:dyDescent="0.2">
      <c r="A2047" s="7"/>
      <c r="B2047"/>
      <c r="C2047"/>
      <c r="K2047" s="1"/>
      <c r="M2047"/>
    </row>
    <row r="2048" spans="1:13" x14ac:dyDescent="0.2">
      <c r="A2048" s="7"/>
      <c r="B2048"/>
      <c r="C2048"/>
      <c r="K2048" s="1"/>
      <c r="M2048"/>
    </row>
    <row r="2049" spans="1:13" x14ac:dyDescent="0.2">
      <c r="A2049" s="7"/>
      <c r="B2049"/>
      <c r="C2049"/>
      <c r="K2049" s="1"/>
      <c r="M2049"/>
    </row>
    <row r="2050" spans="1:13" x14ac:dyDescent="0.2">
      <c r="A2050" s="7"/>
      <c r="B2050"/>
      <c r="C2050"/>
      <c r="K2050" s="1"/>
      <c r="M2050"/>
    </row>
    <row r="2051" spans="1:13" x14ac:dyDescent="0.2">
      <c r="A2051" s="7"/>
      <c r="B2051"/>
      <c r="C2051"/>
      <c r="K2051" s="1"/>
      <c r="M2051"/>
    </row>
    <row r="2052" spans="1:13" x14ac:dyDescent="0.2">
      <c r="A2052" s="7"/>
      <c r="B2052"/>
      <c r="C2052"/>
      <c r="K2052" s="1"/>
      <c r="M2052"/>
    </row>
    <row r="2053" spans="1:13" x14ac:dyDescent="0.2">
      <c r="A2053" s="7"/>
      <c r="B2053"/>
      <c r="C2053"/>
      <c r="K2053" s="1"/>
      <c r="M2053"/>
    </row>
    <row r="2054" spans="1:13" x14ac:dyDescent="0.2">
      <c r="A2054" s="7"/>
      <c r="B2054"/>
      <c r="C2054"/>
      <c r="K2054" s="1"/>
      <c r="M2054"/>
    </row>
    <row r="2055" spans="1:13" x14ac:dyDescent="0.2">
      <c r="A2055" s="7"/>
      <c r="B2055"/>
      <c r="C2055"/>
      <c r="K2055" s="1"/>
      <c r="M2055"/>
    </row>
    <row r="2056" spans="1:13" x14ac:dyDescent="0.2">
      <c r="A2056" s="7"/>
      <c r="B2056"/>
      <c r="C2056"/>
      <c r="K2056" s="1"/>
      <c r="M2056"/>
    </row>
    <row r="2057" spans="1:13" x14ac:dyDescent="0.2">
      <c r="A2057" s="7"/>
      <c r="B2057"/>
      <c r="C2057"/>
      <c r="K2057" s="1"/>
      <c r="M2057"/>
    </row>
    <row r="2058" spans="1:13" x14ac:dyDescent="0.2">
      <c r="A2058" s="7"/>
      <c r="B2058"/>
      <c r="C2058"/>
      <c r="K2058" s="1"/>
      <c r="M2058"/>
    </row>
    <row r="2059" spans="1:13" x14ac:dyDescent="0.2">
      <c r="A2059" s="7"/>
      <c r="B2059"/>
      <c r="C2059"/>
      <c r="K2059" s="1"/>
      <c r="M2059"/>
    </row>
    <row r="2060" spans="1:13" x14ac:dyDescent="0.2">
      <c r="A2060" s="7"/>
      <c r="B2060"/>
      <c r="C2060"/>
      <c r="K2060" s="1"/>
      <c r="M2060"/>
    </row>
    <row r="2061" spans="1:13" x14ac:dyDescent="0.2">
      <c r="A2061" s="7"/>
      <c r="B2061"/>
      <c r="C2061"/>
      <c r="K2061" s="1"/>
      <c r="M2061"/>
    </row>
    <row r="2062" spans="1:13" x14ac:dyDescent="0.2">
      <c r="A2062" s="7"/>
      <c r="B2062"/>
      <c r="C2062"/>
      <c r="K2062" s="1"/>
      <c r="M2062"/>
    </row>
    <row r="2063" spans="1:13" x14ac:dyDescent="0.2">
      <c r="A2063" s="7"/>
      <c r="B2063"/>
      <c r="C2063"/>
      <c r="K2063" s="1"/>
      <c r="M2063"/>
    </row>
    <row r="2064" spans="1:13" x14ac:dyDescent="0.2">
      <c r="A2064" s="7"/>
      <c r="B2064"/>
      <c r="C2064"/>
      <c r="K2064" s="1"/>
      <c r="M2064"/>
    </row>
    <row r="2065" spans="1:13" x14ac:dyDescent="0.2">
      <c r="A2065" s="7"/>
      <c r="B2065"/>
      <c r="C2065"/>
      <c r="K2065" s="1"/>
      <c r="M2065"/>
    </row>
    <row r="2066" spans="1:13" x14ac:dyDescent="0.2">
      <c r="A2066" s="7"/>
      <c r="B2066"/>
      <c r="C2066"/>
      <c r="K2066" s="1"/>
      <c r="M2066"/>
    </row>
    <row r="2067" spans="1:13" x14ac:dyDescent="0.2">
      <c r="A2067" s="7"/>
      <c r="B2067"/>
      <c r="C2067"/>
      <c r="K2067" s="1"/>
      <c r="M2067"/>
    </row>
    <row r="2068" spans="1:13" x14ac:dyDescent="0.2">
      <c r="A2068" s="7"/>
      <c r="B2068"/>
      <c r="C2068"/>
      <c r="K2068" s="1"/>
      <c r="M2068"/>
    </row>
    <row r="2069" spans="1:13" x14ac:dyDescent="0.2">
      <c r="A2069" s="7"/>
      <c r="B2069"/>
      <c r="C2069"/>
      <c r="K2069" s="1"/>
      <c r="M2069"/>
    </row>
    <row r="2070" spans="1:13" x14ac:dyDescent="0.2">
      <c r="A2070" s="7"/>
      <c r="B2070"/>
      <c r="C2070"/>
      <c r="K2070" s="1"/>
      <c r="M2070"/>
    </row>
    <row r="2071" spans="1:13" x14ac:dyDescent="0.2">
      <c r="A2071" s="7"/>
      <c r="B2071"/>
      <c r="C2071"/>
      <c r="K2071" s="1"/>
      <c r="M2071"/>
    </row>
    <row r="2072" spans="1:13" x14ac:dyDescent="0.2">
      <c r="A2072" s="7"/>
      <c r="B2072"/>
      <c r="C2072"/>
      <c r="K2072" s="1"/>
      <c r="M2072"/>
    </row>
    <row r="2073" spans="1:13" x14ac:dyDescent="0.2">
      <c r="A2073" s="7"/>
      <c r="B2073"/>
      <c r="C2073"/>
      <c r="K2073" s="1"/>
      <c r="M2073"/>
    </row>
    <row r="2074" spans="1:13" x14ac:dyDescent="0.2">
      <c r="A2074" s="7"/>
      <c r="B2074"/>
      <c r="C2074"/>
      <c r="K2074" s="1"/>
      <c r="M2074"/>
    </row>
    <row r="2075" spans="1:13" x14ac:dyDescent="0.2">
      <c r="A2075" s="7"/>
      <c r="B2075"/>
      <c r="C2075"/>
      <c r="K2075" s="1"/>
      <c r="M2075"/>
    </row>
    <row r="2076" spans="1:13" x14ac:dyDescent="0.2">
      <c r="A2076" s="7"/>
      <c r="B2076"/>
      <c r="C2076"/>
      <c r="K2076" s="1"/>
      <c r="M2076"/>
    </row>
    <row r="2077" spans="1:13" x14ac:dyDescent="0.2">
      <c r="A2077" s="7"/>
      <c r="B2077"/>
      <c r="C2077"/>
      <c r="K2077" s="1"/>
      <c r="M2077"/>
    </row>
    <row r="2078" spans="1:13" x14ac:dyDescent="0.2">
      <c r="A2078" s="7"/>
      <c r="B2078"/>
      <c r="C2078"/>
      <c r="K2078" s="1"/>
      <c r="M2078"/>
    </row>
    <row r="2079" spans="1:13" x14ac:dyDescent="0.2">
      <c r="A2079" s="7"/>
      <c r="B2079"/>
      <c r="C2079"/>
      <c r="K2079" s="1"/>
      <c r="M2079"/>
    </row>
    <row r="2080" spans="1:13" x14ac:dyDescent="0.2">
      <c r="A2080" s="7"/>
      <c r="B2080"/>
      <c r="C2080"/>
      <c r="K2080" s="1"/>
      <c r="M2080"/>
    </row>
    <row r="2081" spans="1:13" x14ac:dyDescent="0.2">
      <c r="A2081" s="7"/>
      <c r="B2081"/>
      <c r="C2081"/>
      <c r="K2081" s="1"/>
      <c r="M2081"/>
    </row>
    <row r="2082" spans="1:13" x14ac:dyDescent="0.2">
      <c r="A2082" s="7"/>
      <c r="B2082"/>
      <c r="C2082"/>
      <c r="K2082" s="1"/>
      <c r="M2082"/>
    </row>
    <row r="2083" spans="1:13" x14ac:dyDescent="0.2">
      <c r="A2083" s="7"/>
      <c r="B2083"/>
      <c r="C2083"/>
      <c r="K2083" s="1"/>
      <c r="M2083"/>
    </row>
    <row r="2084" spans="1:13" x14ac:dyDescent="0.2">
      <c r="A2084" s="7"/>
      <c r="B2084"/>
      <c r="C2084"/>
      <c r="K2084" s="1"/>
      <c r="M2084"/>
    </row>
    <row r="2085" spans="1:13" x14ac:dyDescent="0.2">
      <c r="A2085" s="7"/>
      <c r="B2085"/>
      <c r="C2085"/>
      <c r="K2085" s="1"/>
      <c r="M2085"/>
    </row>
    <row r="2086" spans="1:13" x14ac:dyDescent="0.2">
      <c r="A2086" s="7"/>
      <c r="B2086"/>
      <c r="C2086"/>
      <c r="K2086" s="1"/>
      <c r="M2086"/>
    </row>
    <row r="2087" spans="1:13" x14ac:dyDescent="0.2">
      <c r="A2087" s="7"/>
      <c r="B2087"/>
      <c r="C2087"/>
      <c r="K2087" s="1"/>
      <c r="M2087"/>
    </row>
    <row r="2088" spans="1:13" x14ac:dyDescent="0.2">
      <c r="A2088" s="7"/>
      <c r="B2088"/>
      <c r="C2088"/>
      <c r="K2088" s="1"/>
      <c r="M2088"/>
    </row>
    <row r="2089" spans="1:13" x14ac:dyDescent="0.2">
      <c r="A2089" s="7"/>
      <c r="B2089"/>
      <c r="C2089"/>
      <c r="K2089" s="1"/>
      <c r="M2089"/>
    </row>
    <row r="2090" spans="1:13" x14ac:dyDescent="0.2">
      <c r="A2090" s="7"/>
      <c r="B2090"/>
      <c r="C2090"/>
      <c r="K2090" s="1"/>
      <c r="M2090"/>
    </row>
    <row r="2091" spans="1:13" x14ac:dyDescent="0.2">
      <c r="A2091" s="7"/>
      <c r="B2091"/>
      <c r="C2091"/>
      <c r="K2091" s="1"/>
      <c r="M2091"/>
    </row>
    <row r="2092" spans="1:13" x14ac:dyDescent="0.2">
      <c r="A2092" s="7"/>
      <c r="B2092"/>
      <c r="C2092"/>
      <c r="K2092" s="1"/>
      <c r="M2092"/>
    </row>
    <row r="2093" spans="1:13" x14ac:dyDescent="0.2">
      <c r="A2093" s="7"/>
      <c r="B2093"/>
      <c r="C2093"/>
      <c r="K2093" s="1"/>
      <c r="M2093"/>
    </row>
    <row r="2094" spans="1:13" x14ac:dyDescent="0.2">
      <c r="A2094" s="7"/>
      <c r="B2094"/>
      <c r="C2094"/>
      <c r="K2094" s="1"/>
      <c r="M2094"/>
    </row>
    <row r="2095" spans="1:13" x14ac:dyDescent="0.2">
      <c r="A2095" s="7"/>
      <c r="B2095"/>
      <c r="C2095"/>
      <c r="K2095" s="1"/>
      <c r="M2095"/>
    </row>
    <row r="2096" spans="1:13" x14ac:dyDescent="0.2">
      <c r="A2096" s="7"/>
      <c r="B2096"/>
      <c r="C2096"/>
      <c r="K2096" s="1"/>
      <c r="M2096"/>
    </row>
    <row r="2097" spans="1:13" x14ac:dyDescent="0.2">
      <c r="A2097" s="7"/>
      <c r="B2097"/>
      <c r="C2097"/>
      <c r="K2097" s="1"/>
      <c r="M2097"/>
    </row>
    <row r="2098" spans="1:13" x14ac:dyDescent="0.2">
      <c r="A2098" s="7"/>
      <c r="B2098"/>
      <c r="C2098"/>
      <c r="K2098" s="1"/>
      <c r="M2098"/>
    </row>
    <row r="2099" spans="1:13" x14ac:dyDescent="0.2">
      <c r="A2099" s="7"/>
      <c r="B2099"/>
      <c r="C2099"/>
      <c r="K2099" s="1"/>
      <c r="M2099"/>
    </row>
    <row r="2100" spans="1:13" x14ac:dyDescent="0.2">
      <c r="A2100" s="7"/>
      <c r="B2100"/>
      <c r="C2100"/>
      <c r="K2100" s="1"/>
      <c r="M2100"/>
    </row>
    <row r="2101" spans="1:13" x14ac:dyDescent="0.2">
      <c r="A2101" s="7"/>
      <c r="B2101"/>
      <c r="C2101"/>
      <c r="K2101" s="1"/>
      <c r="M2101"/>
    </row>
    <row r="2102" spans="1:13" x14ac:dyDescent="0.2">
      <c r="A2102" s="7"/>
      <c r="B2102"/>
      <c r="C2102"/>
      <c r="K2102" s="1"/>
      <c r="M2102"/>
    </row>
    <row r="2103" spans="1:13" x14ac:dyDescent="0.2">
      <c r="A2103" s="7"/>
      <c r="B2103"/>
      <c r="C2103"/>
      <c r="K2103" s="1"/>
      <c r="M2103"/>
    </row>
    <row r="2104" spans="1:13" x14ac:dyDescent="0.2">
      <c r="A2104" s="7"/>
      <c r="B2104"/>
      <c r="C2104"/>
      <c r="K2104" s="1"/>
      <c r="M2104"/>
    </row>
    <row r="2105" spans="1:13" x14ac:dyDescent="0.2">
      <c r="A2105" s="7"/>
      <c r="B2105"/>
      <c r="C2105"/>
      <c r="K2105" s="1"/>
      <c r="M2105"/>
    </row>
    <row r="2106" spans="1:13" x14ac:dyDescent="0.2">
      <c r="A2106" s="7"/>
      <c r="B2106"/>
      <c r="C2106"/>
      <c r="K2106" s="1"/>
      <c r="M2106"/>
    </row>
    <row r="2107" spans="1:13" x14ac:dyDescent="0.2">
      <c r="A2107" s="7"/>
      <c r="B2107"/>
      <c r="C2107"/>
      <c r="K2107" s="1"/>
      <c r="M2107"/>
    </row>
    <row r="2108" spans="1:13" x14ac:dyDescent="0.2">
      <c r="A2108" s="7"/>
      <c r="B2108"/>
      <c r="C2108"/>
      <c r="K2108" s="1"/>
      <c r="M2108"/>
    </row>
    <row r="2109" spans="1:13" x14ac:dyDescent="0.2">
      <c r="A2109" s="7"/>
      <c r="B2109"/>
      <c r="C2109"/>
      <c r="K2109" s="1"/>
      <c r="M2109"/>
    </row>
    <row r="2110" spans="1:13" x14ac:dyDescent="0.2">
      <c r="A2110" s="7"/>
      <c r="B2110"/>
      <c r="C2110"/>
      <c r="K2110" s="1"/>
      <c r="M2110"/>
    </row>
    <row r="2111" spans="1:13" x14ac:dyDescent="0.2">
      <c r="A2111" s="7"/>
      <c r="B2111"/>
      <c r="C2111"/>
      <c r="K2111" s="1"/>
      <c r="M2111"/>
    </row>
    <row r="2112" spans="1:13" x14ac:dyDescent="0.2">
      <c r="A2112" s="7"/>
      <c r="B2112"/>
      <c r="C2112"/>
      <c r="K2112" s="1"/>
      <c r="M2112"/>
    </row>
    <row r="2113" spans="1:13" x14ac:dyDescent="0.2">
      <c r="A2113" s="7"/>
      <c r="B2113"/>
      <c r="C2113"/>
      <c r="K2113" s="1"/>
      <c r="M2113"/>
    </row>
    <row r="2114" spans="1:13" x14ac:dyDescent="0.2">
      <c r="A2114" s="7"/>
      <c r="B2114"/>
      <c r="C2114"/>
      <c r="K2114" s="1"/>
      <c r="M2114"/>
    </row>
    <row r="2115" spans="1:13" x14ac:dyDescent="0.2">
      <c r="A2115" s="7"/>
      <c r="B2115"/>
      <c r="C2115"/>
      <c r="K2115" s="1"/>
      <c r="M2115"/>
    </row>
    <row r="2116" spans="1:13" x14ac:dyDescent="0.2">
      <c r="A2116" s="7"/>
      <c r="B2116"/>
      <c r="C2116"/>
      <c r="K2116" s="1"/>
      <c r="M2116"/>
    </row>
    <row r="2117" spans="1:13" x14ac:dyDescent="0.2">
      <c r="A2117" s="7"/>
      <c r="B2117"/>
      <c r="C2117"/>
      <c r="K2117" s="1"/>
      <c r="M2117"/>
    </row>
    <row r="2118" spans="1:13" x14ac:dyDescent="0.2">
      <c r="A2118" s="7"/>
      <c r="B2118"/>
      <c r="C2118"/>
      <c r="K2118" s="1"/>
      <c r="M2118"/>
    </row>
    <row r="2119" spans="1:13" x14ac:dyDescent="0.2">
      <c r="A2119" s="7"/>
      <c r="B2119"/>
      <c r="C2119"/>
      <c r="K2119" s="1"/>
      <c r="M2119"/>
    </row>
    <row r="2120" spans="1:13" x14ac:dyDescent="0.2">
      <c r="A2120" s="7"/>
      <c r="B2120"/>
      <c r="C2120"/>
      <c r="K2120" s="1"/>
      <c r="M2120"/>
    </row>
    <row r="2121" spans="1:13" x14ac:dyDescent="0.2">
      <c r="A2121" s="7"/>
      <c r="B2121"/>
      <c r="C2121"/>
      <c r="K2121" s="1"/>
      <c r="M2121"/>
    </row>
    <row r="2122" spans="1:13" x14ac:dyDescent="0.2">
      <c r="A2122" s="7"/>
      <c r="B2122"/>
      <c r="C2122"/>
      <c r="K2122" s="1"/>
      <c r="M2122"/>
    </row>
    <row r="2123" spans="1:13" x14ac:dyDescent="0.2">
      <c r="A2123" s="7"/>
      <c r="B2123"/>
      <c r="C2123"/>
      <c r="K2123" s="1"/>
      <c r="M2123"/>
    </row>
    <row r="2124" spans="1:13" x14ac:dyDescent="0.2">
      <c r="A2124" s="7"/>
      <c r="B2124"/>
      <c r="C2124"/>
      <c r="K2124" s="1"/>
      <c r="M2124"/>
    </row>
    <row r="2125" spans="1:13" x14ac:dyDescent="0.2">
      <c r="A2125" s="7"/>
      <c r="B2125"/>
      <c r="C2125"/>
      <c r="K2125" s="1"/>
      <c r="M2125"/>
    </row>
    <row r="2126" spans="1:13" x14ac:dyDescent="0.2">
      <c r="A2126" s="7"/>
      <c r="B2126"/>
      <c r="C2126"/>
      <c r="K2126" s="1"/>
      <c r="M2126"/>
    </row>
    <row r="2127" spans="1:13" x14ac:dyDescent="0.2">
      <c r="A2127" s="7"/>
      <c r="B2127"/>
      <c r="C2127"/>
      <c r="K2127" s="1"/>
      <c r="M2127"/>
    </row>
    <row r="2128" spans="1:13" x14ac:dyDescent="0.2">
      <c r="A2128" s="7"/>
      <c r="B2128"/>
      <c r="C2128"/>
      <c r="K2128" s="1"/>
      <c r="M2128"/>
    </row>
    <row r="2129" spans="1:13" x14ac:dyDescent="0.2">
      <c r="A2129" s="7"/>
      <c r="B2129"/>
      <c r="C2129"/>
      <c r="K2129" s="1"/>
      <c r="M2129"/>
    </row>
    <row r="2130" spans="1:13" x14ac:dyDescent="0.2">
      <c r="A2130" s="7"/>
      <c r="B2130"/>
      <c r="C2130"/>
      <c r="K2130" s="1"/>
      <c r="M2130"/>
    </row>
    <row r="2131" spans="1:13" x14ac:dyDescent="0.2">
      <c r="A2131" s="7"/>
      <c r="B2131"/>
      <c r="C2131"/>
      <c r="K2131" s="1"/>
      <c r="M2131"/>
    </row>
    <row r="2132" spans="1:13" x14ac:dyDescent="0.2">
      <c r="A2132" s="7"/>
      <c r="B2132"/>
      <c r="C2132"/>
      <c r="K2132" s="1"/>
      <c r="M2132"/>
    </row>
    <row r="2133" spans="1:13" x14ac:dyDescent="0.2">
      <c r="A2133" s="7"/>
      <c r="B2133"/>
      <c r="C2133"/>
      <c r="K2133" s="1"/>
      <c r="M2133"/>
    </row>
    <row r="2134" spans="1:13" x14ac:dyDescent="0.2">
      <c r="A2134" s="7"/>
      <c r="B2134"/>
      <c r="C2134"/>
      <c r="K2134" s="1"/>
      <c r="M2134"/>
    </row>
    <row r="2135" spans="1:13" x14ac:dyDescent="0.2">
      <c r="A2135" s="7"/>
      <c r="B2135"/>
      <c r="C2135"/>
      <c r="K2135" s="1"/>
      <c r="M2135"/>
    </row>
    <row r="2136" spans="1:13" x14ac:dyDescent="0.2">
      <c r="A2136" s="7"/>
      <c r="B2136"/>
      <c r="C2136"/>
      <c r="K2136" s="1"/>
      <c r="M2136"/>
    </row>
    <row r="2137" spans="1:13" x14ac:dyDescent="0.2">
      <c r="A2137" s="7"/>
      <c r="B2137"/>
      <c r="C2137"/>
      <c r="K2137" s="1"/>
      <c r="M2137"/>
    </row>
    <row r="2138" spans="1:13" x14ac:dyDescent="0.2">
      <c r="A2138" s="7"/>
      <c r="B2138"/>
      <c r="C2138"/>
      <c r="K2138" s="1"/>
      <c r="M2138"/>
    </row>
    <row r="2139" spans="1:13" x14ac:dyDescent="0.2">
      <c r="A2139" s="7"/>
      <c r="B2139"/>
      <c r="C2139"/>
      <c r="K2139" s="1"/>
      <c r="M2139"/>
    </row>
    <row r="2140" spans="1:13" x14ac:dyDescent="0.2">
      <c r="A2140" s="7"/>
      <c r="B2140"/>
      <c r="C2140"/>
      <c r="K2140" s="1"/>
      <c r="M2140"/>
    </row>
    <row r="2141" spans="1:13" x14ac:dyDescent="0.2">
      <c r="A2141" s="7"/>
      <c r="B2141"/>
      <c r="C2141"/>
      <c r="K2141" s="1"/>
      <c r="M2141"/>
    </row>
    <row r="2142" spans="1:13" x14ac:dyDescent="0.2">
      <c r="A2142" s="7"/>
      <c r="B2142"/>
      <c r="C2142"/>
      <c r="K2142" s="1"/>
      <c r="M2142"/>
    </row>
    <row r="2143" spans="1:13" x14ac:dyDescent="0.2">
      <c r="A2143" s="7"/>
      <c r="B2143"/>
      <c r="C2143"/>
      <c r="K2143" s="1"/>
      <c r="M2143"/>
    </row>
    <row r="2144" spans="1:13" x14ac:dyDescent="0.2">
      <c r="A2144" s="7"/>
      <c r="B2144"/>
      <c r="C2144"/>
      <c r="K2144" s="1"/>
      <c r="M2144"/>
    </row>
    <row r="2145" spans="1:13" x14ac:dyDescent="0.2">
      <c r="A2145" s="7"/>
      <c r="B2145"/>
      <c r="C2145"/>
      <c r="K2145" s="1"/>
      <c r="M2145"/>
    </row>
    <row r="2146" spans="1:13" x14ac:dyDescent="0.2">
      <c r="A2146" s="7"/>
      <c r="B2146"/>
      <c r="C2146"/>
      <c r="K2146" s="1"/>
      <c r="M2146"/>
    </row>
    <row r="2147" spans="1:13" x14ac:dyDescent="0.2">
      <c r="A2147" s="7"/>
      <c r="B2147"/>
      <c r="C2147"/>
      <c r="K2147" s="1"/>
      <c r="M2147"/>
    </row>
    <row r="2148" spans="1:13" x14ac:dyDescent="0.2">
      <c r="A2148" s="7"/>
      <c r="B2148"/>
      <c r="C2148"/>
      <c r="K2148" s="1"/>
      <c r="M2148"/>
    </row>
    <row r="2149" spans="1:13" x14ac:dyDescent="0.2">
      <c r="A2149" s="7"/>
      <c r="B2149"/>
      <c r="C2149"/>
      <c r="K2149" s="1"/>
      <c r="M2149"/>
    </row>
    <row r="2150" spans="1:13" x14ac:dyDescent="0.2">
      <c r="A2150" s="7"/>
      <c r="B2150"/>
      <c r="C2150"/>
      <c r="K2150" s="1"/>
      <c r="M2150"/>
    </row>
    <row r="2151" spans="1:13" x14ac:dyDescent="0.2">
      <c r="A2151" s="7"/>
      <c r="B2151"/>
      <c r="C2151"/>
      <c r="K2151" s="1"/>
      <c r="M2151"/>
    </row>
    <row r="2152" spans="1:13" x14ac:dyDescent="0.2">
      <c r="A2152" s="7"/>
      <c r="B2152"/>
      <c r="C2152"/>
      <c r="K2152" s="1"/>
      <c r="M2152"/>
    </row>
    <row r="2153" spans="1:13" x14ac:dyDescent="0.2">
      <c r="A2153" s="7"/>
      <c r="B2153"/>
      <c r="C2153"/>
      <c r="K2153" s="1"/>
      <c r="M2153"/>
    </row>
    <row r="2154" spans="1:13" x14ac:dyDescent="0.2">
      <c r="A2154" s="7"/>
      <c r="B2154"/>
      <c r="C2154"/>
      <c r="K2154" s="1"/>
      <c r="M2154"/>
    </row>
    <row r="2155" spans="1:13" x14ac:dyDescent="0.2">
      <c r="A2155" s="7"/>
      <c r="B2155"/>
      <c r="C2155"/>
      <c r="K2155" s="1"/>
      <c r="M2155"/>
    </row>
    <row r="2156" spans="1:13" x14ac:dyDescent="0.2">
      <c r="A2156" s="7"/>
      <c r="B2156"/>
      <c r="C2156"/>
      <c r="K2156" s="1"/>
      <c r="M2156"/>
    </row>
    <row r="2157" spans="1:13" x14ac:dyDescent="0.2">
      <c r="A2157" s="7"/>
      <c r="B2157"/>
      <c r="C2157"/>
      <c r="K2157" s="1"/>
      <c r="M2157"/>
    </row>
    <row r="2158" spans="1:13" x14ac:dyDescent="0.2">
      <c r="A2158" s="7"/>
      <c r="B2158"/>
      <c r="C2158"/>
      <c r="K2158" s="1"/>
      <c r="M2158"/>
    </row>
    <row r="2159" spans="1:13" x14ac:dyDescent="0.2">
      <c r="A2159" s="7"/>
      <c r="B2159"/>
      <c r="C2159"/>
      <c r="K2159" s="1"/>
      <c r="M2159"/>
    </row>
    <row r="2160" spans="1:13" x14ac:dyDescent="0.2">
      <c r="A2160" s="7"/>
      <c r="B2160"/>
      <c r="C2160"/>
      <c r="K2160" s="1"/>
      <c r="M2160"/>
    </row>
    <row r="2161" spans="1:13" x14ac:dyDescent="0.2">
      <c r="A2161" s="7"/>
      <c r="B2161"/>
      <c r="C2161"/>
      <c r="K2161" s="1"/>
      <c r="M2161"/>
    </row>
    <row r="2162" spans="1:13" x14ac:dyDescent="0.2">
      <c r="A2162" s="7"/>
      <c r="B2162"/>
      <c r="C2162"/>
      <c r="K2162" s="1"/>
      <c r="M2162"/>
    </row>
    <row r="2163" spans="1:13" x14ac:dyDescent="0.2">
      <c r="A2163" s="7"/>
      <c r="B2163"/>
      <c r="C2163"/>
      <c r="K2163" s="1"/>
      <c r="M2163"/>
    </row>
    <row r="2164" spans="1:13" x14ac:dyDescent="0.2">
      <c r="A2164" s="7"/>
      <c r="B2164"/>
      <c r="C2164"/>
      <c r="K2164" s="1"/>
      <c r="M2164"/>
    </row>
    <row r="2165" spans="1:13" x14ac:dyDescent="0.2">
      <c r="A2165" s="7"/>
      <c r="B2165"/>
      <c r="C2165"/>
      <c r="K2165" s="1"/>
      <c r="M2165"/>
    </row>
    <row r="2166" spans="1:13" x14ac:dyDescent="0.2">
      <c r="A2166" s="7"/>
      <c r="B2166"/>
      <c r="C2166"/>
      <c r="K2166" s="1"/>
      <c r="M2166"/>
    </row>
    <row r="2167" spans="1:13" x14ac:dyDescent="0.2">
      <c r="A2167" s="7"/>
      <c r="B2167"/>
      <c r="C2167"/>
      <c r="K2167" s="1"/>
      <c r="M2167"/>
    </row>
    <row r="2168" spans="1:13" x14ac:dyDescent="0.2">
      <c r="A2168" s="7"/>
      <c r="B2168"/>
      <c r="C2168"/>
      <c r="K2168" s="1"/>
      <c r="M2168"/>
    </row>
    <row r="2169" spans="1:13" x14ac:dyDescent="0.2">
      <c r="A2169" s="7"/>
      <c r="B2169"/>
      <c r="C2169"/>
      <c r="K2169" s="1"/>
      <c r="M2169"/>
    </row>
    <row r="2170" spans="1:13" x14ac:dyDescent="0.2">
      <c r="A2170" s="7"/>
      <c r="B2170"/>
      <c r="C2170"/>
      <c r="K2170" s="1"/>
      <c r="M2170"/>
    </row>
    <row r="2171" spans="1:13" x14ac:dyDescent="0.2">
      <c r="A2171" s="7"/>
      <c r="B2171"/>
      <c r="C2171"/>
      <c r="K2171" s="1"/>
      <c r="M2171"/>
    </row>
    <row r="2172" spans="1:13" x14ac:dyDescent="0.2">
      <c r="A2172" s="7"/>
      <c r="B2172"/>
      <c r="C2172"/>
      <c r="K2172" s="1"/>
      <c r="M2172"/>
    </row>
    <row r="2173" spans="1:13" x14ac:dyDescent="0.2">
      <c r="A2173" s="7"/>
      <c r="B2173"/>
      <c r="C2173"/>
      <c r="K2173" s="1"/>
      <c r="M2173"/>
    </row>
    <row r="2174" spans="1:13" x14ac:dyDescent="0.2">
      <c r="A2174" s="7"/>
      <c r="B2174"/>
      <c r="C2174"/>
      <c r="K2174" s="1"/>
      <c r="M2174"/>
    </row>
    <row r="2175" spans="1:13" x14ac:dyDescent="0.2">
      <c r="A2175" s="7"/>
      <c r="B2175"/>
      <c r="C2175"/>
      <c r="K2175" s="1"/>
      <c r="M2175"/>
    </row>
    <row r="2176" spans="1:13" x14ac:dyDescent="0.2">
      <c r="A2176" s="7"/>
      <c r="B2176"/>
      <c r="C2176"/>
      <c r="K2176" s="1"/>
      <c r="M2176"/>
    </row>
    <row r="2177" spans="1:13" x14ac:dyDescent="0.2">
      <c r="A2177" s="7"/>
      <c r="B2177"/>
      <c r="C2177"/>
      <c r="K2177" s="1"/>
      <c r="M2177"/>
    </row>
    <row r="2178" spans="1:13" x14ac:dyDescent="0.2">
      <c r="A2178" s="7"/>
      <c r="B2178"/>
      <c r="C2178"/>
      <c r="K2178" s="1"/>
      <c r="M2178"/>
    </row>
    <row r="2179" spans="1:13" x14ac:dyDescent="0.2">
      <c r="A2179" s="7"/>
      <c r="B2179"/>
      <c r="C2179"/>
      <c r="K2179" s="1"/>
      <c r="M2179"/>
    </row>
    <row r="2180" spans="1:13" x14ac:dyDescent="0.2">
      <c r="A2180" s="7"/>
      <c r="B2180"/>
      <c r="C2180"/>
      <c r="K2180" s="1"/>
      <c r="M2180"/>
    </row>
    <row r="2181" spans="1:13" x14ac:dyDescent="0.2">
      <c r="A2181" s="7"/>
      <c r="B2181"/>
      <c r="C2181"/>
      <c r="K2181" s="1"/>
      <c r="M2181"/>
    </row>
    <row r="2182" spans="1:13" x14ac:dyDescent="0.2">
      <c r="A2182" s="7"/>
      <c r="B2182"/>
      <c r="C2182"/>
      <c r="K2182" s="1"/>
      <c r="M2182"/>
    </row>
    <row r="2183" spans="1:13" x14ac:dyDescent="0.2">
      <c r="A2183" s="7"/>
      <c r="B2183"/>
      <c r="C2183"/>
      <c r="K2183" s="1"/>
      <c r="M2183"/>
    </row>
    <row r="2184" spans="1:13" x14ac:dyDescent="0.2">
      <c r="A2184" s="7"/>
      <c r="B2184"/>
      <c r="C2184"/>
      <c r="K2184" s="1"/>
      <c r="M2184"/>
    </row>
    <row r="2185" spans="1:13" x14ac:dyDescent="0.2">
      <c r="A2185" s="7"/>
      <c r="B2185"/>
      <c r="C2185"/>
      <c r="K2185" s="1"/>
      <c r="M2185"/>
    </row>
    <row r="2186" spans="1:13" x14ac:dyDescent="0.2">
      <c r="A2186" s="7"/>
      <c r="B2186"/>
      <c r="C2186"/>
      <c r="K2186" s="1"/>
      <c r="M2186"/>
    </row>
    <row r="2187" spans="1:13" x14ac:dyDescent="0.2">
      <c r="A2187" s="7"/>
      <c r="B2187"/>
      <c r="C2187"/>
      <c r="K2187" s="1"/>
      <c r="M2187"/>
    </row>
    <row r="2188" spans="1:13" x14ac:dyDescent="0.2">
      <c r="A2188" s="7"/>
      <c r="B2188"/>
      <c r="C2188"/>
      <c r="K2188" s="1"/>
      <c r="M2188"/>
    </row>
    <row r="2189" spans="1:13" x14ac:dyDescent="0.2">
      <c r="A2189" s="7"/>
      <c r="B2189"/>
      <c r="C2189"/>
      <c r="K2189" s="1"/>
      <c r="M2189"/>
    </row>
    <row r="2190" spans="1:13" x14ac:dyDescent="0.2">
      <c r="A2190" s="7"/>
      <c r="B2190"/>
      <c r="C2190"/>
      <c r="K2190" s="1"/>
      <c r="M2190"/>
    </row>
    <row r="2191" spans="1:13" x14ac:dyDescent="0.2">
      <c r="A2191" s="7"/>
      <c r="B2191"/>
      <c r="C2191"/>
      <c r="K2191" s="1"/>
      <c r="M2191"/>
    </row>
    <row r="2192" spans="1:13" x14ac:dyDescent="0.2">
      <c r="A2192" s="7"/>
      <c r="B2192"/>
      <c r="C2192"/>
      <c r="K2192" s="1"/>
      <c r="M2192"/>
    </row>
    <row r="2193" spans="1:13" x14ac:dyDescent="0.2">
      <c r="A2193" s="7"/>
      <c r="B2193"/>
      <c r="C2193"/>
      <c r="K2193" s="1"/>
      <c r="M2193"/>
    </row>
    <row r="2194" spans="1:13" x14ac:dyDescent="0.2">
      <c r="A2194" s="7"/>
      <c r="B2194"/>
      <c r="C2194"/>
      <c r="K2194" s="1"/>
      <c r="M2194"/>
    </row>
    <row r="2195" spans="1:13" x14ac:dyDescent="0.2">
      <c r="A2195" s="7"/>
      <c r="B2195"/>
      <c r="C2195"/>
      <c r="K2195" s="1"/>
      <c r="M2195"/>
    </row>
    <row r="2196" spans="1:13" x14ac:dyDescent="0.2">
      <c r="A2196" s="7"/>
      <c r="B2196"/>
      <c r="C2196"/>
      <c r="K2196" s="1"/>
      <c r="M2196"/>
    </row>
    <row r="2197" spans="1:13" x14ac:dyDescent="0.2">
      <c r="A2197" s="7"/>
      <c r="B2197"/>
      <c r="C2197"/>
      <c r="K2197" s="1"/>
      <c r="M2197"/>
    </row>
    <row r="2198" spans="1:13" x14ac:dyDescent="0.2">
      <c r="A2198" s="7"/>
      <c r="B2198"/>
      <c r="C2198"/>
      <c r="K2198" s="1"/>
      <c r="M2198"/>
    </row>
    <row r="2199" spans="1:13" x14ac:dyDescent="0.2">
      <c r="A2199" s="7"/>
      <c r="B2199"/>
      <c r="C2199"/>
      <c r="K2199" s="1"/>
      <c r="M2199"/>
    </row>
    <row r="2200" spans="1:13" x14ac:dyDescent="0.2">
      <c r="A2200" s="7"/>
      <c r="B2200"/>
      <c r="C2200"/>
      <c r="K2200" s="1"/>
      <c r="M2200"/>
    </row>
    <row r="2201" spans="1:13" x14ac:dyDescent="0.2">
      <c r="A2201" s="7"/>
      <c r="B2201"/>
      <c r="C2201"/>
      <c r="K2201" s="1"/>
      <c r="M2201"/>
    </row>
    <row r="2202" spans="1:13" x14ac:dyDescent="0.2">
      <c r="A2202" s="7"/>
      <c r="B2202"/>
      <c r="C2202"/>
      <c r="K2202" s="1"/>
      <c r="M2202"/>
    </row>
    <row r="2203" spans="1:13" x14ac:dyDescent="0.2">
      <c r="A2203" s="7"/>
      <c r="B2203"/>
      <c r="C2203"/>
      <c r="K2203" s="1"/>
      <c r="M2203"/>
    </row>
    <row r="2204" spans="1:13" x14ac:dyDescent="0.2">
      <c r="A2204" s="7"/>
      <c r="B2204"/>
      <c r="C2204"/>
      <c r="K2204" s="1"/>
      <c r="M2204"/>
    </row>
    <row r="2205" spans="1:13" x14ac:dyDescent="0.2">
      <c r="A2205" s="7"/>
      <c r="B2205"/>
      <c r="C2205"/>
      <c r="K2205" s="1"/>
      <c r="M2205"/>
    </row>
    <row r="2206" spans="1:13" x14ac:dyDescent="0.2">
      <c r="A2206" s="7"/>
      <c r="B2206"/>
      <c r="C2206"/>
      <c r="K2206" s="1"/>
      <c r="M2206"/>
    </row>
    <row r="2207" spans="1:13" x14ac:dyDescent="0.2">
      <c r="A2207" s="7"/>
      <c r="B2207"/>
      <c r="C2207"/>
      <c r="K2207" s="1"/>
      <c r="M2207"/>
    </row>
    <row r="2208" spans="1:13" x14ac:dyDescent="0.2">
      <c r="A2208" s="7"/>
      <c r="B2208"/>
      <c r="C2208"/>
      <c r="K2208" s="1"/>
      <c r="M2208"/>
    </row>
    <row r="2209" spans="1:13" x14ac:dyDescent="0.2">
      <c r="A2209" s="7"/>
      <c r="B2209"/>
      <c r="C2209"/>
      <c r="K2209" s="1"/>
      <c r="M2209"/>
    </row>
    <row r="2210" spans="1:13" x14ac:dyDescent="0.2">
      <c r="A2210" s="7"/>
      <c r="B2210"/>
      <c r="C2210"/>
      <c r="K2210" s="1"/>
      <c r="M2210"/>
    </row>
    <row r="2211" spans="1:13" x14ac:dyDescent="0.2">
      <c r="A2211" s="7"/>
      <c r="B2211"/>
      <c r="C2211"/>
      <c r="K2211" s="1"/>
      <c r="M2211"/>
    </row>
    <row r="2212" spans="1:13" x14ac:dyDescent="0.2">
      <c r="A2212" s="7"/>
      <c r="B2212"/>
      <c r="C2212"/>
      <c r="K2212" s="1"/>
      <c r="M2212"/>
    </row>
    <row r="2213" spans="1:13" x14ac:dyDescent="0.2">
      <c r="A2213" s="7"/>
      <c r="B2213"/>
      <c r="C2213"/>
      <c r="K2213" s="1"/>
      <c r="M2213"/>
    </row>
    <row r="2214" spans="1:13" x14ac:dyDescent="0.2">
      <c r="A2214" s="7"/>
      <c r="B2214"/>
      <c r="C2214"/>
      <c r="K2214" s="1"/>
      <c r="M2214"/>
    </row>
    <row r="2215" spans="1:13" x14ac:dyDescent="0.2">
      <c r="A2215" s="7"/>
      <c r="B2215"/>
      <c r="C2215"/>
      <c r="K2215" s="1"/>
      <c r="M2215"/>
    </row>
    <row r="2216" spans="1:13" x14ac:dyDescent="0.2">
      <c r="A2216" s="7"/>
      <c r="B2216"/>
      <c r="C2216"/>
      <c r="K2216" s="1"/>
      <c r="M2216"/>
    </row>
    <row r="2217" spans="1:13" x14ac:dyDescent="0.2">
      <c r="A2217" s="7"/>
      <c r="B2217"/>
      <c r="C2217"/>
      <c r="K2217" s="1"/>
      <c r="M2217"/>
    </row>
    <row r="2218" spans="1:13" x14ac:dyDescent="0.2">
      <c r="A2218" s="7"/>
      <c r="B2218"/>
      <c r="C2218"/>
      <c r="K2218" s="1"/>
      <c r="M2218"/>
    </row>
    <row r="2219" spans="1:13" x14ac:dyDescent="0.2">
      <c r="A2219" s="7"/>
      <c r="B2219"/>
      <c r="C2219"/>
      <c r="K2219" s="1"/>
      <c r="M2219"/>
    </row>
    <row r="2220" spans="1:13" x14ac:dyDescent="0.2">
      <c r="A2220" s="7"/>
      <c r="B2220"/>
      <c r="C2220"/>
      <c r="K2220" s="1"/>
      <c r="M2220"/>
    </row>
    <row r="2221" spans="1:13" x14ac:dyDescent="0.2">
      <c r="A2221" s="7"/>
      <c r="B2221"/>
      <c r="C2221"/>
      <c r="K2221" s="1"/>
      <c r="M2221"/>
    </row>
    <row r="2222" spans="1:13" x14ac:dyDescent="0.2">
      <c r="A2222" s="7"/>
      <c r="B2222"/>
      <c r="C2222"/>
      <c r="K2222" s="1"/>
      <c r="M2222"/>
    </row>
    <row r="2223" spans="1:13" x14ac:dyDescent="0.2">
      <c r="A2223" s="7"/>
      <c r="B2223"/>
      <c r="C2223"/>
      <c r="K2223" s="1"/>
      <c r="M2223"/>
    </row>
    <row r="2224" spans="1:13" x14ac:dyDescent="0.2">
      <c r="A2224" s="7"/>
      <c r="B2224"/>
      <c r="C2224"/>
      <c r="K2224" s="1"/>
      <c r="M2224"/>
    </row>
    <row r="2225" spans="1:13" x14ac:dyDescent="0.2">
      <c r="A2225" s="7"/>
      <c r="B2225"/>
      <c r="C2225"/>
      <c r="K2225" s="1"/>
      <c r="M2225"/>
    </row>
    <row r="2226" spans="1:13" x14ac:dyDescent="0.2">
      <c r="A2226" s="7"/>
      <c r="B2226"/>
      <c r="C2226"/>
      <c r="K2226" s="1"/>
      <c r="M2226"/>
    </row>
    <row r="2227" spans="1:13" x14ac:dyDescent="0.2">
      <c r="A2227" s="7"/>
      <c r="B2227"/>
      <c r="C2227"/>
      <c r="K2227" s="1"/>
      <c r="M2227"/>
    </row>
    <row r="2228" spans="1:13" x14ac:dyDescent="0.2">
      <c r="A2228" s="7"/>
      <c r="B2228"/>
      <c r="C2228"/>
      <c r="K2228" s="1"/>
      <c r="M2228"/>
    </row>
    <row r="2229" spans="1:13" x14ac:dyDescent="0.2">
      <c r="A2229" s="7"/>
      <c r="B2229"/>
      <c r="C2229"/>
      <c r="K2229" s="1"/>
      <c r="M2229"/>
    </row>
    <row r="2230" spans="1:13" x14ac:dyDescent="0.2">
      <c r="A2230" s="7"/>
      <c r="B2230"/>
      <c r="C2230"/>
      <c r="K2230" s="1"/>
      <c r="M2230"/>
    </row>
    <row r="2231" spans="1:13" x14ac:dyDescent="0.2">
      <c r="A2231" s="7"/>
      <c r="B2231"/>
      <c r="C2231"/>
      <c r="K2231" s="1"/>
      <c r="M2231"/>
    </row>
    <row r="2232" spans="1:13" x14ac:dyDescent="0.2">
      <c r="A2232" s="7"/>
      <c r="B2232"/>
      <c r="C2232"/>
      <c r="K2232" s="1"/>
      <c r="M2232"/>
    </row>
    <row r="2233" spans="1:13" x14ac:dyDescent="0.2">
      <c r="A2233" s="7"/>
      <c r="B2233"/>
      <c r="C2233"/>
      <c r="K2233" s="1"/>
      <c r="M2233"/>
    </row>
    <row r="2234" spans="1:13" x14ac:dyDescent="0.2">
      <c r="A2234" s="7"/>
      <c r="B2234"/>
      <c r="C2234"/>
      <c r="K2234" s="1"/>
      <c r="M2234"/>
    </row>
    <row r="2235" spans="1:13" x14ac:dyDescent="0.2">
      <c r="A2235" s="7"/>
      <c r="B2235"/>
      <c r="C2235"/>
      <c r="K2235" s="1"/>
      <c r="M2235"/>
    </row>
    <row r="2236" spans="1:13" x14ac:dyDescent="0.2">
      <c r="A2236" s="7"/>
      <c r="B2236"/>
      <c r="C2236"/>
      <c r="K2236" s="1"/>
      <c r="M2236"/>
    </row>
    <row r="2237" spans="1:13" x14ac:dyDescent="0.2">
      <c r="A2237" s="7"/>
      <c r="B2237"/>
      <c r="C2237"/>
      <c r="K2237" s="1"/>
      <c r="M2237"/>
    </row>
    <row r="2238" spans="1:13" x14ac:dyDescent="0.2">
      <c r="A2238" s="7"/>
      <c r="B2238"/>
      <c r="C2238"/>
      <c r="K2238" s="1"/>
      <c r="M2238"/>
    </row>
    <row r="2239" spans="1:13" x14ac:dyDescent="0.2">
      <c r="A2239" s="7"/>
      <c r="B2239"/>
      <c r="C2239"/>
      <c r="K2239" s="1"/>
      <c r="M2239"/>
    </row>
    <row r="2240" spans="1:13" x14ac:dyDescent="0.2">
      <c r="A2240" s="7"/>
      <c r="B2240"/>
      <c r="C2240"/>
      <c r="K2240" s="1"/>
      <c r="M2240"/>
    </row>
    <row r="2241" spans="1:13" x14ac:dyDescent="0.2">
      <c r="A2241" s="7"/>
      <c r="B2241"/>
      <c r="C2241"/>
      <c r="K2241" s="1"/>
      <c r="M2241"/>
    </row>
    <row r="2242" spans="1:13" x14ac:dyDescent="0.2">
      <c r="A2242" s="7"/>
      <c r="B2242"/>
      <c r="C2242"/>
      <c r="K2242" s="1"/>
      <c r="M2242"/>
    </row>
    <row r="2243" spans="1:13" x14ac:dyDescent="0.2">
      <c r="A2243" s="7"/>
      <c r="B2243"/>
      <c r="C2243"/>
      <c r="K2243" s="1"/>
      <c r="M2243"/>
    </row>
    <row r="2244" spans="1:13" x14ac:dyDescent="0.2">
      <c r="A2244" s="7"/>
      <c r="B2244"/>
      <c r="C2244"/>
      <c r="K2244" s="1"/>
      <c r="M2244"/>
    </row>
    <row r="2245" spans="1:13" x14ac:dyDescent="0.2">
      <c r="A2245" s="7"/>
      <c r="B2245"/>
      <c r="C2245"/>
      <c r="K2245" s="1"/>
      <c r="M2245"/>
    </row>
    <row r="2246" spans="1:13" x14ac:dyDescent="0.2">
      <c r="A2246" s="7"/>
      <c r="B2246"/>
      <c r="C2246"/>
      <c r="K2246" s="1"/>
      <c r="M2246"/>
    </row>
    <row r="2247" spans="1:13" x14ac:dyDescent="0.2">
      <c r="A2247" s="7"/>
      <c r="B2247"/>
      <c r="C2247"/>
      <c r="K2247" s="1"/>
      <c r="M2247"/>
    </row>
    <row r="2248" spans="1:13" x14ac:dyDescent="0.2">
      <c r="A2248" s="7"/>
      <c r="B2248"/>
      <c r="C2248"/>
      <c r="K2248" s="1"/>
      <c r="M2248"/>
    </row>
    <row r="2249" spans="1:13" x14ac:dyDescent="0.2">
      <c r="A2249" s="7"/>
      <c r="B2249"/>
      <c r="C2249"/>
      <c r="K2249" s="1"/>
      <c r="M2249"/>
    </row>
    <row r="2250" spans="1:13" x14ac:dyDescent="0.2">
      <c r="A2250" s="7"/>
      <c r="B2250"/>
      <c r="C2250"/>
      <c r="K2250" s="1"/>
      <c r="M2250"/>
    </row>
    <row r="2251" spans="1:13" x14ac:dyDescent="0.2">
      <c r="A2251" s="7"/>
      <c r="B2251"/>
      <c r="C2251"/>
      <c r="K2251" s="1"/>
      <c r="M2251"/>
    </row>
    <row r="2252" spans="1:13" x14ac:dyDescent="0.2">
      <c r="A2252" s="7"/>
      <c r="B2252"/>
      <c r="C2252"/>
      <c r="K2252" s="1"/>
      <c r="M2252"/>
    </row>
    <row r="2253" spans="1:13" x14ac:dyDescent="0.2">
      <c r="A2253" s="7"/>
      <c r="B2253"/>
      <c r="C2253"/>
      <c r="K2253" s="1"/>
      <c r="M2253"/>
    </row>
    <row r="2254" spans="1:13" x14ac:dyDescent="0.2">
      <c r="A2254" s="7"/>
      <c r="B2254"/>
      <c r="C2254"/>
      <c r="K2254" s="1"/>
      <c r="M2254"/>
    </row>
    <row r="2255" spans="1:13" x14ac:dyDescent="0.2">
      <c r="A2255" s="7"/>
      <c r="B2255"/>
      <c r="C2255"/>
      <c r="K2255" s="1"/>
      <c r="M2255"/>
    </row>
    <row r="2256" spans="1:13" x14ac:dyDescent="0.2">
      <c r="A2256" s="7"/>
      <c r="B2256"/>
      <c r="C2256"/>
      <c r="K2256" s="1"/>
      <c r="M2256"/>
    </row>
    <row r="2257" spans="1:13" x14ac:dyDescent="0.2">
      <c r="A2257" s="7"/>
      <c r="B2257"/>
      <c r="C2257"/>
      <c r="K2257" s="1"/>
      <c r="M2257"/>
    </row>
    <row r="2258" spans="1:13" x14ac:dyDescent="0.2">
      <c r="A2258" s="7"/>
      <c r="B2258"/>
      <c r="C2258"/>
      <c r="K2258" s="1"/>
      <c r="M2258"/>
    </row>
    <row r="2259" spans="1:13" x14ac:dyDescent="0.2">
      <c r="A2259" s="7"/>
      <c r="B2259"/>
      <c r="C2259"/>
      <c r="K2259" s="1"/>
      <c r="M2259"/>
    </row>
    <row r="2260" spans="1:13" x14ac:dyDescent="0.2">
      <c r="A2260" s="7"/>
      <c r="B2260"/>
      <c r="C2260"/>
      <c r="K2260" s="1"/>
      <c r="M2260"/>
    </row>
    <row r="2261" spans="1:13" x14ac:dyDescent="0.2">
      <c r="A2261" s="7"/>
      <c r="B2261"/>
      <c r="C2261"/>
      <c r="K2261" s="1"/>
      <c r="M2261"/>
    </row>
    <row r="2262" spans="1:13" x14ac:dyDescent="0.2">
      <c r="A2262" s="7"/>
      <c r="B2262"/>
      <c r="C2262"/>
      <c r="K2262" s="1"/>
      <c r="M2262"/>
    </row>
    <row r="2263" spans="1:13" x14ac:dyDescent="0.2">
      <c r="A2263" s="7"/>
      <c r="B2263"/>
      <c r="C2263"/>
      <c r="K2263" s="1"/>
      <c r="M2263"/>
    </row>
    <row r="2264" spans="1:13" x14ac:dyDescent="0.2">
      <c r="A2264" s="7"/>
      <c r="B2264"/>
      <c r="C2264"/>
      <c r="K2264" s="1"/>
      <c r="M2264"/>
    </row>
    <row r="2265" spans="1:13" x14ac:dyDescent="0.2">
      <c r="A2265" s="7"/>
      <c r="B2265"/>
      <c r="C2265"/>
      <c r="K2265" s="1"/>
      <c r="M2265"/>
    </row>
    <row r="2266" spans="1:13" x14ac:dyDescent="0.2">
      <c r="A2266" s="7"/>
      <c r="B2266"/>
      <c r="C2266"/>
      <c r="K2266" s="1"/>
      <c r="M2266"/>
    </row>
    <row r="2267" spans="1:13" x14ac:dyDescent="0.2">
      <c r="A2267" s="7"/>
      <c r="B2267"/>
      <c r="C2267"/>
      <c r="K2267" s="1"/>
      <c r="M2267"/>
    </row>
    <row r="2268" spans="1:13" x14ac:dyDescent="0.2">
      <c r="A2268" s="7"/>
      <c r="B2268"/>
      <c r="C2268"/>
      <c r="K2268" s="1"/>
      <c r="M2268"/>
    </row>
    <row r="2269" spans="1:13" x14ac:dyDescent="0.2">
      <c r="A2269" s="7"/>
      <c r="B2269"/>
      <c r="C2269"/>
      <c r="K2269" s="1"/>
      <c r="M2269"/>
    </row>
    <row r="2270" spans="1:13" x14ac:dyDescent="0.2">
      <c r="A2270" s="7"/>
      <c r="B2270"/>
      <c r="C2270"/>
      <c r="K2270" s="1"/>
      <c r="M2270"/>
    </row>
  </sheetData>
  <sheetProtection password="C06F" sheet="1" objects="1" scenarios="1"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2.75" x14ac:dyDescent="0.2"/>
  <cols>
    <col min="1" max="1" width="9.140625" style="5" customWidth="1"/>
  </cols>
  <sheetData>
    <row r="1" spans="1:11" s="5" customFormat="1" x14ac:dyDescent="0.2">
      <c r="A1" s="5" t="s">
        <v>515</v>
      </c>
      <c r="B1" s="5" t="s">
        <v>0</v>
      </c>
      <c r="D1" s="5" t="s">
        <v>1</v>
      </c>
      <c r="F1" s="5" t="s">
        <v>2</v>
      </c>
      <c r="H1" s="5" t="s">
        <v>3</v>
      </c>
      <c r="K1" s="6"/>
    </row>
    <row r="2" spans="1:11" s="7" customFormat="1" ht="13.5" thickBot="1" x14ac:dyDescent="0.25">
      <c r="A2" s="10"/>
      <c r="B2" s="10" t="s">
        <v>5</v>
      </c>
      <c r="C2" s="10" t="s">
        <v>6</v>
      </c>
      <c r="D2" s="10" t="s">
        <v>5</v>
      </c>
      <c r="E2" s="10" t="s">
        <v>6</v>
      </c>
      <c r="F2" s="10" t="s">
        <v>5</v>
      </c>
      <c r="G2" s="10" t="s">
        <v>6</v>
      </c>
      <c r="H2" s="10" t="s">
        <v>5</v>
      </c>
      <c r="I2" s="10" t="s">
        <v>6</v>
      </c>
      <c r="K2" s="8"/>
    </row>
    <row r="3" spans="1:11" x14ac:dyDescent="0.2">
      <c r="A3" s="5" t="s">
        <v>99</v>
      </c>
      <c r="B3" s="15">
        <v>1313</v>
      </c>
      <c r="C3">
        <v>1060.5</v>
      </c>
      <c r="D3">
        <v>1313</v>
      </c>
      <c r="E3">
        <v>1057</v>
      </c>
      <c r="F3">
        <v>1309.5</v>
      </c>
      <c r="G3">
        <v>1057</v>
      </c>
      <c r="H3">
        <v>1309.5</v>
      </c>
      <c r="I3">
        <v>1060.5</v>
      </c>
    </row>
    <row r="4" spans="1:11" x14ac:dyDescent="0.2">
      <c r="A4" s="5" t="s">
        <v>100</v>
      </c>
      <c r="B4" s="14">
        <v>1313</v>
      </c>
      <c r="C4">
        <v>1064.5</v>
      </c>
      <c r="D4">
        <v>1313</v>
      </c>
      <c r="E4">
        <v>1061</v>
      </c>
      <c r="F4">
        <v>1309.5</v>
      </c>
      <c r="G4">
        <v>1061</v>
      </c>
      <c r="H4">
        <v>1309.5</v>
      </c>
      <c r="I4">
        <v>1064.5</v>
      </c>
    </row>
    <row r="5" spans="1:11" x14ac:dyDescent="0.2">
      <c r="A5" s="5" t="s">
        <v>101</v>
      </c>
      <c r="B5" s="14">
        <v>1313</v>
      </c>
      <c r="C5">
        <v>1068.5</v>
      </c>
      <c r="D5">
        <v>1313</v>
      </c>
      <c r="E5">
        <v>1065</v>
      </c>
      <c r="F5">
        <v>1309.5</v>
      </c>
      <c r="G5">
        <v>1065</v>
      </c>
      <c r="H5">
        <v>1309.5</v>
      </c>
      <c r="I5">
        <v>1068.5</v>
      </c>
    </row>
    <row r="6" spans="1:11" x14ac:dyDescent="0.2">
      <c r="A6" s="5" t="s">
        <v>102</v>
      </c>
      <c r="B6" s="14">
        <v>1313</v>
      </c>
      <c r="C6">
        <v>1072.5</v>
      </c>
      <c r="D6">
        <v>1313</v>
      </c>
      <c r="E6">
        <v>1069</v>
      </c>
      <c r="F6">
        <v>1309.5</v>
      </c>
      <c r="G6">
        <v>1069</v>
      </c>
      <c r="H6">
        <v>1309.5</v>
      </c>
      <c r="I6">
        <v>1072.5</v>
      </c>
    </row>
    <row r="7" spans="1:11" x14ac:dyDescent="0.2">
      <c r="A7" s="5" t="s">
        <v>103</v>
      </c>
      <c r="B7" s="14">
        <v>1313</v>
      </c>
      <c r="C7">
        <v>1076.5</v>
      </c>
      <c r="D7">
        <v>1313</v>
      </c>
      <c r="E7">
        <v>1073</v>
      </c>
      <c r="F7">
        <v>1309.5</v>
      </c>
      <c r="G7">
        <v>1073</v>
      </c>
      <c r="H7">
        <v>1309.5</v>
      </c>
      <c r="I7">
        <v>1076.5</v>
      </c>
    </row>
    <row r="8" spans="1:11" x14ac:dyDescent="0.2">
      <c r="A8" s="5" t="s">
        <v>104</v>
      </c>
      <c r="B8" s="14">
        <v>1313</v>
      </c>
      <c r="C8">
        <v>1082.5</v>
      </c>
      <c r="D8">
        <v>1313</v>
      </c>
      <c r="E8">
        <v>1079</v>
      </c>
      <c r="F8">
        <v>1309.5</v>
      </c>
      <c r="G8">
        <v>1079</v>
      </c>
      <c r="H8">
        <v>1309.5</v>
      </c>
      <c r="I8">
        <v>1082.5</v>
      </c>
    </row>
    <row r="9" spans="1:11" x14ac:dyDescent="0.2">
      <c r="A9" s="5" t="s">
        <v>105</v>
      </c>
      <c r="B9" s="14">
        <v>1313</v>
      </c>
      <c r="C9">
        <v>1086.5</v>
      </c>
      <c r="D9">
        <v>1313</v>
      </c>
      <c r="E9">
        <v>1083</v>
      </c>
      <c r="F9">
        <v>1309.5</v>
      </c>
      <c r="G9">
        <v>1083</v>
      </c>
      <c r="H9">
        <v>1309.5</v>
      </c>
      <c r="I9">
        <v>1086.5</v>
      </c>
    </row>
    <row r="10" spans="1:11" x14ac:dyDescent="0.2">
      <c r="A10" s="5" t="s">
        <v>106</v>
      </c>
      <c r="B10" s="14">
        <v>1313</v>
      </c>
      <c r="C10">
        <v>1090.5</v>
      </c>
      <c r="D10">
        <v>1313</v>
      </c>
      <c r="E10">
        <v>1087</v>
      </c>
      <c r="F10">
        <v>1309.5</v>
      </c>
      <c r="G10">
        <v>1087</v>
      </c>
      <c r="H10">
        <v>1309.5</v>
      </c>
      <c r="I10">
        <v>1090.5</v>
      </c>
    </row>
    <row r="11" spans="1:11" x14ac:dyDescent="0.2">
      <c r="A11" s="5" t="s">
        <v>107</v>
      </c>
      <c r="B11" s="14">
        <v>1313</v>
      </c>
      <c r="C11">
        <v>1094.5</v>
      </c>
      <c r="D11">
        <v>1313</v>
      </c>
      <c r="E11">
        <v>1091</v>
      </c>
      <c r="F11">
        <v>1309.5</v>
      </c>
      <c r="G11">
        <v>1091</v>
      </c>
      <c r="H11">
        <v>1309.5</v>
      </c>
      <c r="I11">
        <v>1094.5</v>
      </c>
    </row>
    <row r="12" spans="1:11" x14ac:dyDescent="0.2">
      <c r="A12" s="5" t="s">
        <v>108</v>
      </c>
      <c r="B12" s="14">
        <v>1313</v>
      </c>
      <c r="C12">
        <v>1098.5</v>
      </c>
      <c r="D12">
        <v>1313</v>
      </c>
      <c r="E12">
        <v>1095</v>
      </c>
      <c r="F12">
        <v>1309.5</v>
      </c>
      <c r="G12">
        <v>1095</v>
      </c>
      <c r="H12">
        <v>1309.5</v>
      </c>
      <c r="I12">
        <v>1098.5</v>
      </c>
    </row>
    <row r="13" spans="1:11" x14ac:dyDescent="0.2">
      <c r="A13" s="5" t="s">
        <v>109</v>
      </c>
      <c r="B13" s="14">
        <v>1313</v>
      </c>
      <c r="C13">
        <v>1104.5</v>
      </c>
      <c r="D13">
        <v>1313</v>
      </c>
      <c r="E13">
        <v>1101</v>
      </c>
      <c r="F13">
        <v>1309.5</v>
      </c>
      <c r="G13">
        <v>1101</v>
      </c>
      <c r="H13">
        <v>1309.5</v>
      </c>
      <c r="I13">
        <v>1104.5</v>
      </c>
    </row>
    <row r="14" spans="1:11" x14ac:dyDescent="0.2">
      <c r="A14" s="5" t="s">
        <v>110</v>
      </c>
      <c r="B14" s="14">
        <v>1313</v>
      </c>
      <c r="C14">
        <v>1108.5</v>
      </c>
      <c r="D14">
        <v>1313</v>
      </c>
      <c r="E14">
        <v>1105</v>
      </c>
      <c r="F14">
        <v>1309.5</v>
      </c>
      <c r="G14">
        <v>1105</v>
      </c>
      <c r="H14">
        <v>1309.5</v>
      </c>
      <c r="I14">
        <v>1108.5</v>
      </c>
    </row>
    <row r="15" spans="1:11" x14ac:dyDescent="0.2">
      <c r="A15" s="5" t="s">
        <v>111</v>
      </c>
      <c r="B15" s="14">
        <v>1313</v>
      </c>
      <c r="C15">
        <v>1112.5</v>
      </c>
      <c r="D15">
        <v>1313</v>
      </c>
      <c r="E15">
        <v>1109</v>
      </c>
      <c r="F15">
        <v>1309.5</v>
      </c>
      <c r="G15">
        <v>1109</v>
      </c>
      <c r="H15">
        <v>1309.5</v>
      </c>
      <c r="I15">
        <v>1112.5</v>
      </c>
    </row>
    <row r="16" spans="1:11" x14ac:dyDescent="0.2">
      <c r="A16" s="5" t="s">
        <v>112</v>
      </c>
      <c r="B16" s="14">
        <v>1313</v>
      </c>
      <c r="C16">
        <v>1116.5</v>
      </c>
      <c r="D16">
        <v>1313</v>
      </c>
      <c r="E16">
        <v>1113</v>
      </c>
      <c r="F16">
        <v>1309.5</v>
      </c>
      <c r="G16">
        <v>1113</v>
      </c>
      <c r="H16">
        <v>1309.5</v>
      </c>
      <c r="I16">
        <v>1116.5</v>
      </c>
    </row>
    <row r="17" spans="1:9" x14ac:dyDescent="0.2">
      <c r="A17" s="5" t="s">
        <v>113</v>
      </c>
      <c r="B17" s="14">
        <v>1313</v>
      </c>
      <c r="C17">
        <v>1120.5</v>
      </c>
      <c r="D17">
        <v>1313</v>
      </c>
      <c r="E17">
        <v>1117</v>
      </c>
      <c r="F17">
        <v>1309.5</v>
      </c>
      <c r="G17">
        <v>1117</v>
      </c>
      <c r="H17">
        <v>1309.5</v>
      </c>
      <c r="I17">
        <v>1120.5</v>
      </c>
    </row>
    <row r="18" spans="1:9" x14ac:dyDescent="0.2">
      <c r="A18" s="5" t="s">
        <v>114</v>
      </c>
      <c r="B18" s="14">
        <v>1313</v>
      </c>
      <c r="C18">
        <v>1126.5</v>
      </c>
      <c r="D18">
        <v>1313</v>
      </c>
      <c r="E18">
        <v>1123</v>
      </c>
      <c r="F18">
        <v>1309.5</v>
      </c>
      <c r="G18">
        <v>1123</v>
      </c>
      <c r="H18">
        <v>1309.5</v>
      </c>
      <c r="I18">
        <v>1126.5</v>
      </c>
    </row>
    <row r="19" spans="1:9" x14ac:dyDescent="0.2">
      <c r="A19" s="5" t="s">
        <v>115</v>
      </c>
      <c r="B19" s="14">
        <v>1313</v>
      </c>
      <c r="C19">
        <v>1130.5</v>
      </c>
      <c r="D19">
        <v>1313</v>
      </c>
      <c r="E19">
        <v>1127</v>
      </c>
      <c r="F19">
        <v>1309.5</v>
      </c>
      <c r="G19">
        <v>1127</v>
      </c>
      <c r="H19">
        <v>1309.5</v>
      </c>
      <c r="I19">
        <v>1130.5</v>
      </c>
    </row>
    <row r="20" spans="1:9" x14ac:dyDescent="0.2">
      <c r="A20" s="5" t="s">
        <v>116</v>
      </c>
      <c r="B20" s="14">
        <v>1313</v>
      </c>
      <c r="C20">
        <v>1134.5</v>
      </c>
      <c r="D20">
        <v>1313</v>
      </c>
      <c r="E20">
        <v>1131</v>
      </c>
      <c r="F20">
        <v>1309.5</v>
      </c>
      <c r="G20">
        <v>1131</v>
      </c>
      <c r="H20">
        <v>1309.5</v>
      </c>
      <c r="I20">
        <v>1134.5</v>
      </c>
    </row>
    <row r="21" spans="1:9" x14ac:dyDescent="0.2">
      <c r="A21" s="5" t="s">
        <v>117</v>
      </c>
      <c r="B21" s="14">
        <v>1313</v>
      </c>
      <c r="C21">
        <v>1138.5</v>
      </c>
      <c r="D21">
        <v>1313</v>
      </c>
      <c r="E21">
        <v>1135</v>
      </c>
      <c r="F21">
        <v>1309.5</v>
      </c>
      <c r="G21">
        <v>1135</v>
      </c>
      <c r="H21">
        <v>1309.5</v>
      </c>
      <c r="I21">
        <v>1138.5</v>
      </c>
    </row>
    <row r="22" spans="1:9" x14ac:dyDescent="0.2">
      <c r="A22" s="5" t="s">
        <v>118</v>
      </c>
      <c r="B22" s="14">
        <v>1313</v>
      </c>
      <c r="C22">
        <v>1142.5</v>
      </c>
      <c r="D22">
        <v>1313</v>
      </c>
      <c r="E22">
        <v>1139</v>
      </c>
      <c r="F22">
        <v>1309.5</v>
      </c>
      <c r="G22">
        <v>1139</v>
      </c>
      <c r="H22">
        <v>1309.5</v>
      </c>
      <c r="I22">
        <v>1142.5</v>
      </c>
    </row>
    <row r="23" spans="1:9" x14ac:dyDescent="0.2">
      <c r="A23" s="5" t="s">
        <v>119</v>
      </c>
      <c r="B23" s="14">
        <v>1313</v>
      </c>
      <c r="C23">
        <v>1151.5</v>
      </c>
      <c r="D23">
        <v>1313</v>
      </c>
      <c r="E23">
        <v>1148</v>
      </c>
      <c r="F23">
        <v>1309.5</v>
      </c>
      <c r="G23">
        <v>1148</v>
      </c>
      <c r="H23">
        <v>1309.5</v>
      </c>
      <c r="I23">
        <v>1151.5</v>
      </c>
    </row>
    <row r="24" spans="1:9" x14ac:dyDescent="0.2">
      <c r="A24" s="5" t="s">
        <v>120</v>
      </c>
      <c r="B24" s="14">
        <v>1313</v>
      </c>
      <c r="C24">
        <v>1155.5</v>
      </c>
      <c r="D24">
        <v>1313</v>
      </c>
      <c r="E24">
        <v>1152</v>
      </c>
      <c r="F24">
        <v>1309.5</v>
      </c>
      <c r="G24">
        <v>1152</v>
      </c>
      <c r="H24">
        <v>1309.5</v>
      </c>
      <c r="I24">
        <v>1155.5</v>
      </c>
    </row>
    <row r="25" spans="1:9" x14ac:dyDescent="0.2">
      <c r="A25" s="5" t="s">
        <v>121</v>
      </c>
      <c r="B25" s="14">
        <v>1313</v>
      </c>
      <c r="C25">
        <v>1159.5</v>
      </c>
      <c r="D25">
        <v>1313</v>
      </c>
      <c r="E25">
        <v>1156</v>
      </c>
      <c r="F25">
        <v>1309.5</v>
      </c>
      <c r="G25">
        <v>1156</v>
      </c>
      <c r="H25">
        <v>1309.5</v>
      </c>
      <c r="I25">
        <v>1159.5</v>
      </c>
    </row>
    <row r="26" spans="1:9" x14ac:dyDescent="0.2">
      <c r="A26" s="5" t="s">
        <v>122</v>
      </c>
      <c r="B26" s="14">
        <v>1313</v>
      </c>
      <c r="C26">
        <v>1163.5</v>
      </c>
      <c r="D26">
        <v>1313</v>
      </c>
      <c r="E26">
        <v>1160</v>
      </c>
      <c r="F26">
        <v>1309.5</v>
      </c>
      <c r="G26">
        <v>1160</v>
      </c>
      <c r="H26">
        <v>1309.5</v>
      </c>
      <c r="I26">
        <v>1163.5</v>
      </c>
    </row>
    <row r="27" spans="1:9" x14ac:dyDescent="0.2">
      <c r="A27" s="5" t="s">
        <v>123</v>
      </c>
      <c r="B27" s="14">
        <v>1313</v>
      </c>
      <c r="C27">
        <v>1167.5</v>
      </c>
      <c r="D27">
        <v>1313</v>
      </c>
      <c r="E27">
        <v>1164</v>
      </c>
      <c r="F27">
        <v>1309.5</v>
      </c>
      <c r="G27">
        <v>1164</v>
      </c>
      <c r="H27">
        <v>1309.5</v>
      </c>
      <c r="I27">
        <v>1167.5</v>
      </c>
    </row>
    <row r="28" spans="1:9" x14ac:dyDescent="0.2">
      <c r="A28" s="5" t="s">
        <v>124</v>
      </c>
      <c r="B28" s="14">
        <v>1313</v>
      </c>
      <c r="C28">
        <v>1173.5</v>
      </c>
      <c r="D28">
        <v>1313</v>
      </c>
      <c r="E28">
        <v>1170</v>
      </c>
      <c r="F28">
        <v>1309.5</v>
      </c>
      <c r="G28">
        <v>1170</v>
      </c>
      <c r="H28">
        <v>1309.5</v>
      </c>
      <c r="I28">
        <v>1173.5</v>
      </c>
    </row>
    <row r="29" spans="1:9" x14ac:dyDescent="0.2">
      <c r="A29" s="5" t="s">
        <v>125</v>
      </c>
      <c r="B29" s="14">
        <v>1313</v>
      </c>
      <c r="C29">
        <v>1177.5</v>
      </c>
      <c r="D29">
        <v>1313</v>
      </c>
      <c r="E29">
        <v>1174</v>
      </c>
      <c r="F29">
        <v>1309.5</v>
      </c>
      <c r="G29">
        <v>1174</v>
      </c>
      <c r="H29">
        <v>1309.5</v>
      </c>
      <c r="I29">
        <v>1177.5</v>
      </c>
    </row>
    <row r="30" spans="1:9" x14ac:dyDescent="0.2">
      <c r="A30" s="5" t="s">
        <v>126</v>
      </c>
      <c r="B30" s="14">
        <v>1313</v>
      </c>
      <c r="C30">
        <v>1181.5</v>
      </c>
      <c r="D30">
        <v>1313</v>
      </c>
      <c r="E30">
        <v>1178</v>
      </c>
      <c r="F30">
        <v>1309.5</v>
      </c>
      <c r="G30">
        <v>1178</v>
      </c>
      <c r="H30">
        <v>1309.5</v>
      </c>
      <c r="I30">
        <v>1181.5</v>
      </c>
    </row>
    <row r="31" spans="1:9" x14ac:dyDescent="0.2">
      <c r="A31" s="5" t="s">
        <v>127</v>
      </c>
      <c r="B31" s="14">
        <v>1313</v>
      </c>
      <c r="C31">
        <v>1185.5</v>
      </c>
      <c r="D31">
        <v>1313</v>
      </c>
      <c r="E31">
        <v>1182</v>
      </c>
      <c r="F31">
        <v>1309.5</v>
      </c>
      <c r="G31">
        <v>1182</v>
      </c>
      <c r="H31">
        <v>1309.5</v>
      </c>
      <c r="I31">
        <v>1185.5</v>
      </c>
    </row>
    <row r="32" spans="1:9" x14ac:dyDescent="0.2">
      <c r="A32" s="5" t="s">
        <v>128</v>
      </c>
      <c r="B32" s="14">
        <v>1313</v>
      </c>
      <c r="C32">
        <v>1189.5</v>
      </c>
      <c r="D32">
        <v>1313</v>
      </c>
      <c r="E32">
        <v>1186</v>
      </c>
      <c r="F32">
        <v>1309.5</v>
      </c>
      <c r="G32">
        <v>1186</v>
      </c>
      <c r="H32">
        <v>1309.5</v>
      </c>
      <c r="I32">
        <v>1189.5</v>
      </c>
    </row>
    <row r="33" spans="1:9" x14ac:dyDescent="0.2">
      <c r="A33" s="5" t="s">
        <v>129</v>
      </c>
      <c r="B33" s="14">
        <v>1313</v>
      </c>
      <c r="C33">
        <v>1195.5</v>
      </c>
      <c r="D33">
        <v>1313</v>
      </c>
      <c r="E33">
        <v>1192</v>
      </c>
      <c r="F33">
        <v>1309.5</v>
      </c>
      <c r="G33">
        <v>1192</v>
      </c>
      <c r="H33">
        <v>1309.5</v>
      </c>
      <c r="I33">
        <v>1195.5</v>
      </c>
    </row>
    <row r="34" spans="1:9" x14ac:dyDescent="0.2">
      <c r="A34" s="5" t="s">
        <v>130</v>
      </c>
      <c r="B34" s="14">
        <v>1313</v>
      </c>
      <c r="C34">
        <v>1199.5</v>
      </c>
      <c r="D34">
        <v>1313</v>
      </c>
      <c r="E34">
        <v>1196</v>
      </c>
      <c r="F34">
        <v>1309.5</v>
      </c>
      <c r="G34">
        <v>1196</v>
      </c>
      <c r="H34">
        <v>1309.5</v>
      </c>
      <c r="I34">
        <v>1199.5</v>
      </c>
    </row>
    <row r="35" spans="1:9" x14ac:dyDescent="0.2">
      <c r="A35" s="5" t="s">
        <v>131</v>
      </c>
      <c r="B35" s="14">
        <v>1313</v>
      </c>
      <c r="C35">
        <v>1203.5</v>
      </c>
      <c r="D35">
        <v>1313</v>
      </c>
      <c r="E35">
        <v>1200</v>
      </c>
      <c r="F35">
        <v>1309.5</v>
      </c>
      <c r="G35">
        <v>1200</v>
      </c>
      <c r="H35">
        <v>1309.5</v>
      </c>
      <c r="I35">
        <v>1203.5</v>
      </c>
    </row>
    <row r="36" spans="1:9" x14ac:dyDescent="0.2">
      <c r="A36" s="5" t="s">
        <v>132</v>
      </c>
      <c r="B36" s="14">
        <v>1313</v>
      </c>
      <c r="C36">
        <v>1207.5</v>
      </c>
      <c r="D36">
        <v>1313</v>
      </c>
      <c r="E36">
        <v>1204</v>
      </c>
      <c r="F36">
        <v>1309.5</v>
      </c>
      <c r="G36">
        <v>1204</v>
      </c>
      <c r="H36">
        <v>1309.5</v>
      </c>
      <c r="I36">
        <v>1207.5</v>
      </c>
    </row>
    <row r="37" spans="1:9" x14ac:dyDescent="0.2">
      <c r="A37" s="5" t="s">
        <v>133</v>
      </c>
      <c r="B37" s="14">
        <v>1313</v>
      </c>
      <c r="C37">
        <v>1211.5</v>
      </c>
      <c r="D37">
        <v>1313</v>
      </c>
      <c r="E37">
        <v>1208</v>
      </c>
      <c r="F37">
        <v>1309.5</v>
      </c>
      <c r="G37">
        <v>1208</v>
      </c>
      <c r="H37">
        <v>1309.5</v>
      </c>
      <c r="I37">
        <v>1211.5</v>
      </c>
    </row>
    <row r="38" spans="1:9" x14ac:dyDescent="0.2">
      <c r="A38" s="5" t="s">
        <v>134</v>
      </c>
      <c r="B38" s="14">
        <v>1313</v>
      </c>
      <c r="C38">
        <v>1217.5</v>
      </c>
      <c r="D38">
        <v>1313</v>
      </c>
      <c r="E38">
        <v>1214</v>
      </c>
      <c r="F38">
        <v>1309.5</v>
      </c>
      <c r="G38">
        <v>1214</v>
      </c>
      <c r="H38">
        <v>1309.5</v>
      </c>
      <c r="I38">
        <v>1217.5</v>
      </c>
    </row>
    <row r="39" spans="1:9" x14ac:dyDescent="0.2">
      <c r="A39" s="5" t="s">
        <v>135</v>
      </c>
      <c r="B39" s="14">
        <v>1313</v>
      </c>
      <c r="C39">
        <v>1221.5</v>
      </c>
      <c r="D39">
        <v>1313</v>
      </c>
      <c r="E39">
        <v>1218</v>
      </c>
      <c r="F39">
        <v>1309.5</v>
      </c>
      <c r="G39">
        <v>1218</v>
      </c>
      <c r="H39">
        <v>1309.5</v>
      </c>
      <c r="I39">
        <v>1221.5</v>
      </c>
    </row>
    <row r="40" spans="1:9" x14ac:dyDescent="0.2">
      <c r="A40" s="5" t="s">
        <v>136</v>
      </c>
      <c r="B40" s="14">
        <v>1313</v>
      </c>
      <c r="C40">
        <v>1225.5</v>
      </c>
      <c r="D40">
        <v>1313</v>
      </c>
      <c r="E40">
        <v>1222</v>
      </c>
      <c r="F40">
        <v>1309.5</v>
      </c>
      <c r="G40">
        <v>1222</v>
      </c>
      <c r="H40">
        <v>1309.5</v>
      </c>
      <c r="I40">
        <v>1225.5</v>
      </c>
    </row>
    <row r="41" spans="1:9" x14ac:dyDescent="0.2">
      <c r="A41" s="5" t="s">
        <v>137</v>
      </c>
      <c r="B41" s="14">
        <v>1313</v>
      </c>
      <c r="C41">
        <v>1229.5</v>
      </c>
      <c r="D41">
        <v>1313</v>
      </c>
      <c r="E41">
        <v>1226</v>
      </c>
      <c r="F41">
        <v>1309.5</v>
      </c>
      <c r="G41">
        <v>1226</v>
      </c>
      <c r="H41">
        <v>1309.5</v>
      </c>
      <c r="I41">
        <v>1229.5</v>
      </c>
    </row>
    <row r="42" spans="1:9" x14ac:dyDescent="0.2">
      <c r="A42" s="5" t="s">
        <v>138</v>
      </c>
      <c r="B42" s="14">
        <v>1313</v>
      </c>
      <c r="C42">
        <v>1233.5</v>
      </c>
      <c r="D42">
        <v>1313</v>
      </c>
      <c r="E42">
        <v>1230</v>
      </c>
      <c r="F42">
        <v>1309.5</v>
      </c>
      <c r="G42">
        <v>1230</v>
      </c>
      <c r="H42">
        <v>1309.5</v>
      </c>
      <c r="I42">
        <v>1233.5</v>
      </c>
    </row>
    <row r="43" spans="1:9" x14ac:dyDescent="0.2">
      <c r="A43" s="5" t="s">
        <v>139</v>
      </c>
      <c r="B43" s="14">
        <v>1313</v>
      </c>
      <c r="C43">
        <v>1239.5</v>
      </c>
      <c r="D43">
        <v>1313</v>
      </c>
      <c r="E43">
        <v>1236</v>
      </c>
      <c r="F43">
        <v>1309.5</v>
      </c>
      <c r="G43">
        <v>1236</v>
      </c>
      <c r="H43">
        <v>1309.5</v>
      </c>
      <c r="I43">
        <v>1239.5</v>
      </c>
    </row>
    <row r="44" spans="1:9" x14ac:dyDescent="0.2">
      <c r="A44" s="5" t="s">
        <v>140</v>
      </c>
      <c r="B44" s="14">
        <v>1313</v>
      </c>
      <c r="C44">
        <v>1243.5</v>
      </c>
      <c r="D44">
        <v>1313</v>
      </c>
      <c r="E44">
        <v>1240</v>
      </c>
      <c r="F44">
        <v>1309.5</v>
      </c>
      <c r="G44">
        <v>1240</v>
      </c>
      <c r="H44">
        <v>1309.5</v>
      </c>
      <c r="I44">
        <v>1243.5</v>
      </c>
    </row>
    <row r="45" spans="1:9" x14ac:dyDescent="0.2">
      <c r="A45" s="5" t="s">
        <v>141</v>
      </c>
      <c r="B45" s="14">
        <v>1313</v>
      </c>
      <c r="C45">
        <v>1247.5</v>
      </c>
      <c r="D45">
        <v>1313</v>
      </c>
      <c r="E45">
        <v>1244</v>
      </c>
      <c r="F45">
        <v>1309.5</v>
      </c>
      <c r="G45">
        <v>1244</v>
      </c>
      <c r="H45">
        <v>1309.5</v>
      </c>
      <c r="I45">
        <v>1247.5</v>
      </c>
    </row>
    <row r="46" spans="1:9" x14ac:dyDescent="0.2">
      <c r="A46" s="5" t="s">
        <v>142</v>
      </c>
      <c r="B46" s="14">
        <v>1313</v>
      </c>
      <c r="C46">
        <v>1251.5</v>
      </c>
      <c r="D46">
        <v>1313</v>
      </c>
      <c r="E46">
        <v>1248</v>
      </c>
      <c r="F46">
        <v>1309.5</v>
      </c>
      <c r="G46">
        <v>1248</v>
      </c>
      <c r="H46">
        <v>1309.5</v>
      </c>
      <c r="I46">
        <v>1251.5</v>
      </c>
    </row>
    <row r="47" spans="1:9" x14ac:dyDescent="0.2">
      <c r="A47" s="5" t="s">
        <v>143</v>
      </c>
      <c r="B47" s="14">
        <v>1313</v>
      </c>
      <c r="C47">
        <v>1255.5</v>
      </c>
      <c r="D47">
        <v>1313</v>
      </c>
      <c r="E47">
        <v>1252</v>
      </c>
      <c r="F47">
        <v>1309.5</v>
      </c>
      <c r="G47">
        <v>1252</v>
      </c>
      <c r="H47">
        <v>1309.5</v>
      </c>
      <c r="I47">
        <v>1255.5</v>
      </c>
    </row>
    <row r="48" spans="1:9" x14ac:dyDescent="0.2">
      <c r="A48" s="5" t="s">
        <v>144</v>
      </c>
      <c r="B48" s="14">
        <v>1313</v>
      </c>
      <c r="C48">
        <v>1261.5</v>
      </c>
      <c r="D48">
        <v>1313</v>
      </c>
      <c r="E48">
        <v>1258</v>
      </c>
      <c r="F48">
        <v>1309.5</v>
      </c>
      <c r="G48">
        <v>1258</v>
      </c>
      <c r="H48">
        <v>1309.5</v>
      </c>
      <c r="I48">
        <v>1261.5</v>
      </c>
    </row>
    <row r="49" spans="1:9" x14ac:dyDescent="0.2">
      <c r="A49" s="5" t="s">
        <v>145</v>
      </c>
      <c r="B49" s="14">
        <v>1313</v>
      </c>
      <c r="C49">
        <v>1265.5</v>
      </c>
      <c r="D49">
        <v>1313</v>
      </c>
      <c r="E49">
        <v>1262</v>
      </c>
      <c r="F49">
        <v>1309.5</v>
      </c>
      <c r="G49">
        <v>1262</v>
      </c>
      <c r="H49">
        <v>1309.5</v>
      </c>
      <c r="I49">
        <v>1265.5</v>
      </c>
    </row>
    <row r="50" spans="1:9" x14ac:dyDescent="0.2">
      <c r="A50" s="5" t="s">
        <v>146</v>
      </c>
      <c r="B50" s="14">
        <v>1313</v>
      </c>
      <c r="C50">
        <v>1269.5</v>
      </c>
      <c r="D50">
        <v>1313</v>
      </c>
      <c r="E50">
        <v>1266</v>
      </c>
      <c r="F50">
        <v>1309.5</v>
      </c>
      <c r="G50">
        <v>1266</v>
      </c>
      <c r="H50">
        <v>1309.5</v>
      </c>
      <c r="I50">
        <v>1269.5</v>
      </c>
    </row>
    <row r="51" spans="1:9" x14ac:dyDescent="0.2">
      <c r="A51" s="5" t="s">
        <v>147</v>
      </c>
      <c r="B51" s="14">
        <v>1313</v>
      </c>
      <c r="C51">
        <v>1273.5</v>
      </c>
      <c r="D51">
        <v>1313</v>
      </c>
      <c r="E51">
        <v>1270</v>
      </c>
      <c r="F51">
        <v>1309.5</v>
      </c>
      <c r="G51">
        <v>1270</v>
      </c>
      <c r="H51">
        <v>1309.5</v>
      </c>
      <c r="I51">
        <v>1273.5</v>
      </c>
    </row>
    <row r="52" spans="1:9" x14ac:dyDescent="0.2">
      <c r="A52" s="5" t="s">
        <v>148</v>
      </c>
      <c r="B52" s="14">
        <v>1313</v>
      </c>
      <c r="C52">
        <v>1277.5</v>
      </c>
      <c r="D52">
        <v>1313</v>
      </c>
      <c r="E52">
        <v>1274</v>
      </c>
      <c r="F52">
        <v>1309.5</v>
      </c>
      <c r="G52">
        <v>1274</v>
      </c>
      <c r="H52">
        <v>1309.5</v>
      </c>
      <c r="I52">
        <v>1277.5</v>
      </c>
    </row>
    <row r="53" spans="1:9" x14ac:dyDescent="0.2">
      <c r="A53" s="5" t="s">
        <v>149</v>
      </c>
      <c r="B53" s="14">
        <v>1313</v>
      </c>
      <c r="C53">
        <v>1283.5</v>
      </c>
      <c r="D53">
        <v>1313</v>
      </c>
      <c r="E53">
        <v>1280</v>
      </c>
      <c r="F53">
        <v>1309.5</v>
      </c>
      <c r="G53">
        <v>1280</v>
      </c>
      <c r="H53">
        <v>1309.5</v>
      </c>
      <c r="I53">
        <v>1283.5</v>
      </c>
    </row>
    <row r="54" spans="1:9" x14ac:dyDescent="0.2">
      <c r="A54" s="5" t="s">
        <v>150</v>
      </c>
      <c r="B54" s="14">
        <v>1313</v>
      </c>
      <c r="C54">
        <v>1287.5</v>
      </c>
      <c r="D54">
        <v>1313</v>
      </c>
      <c r="E54">
        <v>1284</v>
      </c>
      <c r="F54">
        <v>1309.5</v>
      </c>
      <c r="G54">
        <v>1284</v>
      </c>
      <c r="H54">
        <v>1309.5</v>
      </c>
      <c r="I54">
        <v>1287.5</v>
      </c>
    </row>
    <row r="55" spans="1:9" x14ac:dyDescent="0.2">
      <c r="A55" s="5" t="s">
        <v>151</v>
      </c>
      <c r="B55" s="14">
        <v>1308.5</v>
      </c>
      <c r="C55">
        <v>1060.5</v>
      </c>
      <c r="D55">
        <v>1308.5</v>
      </c>
      <c r="E55">
        <v>1057</v>
      </c>
      <c r="F55">
        <v>1305</v>
      </c>
      <c r="G55">
        <v>1057</v>
      </c>
      <c r="H55">
        <v>1305</v>
      </c>
      <c r="I55">
        <v>1060.5</v>
      </c>
    </row>
    <row r="56" spans="1:9" x14ac:dyDescent="0.2">
      <c r="A56" s="5" t="s">
        <v>152</v>
      </c>
      <c r="B56" s="14">
        <v>1308.5</v>
      </c>
      <c r="C56">
        <v>1064.5</v>
      </c>
      <c r="D56">
        <v>1308.5</v>
      </c>
      <c r="E56">
        <v>1061</v>
      </c>
      <c r="F56">
        <v>1305</v>
      </c>
      <c r="G56">
        <v>1061</v>
      </c>
      <c r="H56">
        <v>1305</v>
      </c>
      <c r="I56">
        <v>1064.5</v>
      </c>
    </row>
    <row r="57" spans="1:9" x14ac:dyDescent="0.2">
      <c r="A57" s="5" t="s">
        <v>153</v>
      </c>
      <c r="B57" s="14">
        <v>1308.5</v>
      </c>
      <c r="C57">
        <v>1068.5</v>
      </c>
      <c r="D57">
        <v>1308.5</v>
      </c>
      <c r="E57">
        <v>1065</v>
      </c>
      <c r="F57">
        <v>1305</v>
      </c>
      <c r="G57">
        <v>1065</v>
      </c>
      <c r="H57">
        <v>1305</v>
      </c>
      <c r="I57">
        <v>1068.5</v>
      </c>
    </row>
    <row r="58" spans="1:9" x14ac:dyDescent="0.2">
      <c r="A58" s="5" t="s">
        <v>154</v>
      </c>
      <c r="B58" s="14">
        <v>1308.5</v>
      </c>
      <c r="C58">
        <v>1072.5</v>
      </c>
      <c r="D58">
        <v>1308.5</v>
      </c>
      <c r="E58">
        <v>1069</v>
      </c>
      <c r="F58">
        <v>1305</v>
      </c>
      <c r="G58">
        <v>1069</v>
      </c>
      <c r="H58">
        <v>1305</v>
      </c>
      <c r="I58">
        <v>1072.5</v>
      </c>
    </row>
    <row r="59" spans="1:9" x14ac:dyDescent="0.2">
      <c r="A59" s="5" t="s">
        <v>155</v>
      </c>
      <c r="B59" s="14">
        <v>1308.5</v>
      </c>
      <c r="C59">
        <v>1076.5</v>
      </c>
      <c r="D59">
        <v>1308.5</v>
      </c>
      <c r="E59">
        <v>1073</v>
      </c>
      <c r="F59">
        <v>1305</v>
      </c>
      <c r="G59">
        <v>1073</v>
      </c>
      <c r="H59">
        <v>1305</v>
      </c>
      <c r="I59">
        <v>1076.5</v>
      </c>
    </row>
    <row r="60" spans="1:9" x14ac:dyDescent="0.2">
      <c r="A60" s="5" t="s">
        <v>156</v>
      </c>
      <c r="B60" s="14">
        <v>1308.5</v>
      </c>
      <c r="C60">
        <v>1082.5</v>
      </c>
      <c r="D60">
        <v>1308.5</v>
      </c>
      <c r="E60">
        <v>1079</v>
      </c>
      <c r="F60">
        <v>1305</v>
      </c>
      <c r="G60">
        <v>1079</v>
      </c>
      <c r="H60">
        <v>1305</v>
      </c>
      <c r="I60">
        <v>1082.5</v>
      </c>
    </row>
    <row r="61" spans="1:9" x14ac:dyDescent="0.2">
      <c r="A61" s="5" t="s">
        <v>157</v>
      </c>
      <c r="B61" s="14">
        <v>1308.5</v>
      </c>
      <c r="C61">
        <v>1086.5</v>
      </c>
      <c r="D61">
        <v>1308.5</v>
      </c>
      <c r="E61">
        <v>1083</v>
      </c>
      <c r="F61">
        <v>1305</v>
      </c>
      <c r="G61">
        <v>1083</v>
      </c>
      <c r="H61">
        <v>1305</v>
      </c>
      <c r="I61">
        <v>1086.5</v>
      </c>
    </row>
    <row r="62" spans="1:9" x14ac:dyDescent="0.2">
      <c r="A62" s="5" t="s">
        <v>158</v>
      </c>
      <c r="B62" s="14">
        <v>1308.5</v>
      </c>
      <c r="C62">
        <v>1090.5</v>
      </c>
      <c r="D62">
        <v>1308.5</v>
      </c>
      <c r="E62">
        <v>1087</v>
      </c>
      <c r="F62">
        <v>1305</v>
      </c>
      <c r="G62">
        <v>1087</v>
      </c>
      <c r="H62">
        <v>1305</v>
      </c>
      <c r="I62">
        <v>1090.5</v>
      </c>
    </row>
    <row r="63" spans="1:9" x14ac:dyDescent="0.2">
      <c r="A63" s="5" t="s">
        <v>159</v>
      </c>
      <c r="B63" s="14">
        <v>1308.5</v>
      </c>
      <c r="C63">
        <v>1094.5</v>
      </c>
      <c r="D63">
        <v>1308.5</v>
      </c>
      <c r="E63">
        <v>1091</v>
      </c>
      <c r="F63">
        <v>1305</v>
      </c>
      <c r="G63">
        <v>1091</v>
      </c>
      <c r="H63">
        <v>1305</v>
      </c>
      <c r="I63">
        <v>1094.5</v>
      </c>
    </row>
    <row r="64" spans="1:9" x14ac:dyDescent="0.2">
      <c r="A64" s="5" t="s">
        <v>160</v>
      </c>
      <c r="B64" s="14">
        <v>1308.5</v>
      </c>
      <c r="C64">
        <v>1098.5</v>
      </c>
      <c r="D64">
        <v>1308.5</v>
      </c>
      <c r="E64">
        <v>1095</v>
      </c>
      <c r="F64">
        <v>1305</v>
      </c>
      <c r="G64">
        <v>1095</v>
      </c>
      <c r="H64">
        <v>1305</v>
      </c>
      <c r="I64">
        <v>1098.5</v>
      </c>
    </row>
    <row r="65" spans="1:9" x14ac:dyDescent="0.2">
      <c r="A65" s="5" t="s">
        <v>161</v>
      </c>
      <c r="B65" s="14">
        <v>1308.5</v>
      </c>
      <c r="C65">
        <v>1104.5</v>
      </c>
      <c r="D65">
        <v>1308.5</v>
      </c>
      <c r="E65">
        <v>1101</v>
      </c>
      <c r="F65">
        <v>1305</v>
      </c>
      <c r="G65">
        <v>1101</v>
      </c>
      <c r="H65">
        <v>1305</v>
      </c>
      <c r="I65">
        <v>1104.5</v>
      </c>
    </row>
    <row r="66" spans="1:9" x14ac:dyDescent="0.2">
      <c r="A66" s="5" t="s">
        <v>162</v>
      </c>
      <c r="B66" s="14">
        <v>1308.5</v>
      </c>
      <c r="C66">
        <v>1108.5</v>
      </c>
      <c r="D66">
        <v>1308.5</v>
      </c>
      <c r="E66">
        <v>1105</v>
      </c>
      <c r="F66">
        <v>1305</v>
      </c>
      <c r="G66">
        <v>1105</v>
      </c>
      <c r="H66">
        <v>1305</v>
      </c>
      <c r="I66">
        <v>1108.5</v>
      </c>
    </row>
    <row r="67" spans="1:9" x14ac:dyDescent="0.2">
      <c r="A67" s="5" t="s">
        <v>163</v>
      </c>
      <c r="B67" s="14">
        <v>1308.5</v>
      </c>
      <c r="C67">
        <v>1112.5</v>
      </c>
      <c r="D67">
        <v>1308.5</v>
      </c>
      <c r="E67">
        <v>1109</v>
      </c>
      <c r="F67">
        <v>1305</v>
      </c>
      <c r="G67">
        <v>1109</v>
      </c>
      <c r="H67">
        <v>1305</v>
      </c>
      <c r="I67">
        <v>1112.5</v>
      </c>
    </row>
    <row r="68" spans="1:9" x14ac:dyDescent="0.2">
      <c r="A68" s="5" t="s">
        <v>164</v>
      </c>
      <c r="B68" s="14">
        <v>1308.5</v>
      </c>
      <c r="C68">
        <v>1116.5</v>
      </c>
      <c r="D68">
        <v>1308.5</v>
      </c>
      <c r="E68">
        <v>1113</v>
      </c>
      <c r="F68">
        <v>1305</v>
      </c>
      <c r="G68">
        <v>1113</v>
      </c>
      <c r="H68">
        <v>1305</v>
      </c>
      <c r="I68">
        <v>1116.5</v>
      </c>
    </row>
    <row r="69" spans="1:9" x14ac:dyDescent="0.2">
      <c r="A69" s="5" t="s">
        <v>165</v>
      </c>
      <c r="B69" s="14">
        <v>1308.5</v>
      </c>
      <c r="C69">
        <v>1120.5</v>
      </c>
      <c r="D69">
        <v>1308.5</v>
      </c>
      <c r="E69">
        <v>1117</v>
      </c>
      <c r="F69">
        <v>1305</v>
      </c>
      <c r="G69">
        <v>1117</v>
      </c>
      <c r="H69">
        <v>1305</v>
      </c>
      <c r="I69">
        <v>1120.5</v>
      </c>
    </row>
    <row r="70" spans="1:9" x14ac:dyDescent="0.2">
      <c r="A70" s="5" t="s">
        <v>166</v>
      </c>
      <c r="B70" s="14">
        <v>1308.5</v>
      </c>
      <c r="C70">
        <v>1126.5</v>
      </c>
      <c r="D70">
        <v>1308.5</v>
      </c>
      <c r="E70">
        <v>1123</v>
      </c>
      <c r="F70">
        <v>1305</v>
      </c>
      <c r="G70">
        <v>1123</v>
      </c>
      <c r="H70">
        <v>1305</v>
      </c>
      <c r="I70">
        <v>1126.5</v>
      </c>
    </row>
    <row r="71" spans="1:9" x14ac:dyDescent="0.2">
      <c r="A71" s="5" t="s">
        <v>167</v>
      </c>
      <c r="B71" s="14">
        <v>1308.5</v>
      </c>
      <c r="C71">
        <v>1130.5</v>
      </c>
      <c r="D71">
        <v>1308.5</v>
      </c>
      <c r="E71">
        <v>1127</v>
      </c>
      <c r="F71">
        <v>1305</v>
      </c>
      <c r="G71">
        <v>1127</v>
      </c>
      <c r="H71">
        <v>1305</v>
      </c>
      <c r="I71">
        <v>1130.5</v>
      </c>
    </row>
    <row r="72" spans="1:9" x14ac:dyDescent="0.2">
      <c r="A72" s="5" t="s">
        <v>168</v>
      </c>
      <c r="B72" s="14">
        <v>1308.5</v>
      </c>
      <c r="C72">
        <v>1134.5</v>
      </c>
      <c r="D72">
        <v>1308.5</v>
      </c>
      <c r="E72">
        <v>1131</v>
      </c>
      <c r="F72">
        <v>1305</v>
      </c>
      <c r="G72">
        <v>1131</v>
      </c>
      <c r="H72">
        <v>1305</v>
      </c>
      <c r="I72">
        <v>1134.5</v>
      </c>
    </row>
    <row r="73" spans="1:9" x14ac:dyDescent="0.2">
      <c r="A73" s="5" t="s">
        <v>169</v>
      </c>
      <c r="B73" s="14">
        <v>1308.5</v>
      </c>
      <c r="C73">
        <v>1138.5</v>
      </c>
      <c r="D73">
        <v>1308.5</v>
      </c>
      <c r="E73">
        <v>1135</v>
      </c>
      <c r="F73">
        <v>1305</v>
      </c>
      <c r="G73">
        <v>1135</v>
      </c>
      <c r="H73">
        <v>1305</v>
      </c>
      <c r="I73">
        <v>1138.5</v>
      </c>
    </row>
    <row r="74" spans="1:9" x14ac:dyDescent="0.2">
      <c r="A74" s="5" t="s">
        <v>170</v>
      </c>
      <c r="B74" s="14">
        <v>1308.5</v>
      </c>
      <c r="C74">
        <v>1142.5</v>
      </c>
      <c r="D74">
        <v>1308.5</v>
      </c>
      <c r="E74">
        <v>1139</v>
      </c>
      <c r="F74">
        <v>1305</v>
      </c>
      <c r="G74">
        <v>1139</v>
      </c>
      <c r="H74">
        <v>1305</v>
      </c>
      <c r="I74">
        <v>1142.5</v>
      </c>
    </row>
    <row r="75" spans="1:9" x14ac:dyDescent="0.2">
      <c r="A75" s="5" t="s">
        <v>171</v>
      </c>
      <c r="B75" s="14">
        <v>1308.5</v>
      </c>
      <c r="C75">
        <v>1151.5</v>
      </c>
      <c r="D75">
        <v>1308.5</v>
      </c>
      <c r="E75">
        <v>1148</v>
      </c>
      <c r="F75">
        <v>1305</v>
      </c>
      <c r="G75">
        <v>1148</v>
      </c>
      <c r="H75">
        <v>1305</v>
      </c>
      <c r="I75">
        <v>1151.5</v>
      </c>
    </row>
    <row r="76" spans="1:9" x14ac:dyDescent="0.2">
      <c r="A76" s="5" t="s">
        <v>172</v>
      </c>
      <c r="B76" s="14">
        <v>1308.5</v>
      </c>
      <c r="C76">
        <v>1155.5</v>
      </c>
      <c r="D76">
        <v>1308.5</v>
      </c>
      <c r="E76">
        <v>1152</v>
      </c>
      <c r="F76">
        <v>1305</v>
      </c>
      <c r="G76">
        <v>1152</v>
      </c>
      <c r="H76">
        <v>1305</v>
      </c>
      <c r="I76">
        <v>1155.5</v>
      </c>
    </row>
    <row r="77" spans="1:9" x14ac:dyDescent="0.2">
      <c r="A77" s="5" t="s">
        <v>173</v>
      </c>
      <c r="B77" s="14">
        <v>1308.5</v>
      </c>
      <c r="C77">
        <v>1159.5</v>
      </c>
      <c r="D77">
        <v>1308.5</v>
      </c>
      <c r="E77">
        <v>1156</v>
      </c>
      <c r="F77">
        <v>1305</v>
      </c>
      <c r="G77">
        <v>1156</v>
      </c>
      <c r="H77">
        <v>1305</v>
      </c>
      <c r="I77">
        <v>1159.5</v>
      </c>
    </row>
    <row r="78" spans="1:9" x14ac:dyDescent="0.2">
      <c r="A78" s="5" t="s">
        <v>174</v>
      </c>
      <c r="B78" s="14">
        <v>1308.5</v>
      </c>
      <c r="C78">
        <v>1163.5</v>
      </c>
      <c r="D78">
        <v>1308.5</v>
      </c>
      <c r="E78">
        <v>1160</v>
      </c>
      <c r="F78">
        <v>1305</v>
      </c>
      <c r="G78">
        <v>1160</v>
      </c>
      <c r="H78">
        <v>1305</v>
      </c>
      <c r="I78">
        <v>1163.5</v>
      </c>
    </row>
    <row r="79" spans="1:9" x14ac:dyDescent="0.2">
      <c r="A79" s="5" t="s">
        <v>175</v>
      </c>
      <c r="B79" s="14">
        <v>1308.5</v>
      </c>
      <c r="C79">
        <v>1167.5</v>
      </c>
      <c r="D79">
        <v>1308.5</v>
      </c>
      <c r="E79">
        <v>1164</v>
      </c>
      <c r="F79">
        <v>1305</v>
      </c>
      <c r="G79">
        <v>1164</v>
      </c>
      <c r="H79">
        <v>1305</v>
      </c>
      <c r="I79">
        <v>1167.5</v>
      </c>
    </row>
    <row r="80" spans="1:9" x14ac:dyDescent="0.2">
      <c r="A80" s="5" t="s">
        <v>176</v>
      </c>
      <c r="B80" s="14">
        <v>1308.5</v>
      </c>
      <c r="C80">
        <v>1173.5</v>
      </c>
      <c r="D80">
        <v>1308.5</v>
      </c>
      <c r="E80">
        <v>1170</v>
      </c>
      <c r="F80">
        <v>1305</v>
      </c>
      <c r="G80">
        <v>1170</v>
      </c>
      <c r="H80">
        <v>1305</v>
      </c>
      <c r="I80">
        <v>1173.5</v>
      </c>
    </row>
    <row r="81" spans="1:9" x14ac:dyDescent="0.2">
      <c r="A81" s="5" t="s">
        <v>177</v>
      </c>
      <c r="B81" s="14">
        <v>1308.5</v>
      </c>
      <c r="C81">
        <v>1177.5</v>
      </c>
      <c r="D81">
        <v>1308.5</v>
      </c>
      <c r="E81">
        <v>1174</v>
      </c>
      <c r="F81">
        <v>1305</v>
      </c>
      <c r="G81">
        <v>1174</v>
      </c>
      <c r="H81">
        <v>1305</v>
      </c>
      <c r="I81">
        <v>1177.5</v>
      </c>
    </row>
    <row r="82" spans="1:9" x14ac:dyDescent="0.2">
      <c r="A82" s="5" t="s">
        <v>178</v>
      </c>
      <c r="B82" s="14">
        <v>1308.5</v>
      </c>
      <c r="C82">
        <v>1181.5</v>
      </c>
      <c r="D82">
        <v>1308.5</v>
      </c>
      <c r="E82">
        <v>1178</v>
      </c>
      <c r="F82">
        <v>1305</v>
      </c>
      <c r="G82">
        <v>1178</v>
      </c>
      <c r="H82">
        <v>1305</v>
      </c>
      <c r="I82">
        <v>1181.5</v>
      </c>
    </row>
    <row r="83" spans="1:9" x14ac:dyDescent="0.2">
      <c r="A83" s="5" t="s">
        <v>179</v>
      </c>
      <c r="B83" s="14">
        <v>1308.5</v>
      </c>
      <c r="C83">
        <v>1185.5</v>
      </c>
      <c r="D83">
        <v>1308.5</v>
      </c>
      <c r="E83">
        <v>1182</v>
      </c>
      <c r="F83">
        <v>1305</v>
      </c>
      <c r="G83">
        <v>1182</v>
      </c>
      <c r="H83">
        <v>1305</v>
      </c>
      <c r="I83">
        <v>1185.5</v>
      </c>
    </row>
    <row r="84" spans="1:9" x14ac:dyDescent="0.2">
      <c r="A84" s="5" t="s">
        <v>180</v>
      </c>
      <c r="B84" s="14">
        <v>1308.5</v>
      </c>
      <c r="C84">
        <v>1189.5</v>
      </c>
      <c r="D84">
        <v>1308.5</v>
      </c>
      <c r="E84">
        <v>1186</v>
      </c>
      <c r="F84">
        <v>1305</v>
      </c>
      <c r="G84">
        <v>1186</v>
      </c>
      <c r="H84">
        <v>1305</v>
      </c>
      <c r="I84">
        <v>1189.5</v>
      </c>
    </row>
    <row r="85" spans="1:9" x14ac:dyDescent="0.2">
      <c r="A85" s="5" t="s">
        <v>181</v>
      </c>
      <c r="B85" s="14">
        <v>1308.5</v>
      </c>
      <c r="C85">
        <v>1195.5</v>
      </c>
      <c r="D85">
        <v>1308.5</v>
      </c>
      <c r="E85">
        <v>1192</v>
      </c>
      <c r="F85">
        <v>1305</v>
      </c>
      <c r="G85">
        <v>1192</v>
      </c>
      <c r="H85">
        <v>1305</v>
      </c>
      <c r="I85">
        <v>1195.5</v>
      </c>
    </row>
    <row r="86" spans="1:9" x14ac:dyDescent="0.2">
      <c r="A86" s="5" t="s">
        <v>182</v>
      </c>
      <c r="B86" s="14">
        <v>1308.5</v>
      </c>
      <c r="C86">
        <v>1199.5</v>
      </c>
      <c r="D86">
        <v>1308.5</v>
      </c>
      <c r="E86">
        <v>1196</v>
      </c>
      <c r="F86">
        <v>1305</v>
      </c>
      <c r="G86">
        <v>1196</v>
      </c>
      <c r="H86">
        <v>1305</v>
      </c>
      <c r="I86">
        <v>1199.5</v>
      </c>
    </row>
    <row r="87" spans="1:9" x14ac:dyDescent="0.2">
      <c r="A87" s="5" t="s">
        <v>183</v>
      </c>
      <c r="B87" s="14">
        <v>1308.5</v>
      </c>
      <c r="C87">
        <v>1203.5</v>
      </c>
      <c r="D87">
        <v>1308.5</v>
      </c>
      <c r="E87">
        <v>1200</v>
      </c>
      <c r="F87">
        <v>1305</v>
      </c>
      <c r="G87">
        <v>1200</v>
      </c>
      <c r="H87">
        <v>1305</v>
      </c>
      <c r="I87">
        <v>1203.5</v>
      </c>
    </row>
    <row r="88" spans="1:9" x14ac:dyDescent="0.2">
      <c r="A88" s="5" t="s">
        <v>184</v>
      </c>
      <c r="B88" s="14">
        <v>1308.5</v>
      </c>
      <c r="C88">
        <v>1207.5</v>
      </c>
      <c r="D88">
        <v>1308.5</v>
      </c>
      <c r="E88">
        <v>1204</v>
      </c>
      <c r="F88">
        <v>1305</v>
      </c>
      <c r="G88">
        <v>1204</v>
      </c>
      <c r="H88">
        <v>1305</v>
      </c>
      <c r="I88">
        <v>1207.5</v>
      </c>
    </row>
    <row r="89" spans="1:9" x14ac:dyDescent="0.2">
      <c r="A89" s="5" t="s">
        <v>185</v>
      </c>
      <c r="B89" s="14">
        <v>1308.5</v>
      </c>
      <c r="C89">
        <v>1211.5</v>
      </c>
      <c r="D89">
        <v>1308.5</v>
      </c>
      <c r="E89">
        <v>1208</v>
      </c>
      <c r="F89">
        <v>1305</v>
      </c>
      <c r="G89">
        <v>1208</v>
      </c>
      <c r="H89">
        <v>1305</v>
      </c>
      <c r="I89">
        <v>1211.5</v>
      </c>
    </row>
    <row r="90" spans="1:9" x14ac:dyDescent="0.2">
      <c r="A90" s="5" t="s">
        <v>186</v>
      </c>
      <c r="B90" s="14">
        <v>1308.5</v>
      </c>
      <c r="C90">
        <v>1217.5</v>
      </c>
      <c r="D90">
        <v>1308.5</v>
      </c>
      <c r="E90">
        <v>1214</v>
      </c>
      <c r="F90">
        <v>1305</v>
      </c>
      <c r="G90">
        <v>1214</v>
      </c>
      <c r="H90">
        <v>1305</v>
      </c>
      <c r="I90">
        <v>1217.5</v>
      </c>
    </row>
    <row r="91" spans="1:9" x14ac:dyDescent="0.2">
      <c r="A91" s="5" t="s">
        <v>187</v>
      </c>
      <c r="B91" s="14">
        <v>1308.5</v>
      </c>
      <c r="C91">
        <v>1221.5</v>
      </c>
      <c r="D91">
        <v>1308.5</v>
      </c>
      <c r="E91">
        <v>1218</v>
      </c>
      <c r="F91">
        <v>1305</v>
      </c>
      <c r="G91">
        <v>1218</v>
      </c>
      <c r="H91">
        <v>1305</v>
      </c>
      <c r="I91">
        <v>1221.5</v>
      </c>
    </row>
    <row r="92" spans="1:9" x14ac:dyDescent="0.2">
      <c r="A92" s="5" t="s">
        <v>188</v>
      </c>
      <c r="B92" s="14">
        <v>1308.5</v>
      </c>
      <c r="C92">
        <v>1225.5</v>
      </c>
      <c r="D92">
        <v>1308.5</v>
      </c>
      <c r="E92">
        <v>1222</v>
      </c>
      <c r="F92">
        <v>1305</v>
      </c>
      <c r="G92">
        <v>1222</v>
      </c>
      <c r="H92">
        <v>1305</v>
      </c>
      <c r="I92">
        <v>1225.5</v>
      </c>
    </row>
    <row r="93" spans="1:9" x14ac:dyDescent="0.2">
      <c r="A93" s="5" t="s">
        <v>189</v>
      </c>
      <c r="B93" s="14">
        <v>1308.5</v>
      </c>
      <c r="C93">
        <v>1229.5</v>
      </c>
      <c r="D93">
        <v>1308.5</v>
      </c>
      <c r="E93">
        <v>1226</v>
      </c>
      <c r="F93">
        <v>1305</v>
      </c>
      <c r="G93">
        <v>1226</v>
      </c>
      <c r="H93">
        <v>1305</v>
      </c>
      <c r="I93">
        <v>1229.5</v>
      </c>
    </row>
    <row r="94" spans="1:9" x14ac:dyDescent="0.2">
      <c r="A94" s="5" t="s">
        <v>190</v>
      </c>
      <c r="B94" s="14">
        <v>1308.5</v>
      </c>
      <c r="C94">
        <v>1233.5</v>
      </c>
      <c r="D94">
        <v>1308.5</v>
      </c>
      <c r="E94">
        <v>1230</v>
      </c>
      <c r="F94">
        <v>1305</v>
      </c>
      <c r="G94">
        <v>1230</v>
      </c>
      <c r="H94">
        <v>1305</v>
      </c>
      <c r="I94">
        <v>1233.5</v>
      </c>
    </row>
    <row r="95" spans="1:9" x14ac:dyDescent="0.2">
      <c r="A95" s="5" t="s">
        <v>191</v>
      </c>
      <c r="B95" s="14">
        <v>1308.5</v>
      </c>
      <c r="C95">
        <v>1239.5</v>
      </c>
      <c r="D95">
        <v>1308.5</v>
      </c>
      <c r="E95">
        <v>1236</v>
      </c>
      <c r="F95">
        <v>1305</v>
      </c>
      <c r="G95">
        <v>1236</v>
      </c>
      <c r="H95">
        <v>1305</v>
      </c>
      <c r="I95">
        <v>1239.5</v>
      </c>
    </row>
    <row r="96" spans="1:9" x14ac:dyDescent="0.2">
      <c r="A96" s="5" t="s">
        <v>192</v>
      </c>
      <c r="B96" s="14">
        <v>1308.5</v>
      </c>
      <c r="C96">
        <v>1243.5</v>
      </c>
      <c r="D96">
        <v>1308.5</v>
      </c>
      <c r="E96">
        <v>1240</v>
      </c>
      <c r="F96">
        <v>1305</v>
      </c>
      <c r="G96">
        <v>1240</v>
      </c>
      <c r="H96">
        <v>1305</v>
      </c>
      <c r="I96">
        <v>1243.5</v>
      </c>
    </row>
    <row r="97" spans="1:9" x14ac:dyDescent="0.2">
      <c r="A97" s="5" t="s">
        <v>193</v>
      </c>
      <c r="B97" s="14">
        <v>1308.5</v>
      </c>
      <c r="C97">
        <v>1247.5</v>
      </c>
      <c r="D97">
        <v>1308.5</v>
      </c>
      <c r="E97">
        <v>1244</v>
      </c>
      <c r="F97">
        <v>1305</v>
      </c>
      <c r="G97">
        <v>1244</v>
      </c>
      <c r="H97">
        <v>1305</v>
      </c>
      <c r="I97">
        <v>1247.5</v>
      </c>
    </row>
    <row r="98" spans="1:9" x14ac:dyDescent="0.2">
      <c r="A98" s="5" t="s">
        <v>194</v>
      </c>
      <c r="B98" s="14">
        <v>1308.5</v>
      </c>
      <c r="C98">
        <v>1251.5</v>
      </c>
      <c r="D98">
        <v>1308.5</v>
      </c>
      <c r="E98">
        <v>1248</v>
      </c>
      <c r="F98">
        <v>1305</v>
      </c>
      <c r="G98">
        <v>1248</v>
      </c>
      <c r="H98">
        <v>1305</v>
      </c>
      <c r="I98">
        <v>1251.5</v>
      </c>
    </row>
    <row r="99" spans="1:9" x14ac:dyDescent="0.2">
      <c r="A99" s="5" t="s">
        <v>195</v>
      </c>
      <c r="B99" s="14">
        <v>1308.5</v>
      </c>
      <c r="C99">
        <v>1255.5</v>
      </c>
      <c r="D99">
        <v>1308.5</v>
      </c>
      <c r="E99">
        <v>1252</v>
      </c>
      <c r="F99">
        <v>1305</v>
      </c>
      <c r="G99">
        <v>1252</v>
      </c>
      <c r="H99">
        <v>1305</v>
      </c>
      <c r="I99">
        <v>1255.5</v>
      </c>
    </row>
    <row r="100" spans="1:9" x14ac:dyDescent="0.2">
      <c r="A100" s="5" t="s">
        <v>196</v>
      </c>
      <c r="B100" s="14">
        <v>1308.5</v>
      </c>
      <c r="C100">
        <v>1261.5</v>
      </c>
      <c r="D100">
        <v>1308.5</v>
      </c>
      <c r="E100">
        <v>1258</v>
      </c>
      <c r="F100">
        <v>1305</v>
      </c>
      <c r="G100">
        <v>1258</v>
      </c>
      <c r="H100">
        <v>1305</v>
      </c>
      <c r="I100">
        <v>1261.5</v>
      </c>
    </row>
    <row r="101" spans="1:9" x14ac:dyDescent="0.2">
      <c r="A101" s="5" t="s">
        <v>197</v>
      </c>
      <c r="B101" s="14">
        <v>1308.5</v>
      </c>
      <c r="C101">
        <v>1265.5</v>
      </c>
      <c r="D101">
        <v>1308.5</v>
      </c>
      <c r="E101">
        <v>1262</v>
      </c>
      <c r="F101">
        <v>1305</v>
      </c>
      <c r="G101">
        <v>1262</v>
      </c>
      <c r="H101">
        <v>1305</v>
      </c>
      <c r="I101">
        <v>1265.5</v>
      </c>
    </row>
    <row r="102" spans="1:9" x14ac:dyDescent="0.2">
      <c r="A102" s="5" t="s">
        <v>198</v>
      </c>
      <c r="B102" s="14">
        <v>1308.5</v>
      </c>
      <c r="C102">
        <v>1269.5</v>
      </c>
      <c r="D102">
        <v>1308.5</v>
      </c>
      <c r="E102">
        <v>1266</v>
      </c>
      <c r="F102">
        <v>1305</v>
      </c>
      <c r="G102">
        <v>1266</v>
      </c>
      <c r="H102">
        <v>1305</v>
      </c>
      <c r="I102">
        <v>1269.5</v>
      </c>
    </row>
    <row r="103" spans="1:9" x14ac:dyDescent="0.2">
      <c r="A103" s="5" t="s">
        <v>199</v>
      </c>
      <c r="B103" s="14">
        <v>1308.5</v>
      </c>
      <c r="C103">
        <v>1273.5</v>
      </c>
      <c r="D103">
        <v>1308.5</v>
      </c>
      <c r="E103">
        <v>1270</v>
      </c>
      <c r="F103">
        <v>1305</v>
      </c>
      <c r="G103">
        <v>1270</v>
      </c>
      <c r="H103">
        <v>1305</v>
      </c>
      <c r="I103">
        <v>1273.5</v>
      </c>
    </row>
    <row r="104" spans="1:9" x14ac:dyDescent="0.2">
      <c r="A104" s="5" t="s">
        <v>200</v>
      </c>
      <c r="B104" s="14">
        <v>1308.5</v>
      </c>
      <c r="C104">
        <v>1277.5</v>
      </c>
      <c r="D104">
        <v>1308.5</v>
      </c>
      <c r="E104">
        <v>1274</v>
      </c>
      <c r="F104">
        <v>1305</v>
      </c>
      <c r="G104">
        <v>1274</v>
      </c>
      <c r="H104">
        <v>1305</v>
      </c>
      <c r="I104">
        <v>1277.5</v>
      </c>
    </row>
    <row r="105" spans="1:9" x14ac:dyDescent="0.2">
      <c r="A105" s="5" t="s">
        <v>201</v>
      </c>
      <c r="B105" s="14">
        <v>1256</v>
      </c>
      <c r="C105">
        <v>1038.5</v>
      </c>
      <c r="D105">
        <v>1256</v>
      </c>
      <c r="E105">
        <v>1035</v>
      </c>
      <c r="F105">
        <v>1252.5</v>
      </c>
      <c r="G105">
        <v>1035</v>
      </c>
      <c r="H105">
        <v>1252.5</v>
      </c>
      <c r="I105">
        <v>1038.5</v>
      </c>
    </row>
    <row r="106" spans="1:9" x14ac:dyDescent="0.2">
      <c r="A106" s="5" t="s">
        <v>202</v>
      </c>
      <c r="B106" s="14">
        <v>1256</v>
      </c>
      <c r="C106">
        <v>1042.5</v>
      </c>
      <c r="D106">
        <v>1256</v>
      </c>
      <c r="E106">
        <v>1039</v>
      </c>
      <c r="F106">
        <v>1252.5</v>
      </c>
      <c r="G106">
        <v>1039</v>
      </c>
      <c r="H106">
        <v>1252.5</v>
      </c>
      <c r="I106">
        <v>1042.5</v>
      </c>
    </row>
    <row r="107" spans="1:9" x14ac:dyDescent="0.2">
      <c r="A107" s="5" t="s">
        <v>203</v>
      </c>
      <c r="B107" s="14">
        <v>1256</v>
      </c>
      <c r="C107">
        <v>1046.5</v>
      </c>
      <c r="D107">
        <v>1256</v>
      </c>
      <c r="E107">
        <v>1043</v>
      </c>
      <c r="F107">
        <v>1252.5</v>
      </c>
      <c r="G107">
        <v>1043</v>
      </c>
      <c r="H107">
        <v>1252.5</v>
      </c>
      <c r="I107">
        <v>1046.5</v>
      </c>
    </row>
    <row r="108" spans="1:9" x14ac:dyDescent="0.2">
      <c r="A108" s="5" t="s">
        <v>204</v>
      </c>
      <c r="B108" s="14">
        <v>1256</v>
      </c>
      <c r="C108">
        <v>1050.5</v>
      </c>
      <c r="D108">
        <v>1256</v>
      </c>
      <c r="E108">
        <v>1047</v>
      </c>
      <c r="F108">
        <v>1252.5</v>
      </c>
      <c r="G108">
        <v>1047</v>
      </c>
      <c r="H108">
        <v>1252.5</v>
      </c>
      <c r="I108">
        <v>1050.5</v>
      </c>
    </row>
    <row r="109" spans="1:9" x14ac:dyDescent="0.2">
      <c r="A109" s="5" t="s">
        <v>205</v>
      </c>
      <c r="B109" s="14">
        <v>1256</v>
      </c>
      <c r="C109">
        <v>1054.5</v>
      </c>
      <c r="D109">
        <v>1256</v>
      </c>
      <c r="E109">
        <v>1051</v>
      </c>
      <c r="F109">
        <v>1252.5</v>
      </c>
      <c r="G109">
        <v>1051</v>
      </c>
      <c r="H109">
        <v>1252.5</v>
      </c>
      <c r="I109">
        <v>1054.5</v>
      </c>
    </row>
    <row r="110" spans="1:9" x14ac:dyDescent="0.2">
      <c r="A110" s="5" t="s">
        <v>206</v>
      </c>
      <c r="B110" s="14">
        <v>1256</v>
      </c>
      <c r="C110">
        <v>1060.5</v>
      </c>
      <c r="D110">
        <v>1256</v>
      </c>
      <c r="E110">
        <v>1057</v>
      </c>
      <c r="F110">
        <v>1252.5</v>
      </c>
      <c r="G110">
        <v>1057</v>
      </c>
      <c r="H110">
        <v>1252.5</v>
      </c>
      <c r="I110">
        <v>1060.5</v>
      </c>
    </row>
    <row r="111" spans="1:9" x14ac:dyDescent="0.2">
      <c r="A111" s="5" t="s">
        <v>207</v>
      </c>
      <c r="B111" s="14">
        <v>1256</v>
      </c>
      <c r="C111">
        <v>1064.5</v>
      </c>
      <c r="D111">
        <v>1256</v>
      </c>
      <c r="E111">
        <v>1061</v>
      </c>
      <c r="F111">
        <v>1252.5</v>
      </c>
      <c r="G111">
        <v>1061</v>
      </c>
      <c r="H111">
        <v>1252.5</v>
      </c>
      <c r="I111">
        <v>1064.5</v>
      </c>
    </row>
    <row r="112" spans="1:9" x14ac:dyDescent="0.2">
      <c r="A112" s="5" t="s">
        <v>208</v>
      </c>
      <c r="B112" s="14">
        <v>1256</v>
      </c>
      <c r="C112">
        <v>1068.5</v>
      </c>
      <c r="D112">
        <v>1256</v>
      </c>
      <c r="E112">
        <v>1065</v>
      </c>
      <c r="F112">
        <v>1252.5</v>
      </c>
      <c r="G112">
        <v>1065</v>
      </c>
      <c r="H112">
        <v>1252.5</v>
      </c>
      <c r="I112">
        <v>1068.5</v>
      </c>
    </row>
    <row r="113" spans="1:9" x14ac:dyDescent="0.2">
      <c r="A113" s="5" t="s">
        <v>209</v>
      </c>
      <c r="B113" s="14">
        <v>1256</v>
      </c>
      <c r="C113">
        <v>1072.5</v>
      </c>
      <c r="D113">
        <v>1256</v>
      </c>
      <c r="E113">
        <v>1069</v>
      </c>
      <c r="F113">
        <v>1252.5</v>
      </c>
      <c r="G113">
        <v>1069</v>
      </c>
      <c r="H113">
        <v>1252.5</v>
      </c>
      <c r="I113">
        <v>1072.5</v>
      </c>
    </row>
    <row r="114" spans="1:9" x14ac:dyDescent="0.2">
      <c r="A114" s="5" t="s">
        <v>210</v>
      </c>
      <c r="B114" s="14">
        <v>1256</v>
      </c>
      <c r="C114">
        <v>1076.5</v>
      </c>
      <c r="D114">
        <v>1256</v>
      </c>
      <c r="E114">
        <v>1073</v>
      </c>
      <c r="F114">
        <v>1252.5</v>
      </c>
      <c r="G114">
        <v>1073</v>
      </c>
      <c r="H114">
        <v>1252.5</v>
      </c>
      <c r="I114">
        <v>1076.5</v>
      </c>
    </row>
    <row r="115" spans="1:9" x14ac:dyDescent="0.2">
      <c r="A115" s="5" t="s">
        <v>211</v>
      </c>
      <c r="B115" s="14">
        <v>1256</v>
      </c>
      <c r="C115">
        <v>1082.5</v>
      </c>
      <c r="D115">
        <v>1256</v>
      </c>
      <c r="E115">
        <v>1079</v>
      </c>
      <c r="F115">
        <v>1252.5</v>
      </c>
      <c r="G115">
        <v>1079</v>
      </c>
      <c r="H115">
        <v>1252.5</v>
      </c>
      <c r="I115">
        <v>1082.5</v>
      </c>
    </row>
    <row r="116" spans="1:9" x14ac:dyDescent="0.2">
      <c r="A116" s="5" t="s">
        <v>212</v>
      </c>
      <c r="B116" s="14">
        <v>1256</v>
      </c>
      <c r="C116">
        <v>1086.5</v>
      </c>
      <c r="D116">
        <v>1256</v>
      </c>
      <c r="E116">
        <v>1083</v>
      </c>
      <c r="F116">
        <v>1252.5</v>
      </c>
      <c r="G116">
        <v>1083</v>
      </c>
      <c r="H116">
        <v>1252.5</v>
      </c>
      <c r="I116">
        <v>1086.5</v>
      </c>
    </row>
    <row r="117" spans="1:9" x14ac:dyDescent="0.2">
      <c r="A117" s="5" t="s">
        <v>213</v>
      </c>
      <c r="B117" s="14">
        <v>1256</v>
      </c>
      <c r="C117">
        <v>1090.5</v>
      </c>
      <c r="D117">
        <v>1256</v>
      </c>
      <c r="E117">
        <v>1087</v>
      </c>
      <c r="F117">
        <v>1252.5</v>
      </c>
      <c r="G117">
        <v>1087</v>
      </c>
      <c r="H117">
        <v>1252.5</v>
      </c>
      <c r="I117">
        <v>1090.5</v>
      </c>
    </row>
    <row r="118" spans="1:9" x14ac:dyDescent="0.2">
      <c r="A118" s="5" t="s">
        <v>214</v>
      </c>
      <c r="B118" s="14">
        <v>1256</v>
      </c>
      <c r="C118">
        <v>1094.5</v>
      </c>
      <c r="D118">
        <v>1256</v>
      </c>
      <c r="E118">
        <v>1091</v>
      </c>
      <c r="F118">
        <v>1252.5</v>
      </c>
      <c r="G118">
        <v>1091</v>
      </c>
      <c r="H118">
        <v>1252.5</v>
      </c>
      <c r="I118">
        <v>1094.5</v>
      </c>
    </row>
    <row r="119" spans="1:9" x14ac:dyDescent="0.2">
      <c r="A119" s="5" t="s">
        <v>215</v>
      </c>
      <c r="B119" s="14">
        <v>1256</v>
      </c>
      <c r="C119">
        <v>1098.5</v>
      </c>
      <c r="D119">
        <v>1256</v>
      </c>
      <c r="E119">
        <v>1095</v>
      </c>
      <c r="F119">
        <v>1252.5</v>
      </c>
      <c r="G119">
        <v>1095</v>
      </c>
      <c r="H119">
        <v>1252.5</v>
      </c>
      <c r="I119">
        <v>1098.5</v>
      </c>
    </row>
    <row r="120" spans="1:9" x14ac:dyDescent="0.2">
      <c r="A120" s="5" t="s">
        <v>216</v>
      </c>
      <c r="B120" s="14">
        <v>1256</v>
      </c>
      <c r="C120">
        <v>1104.5</v>
      </c>
      <c r="D120">
        <v>1256</v>
      </c>
      <c r="E120">
        <v>1101</v>
      </c>
      <c r="F120">
        <v>1252.5</v>
      </c>
      <c r="G120">
        <v>1101</v>
      </c>
      <c r="H120">
        <v>1252.5</v>
      </c>
      <c r="I120">
        <v>1104.5</v>
      </c>
    </row>
    <row r="121" spans="1:9" x14ac:dyDescent="0.2">
      <c r="A121" s="5" t="s">
        <v>217</v>
      </c>
      <c r="B121" s="14">
        <v>1256</v>
      </c>
      <c r="C121">
        <v>1108.5</v>
      </c>
      <c r="D121">
        <v>1256</v>
      </c>
      <c r="E121">
        <v>1105</v>
      </c>
      <c r="F121">
        <v>1252.5</v>
      </c>
      <c r="G121">
        <v>1105</v>
      </c>
      <c r="H121">
        <v>1252.5</v>
      </c>
      <c r="I121">
        <v>1108.5</v>
      </c>
    </row>
    <row r="122" spans="1:9" x14ac:dyDescent="0.2">
      <c r="A122" s="5" t="s">
        <v>218</v>
      </c>
      <c r="B122" s="14">
        <v>1256</v>
      </c>
      <c r="C122">
        <v>1112.5</v>
      </c>
      <c r="D122">
        <v>1256</v>
      </c>
      <c r="E122">
        <v>1109</v>
      </c>
      <c r="F122">
        <v>1252.5</v>
      </c>
      <c r="G122">
        <v>1109</v>
      </c>
      <c r="H122">
        <v>1252.5</v>
      </c>
      <c r="I122">
        <v>1112.5</v>
      </c>
    </row>
    <row r="123" spans="1:9" x14ac:dyDescent="0.2">
      <c r="A123" s="5" t="s">
        <v>219</v>
      </c>
      <c r="B123" s="14">
        <v>1256</v>
      </c>
      <c r="C123">
        <v>1116.5</v>
      </c>
      <c r="D123">
        <v>1256</v>
      </c>
      <c r="E123">
        <v>1113</v>
      </c>
      <c r="F123">
        <v>1252.5</v>
      </c>
      <c r="G123">
        <v>1113</v>
      </c>
      <c r="H123">
        <v>1252.5</v>
      </c>
      <c r="I123">
        <v>1116.5</v>
      </c>
    </row>
    <row r="124" spans="1:9" x14ac:dyDescent="0.2">
      <c r="A124" s="5" t="s">
        <v>220</v>
      </c>
      <c r="B124" s="14">
        <v>1256</v>
      </c>
      <c r="C124">
        <v>1120.5</v>
      </c>
      <c r="D124">
        <v>1256</v>
      </c>
      <c r="E124">
        <v>1117</v>
      </c>
      <c r="F124">
        <v>1252.5</v>
      </c>
      <c r="G124">
        <v>1117</v>
      </c>
      <c r="H124">
        <v>1252.5</v>
      </c>
      <c r="I124">
        <v>1120.5</v>
      </c>
    </row>
    <row r="125" spans="1:9" x14ac:dyDescent="0.2">
      <c r="A125" s="5" t="s">
        <v>221</v>
      </c>
      <c r="B125" s="14">
        <v>1256</v>
      </c>
      <c r="C125">
        <v>1126.5</v>
      </c>
      <c r="D125">
        <v>1256</v>
      </c>
      <c r="E125">
        <v>1123</v>
      </c>
      <c r="F125">
        <v>1252.5</v>
      </c>
      <c r="G125">
        <v>1123</v>
      </c>
      <c r="H125">
        <v>1252.5</v>
      </c>
      <c r="I125">
        <v>1126.5</v>
      </c>
    </row>
    <row r="126" spans="1:9" x14ac:dyDescent="0.2">
      <c r="A126" s="5" t="s">
        <v>222</v>
      </c>
      <c r="B126" s="14">
        <v>1256</v>
      </c>
      <c r="C126">
        <v>1130.5</v>
      </c>
      <c r="D126">
        <v>1256</v>
      </c>
      <c r="E126">
        <v>1127</v>
      </c>
      <c r="F126">
        <v>1252.5</v>
      </c>
      <c r="G126">
        <v>1127</v>
      </c>
      <c r="H126">
        <v>1252.5</v>
      </c>
      <c r="I126">
        <v>1130.5</v>
      </c>
    </row>
    <row r="127" spans="1:9" x14ac:dyDescent="0.2">
      <c r="A127" s="5" t="s">
        <v>223</v>
      </c>
      <c r="B127" s="14">
        <v>1256</v>
      </c>
      <c r="C127">
        <v>1134.5</v>
      </c>
      <c r="D127">
        <v>1256</v>
      </c>
      <c r="E127">
        <v>1131</v>
      </c>
      <c r="F127">
        <v>1252.5</v>
      </c>
      <c r="G127">
        <v>1131</v>
      </c>
      <c r="H127">
        <v>1252.5</v>
      </c>
      <c r="I127">
        <v>1134.5</v>
      </c>
    </row>
    <row r="128" spans="1:9" x14ac:dyDescent="0.2">
      <c r="A128" s="5" t="s">
        <v>224</v>
      </c>
      <c r="B128" s="14">
        <v>1256</v>
      </c>
      <c r="C128">
        <v>1138.5</v>
      </c>
      <c r="D128">
        <v>1256</v>
      </c>
      <c r="E128">
        <v>1135</v>
      </c>
      <c r="F128">
        <v>1252.5</v>
      </c>
      <c r="G128">
        <v>1135</v>
      </c>
      <c r="H128">
        <v>1252.5</v>
      </c>
      <c r="I128">
        <v>1138.5</v>
      </c>
    </row>
    <row r="129" spans="1:9" x14ac:dyDescent="0.2">
      <c r="A129" s="5" t="s">
        <v>225</v>
      </c>
      <c r="B129" s="14">
        <v>1256</v>
      </c>
      <c r="C129">
        <v>1142.5</v>
      </c>
      <c r="D129">
        <v>1256</v>
      </c>
      <c r="E129">
        <v>1139</v>
      </c>
      <c r="F129">
        <v>1252.5</v>
      </c>
      <c r="G129">
        <v>1139</v>
      </c>
      <c r="H129">
        <v>1252.5</v>
      </c>
      <c r="I129">
        <v>1142.5</v>
      </c>
    </row>
    <row r="130" spans="1:9" x14ac:dyDescent="0.2">
      <c r="A130" s="5" t="s">
        <v>226</v>
      </c>
      <c r="B130" s="14">
        <v>1256</v>
      </c>
      <c r="C130">
        <v>1151.5</v>
      </c>
      <c r="D130">
        <v>1256</v>
      </c>
      <c r="E130">
        <v>1148</v>
      </c>
      <c r="F130">
        <v>1252.5</v>
      </c>
      <c r="G130">
        <v>1148</v>
      </c>
      <c r="H130">
        <v>1252.5</v>
      </c>
      <c r="I130">
        <v>1151.5</v>
      </c>
    </row>
    <row r="131" spans="1:9" x14ac:dyDescent="0.2">
      <c r="A131" s="5" t="s">
        <v>227</v>
      </c>
      <c r="B131" s="14">
        <v>1256</v>
      </c>
      <c r="C131">
        <v>1155.5</v>
      </c>
      <c r="D131">
        <v>1256</v>
      </c>
      <c r="E131">
        <v>1152</v>
      </c>
      <c r="F131">
        <v>1252.5</v>
      </c>
      <c r="G131">
        <v>1152</v>
      </c>
      <c r="H131">
        <v>1252.5</v>
      </c>
      <c r="I131">
        <v>1155.5</v>
      </c>
    </row>
    <row r="132" spans="1:9" x14ac:dyDescent="0.2">
      <c r="A132" s="5" t="s">
        <v>228</v>
      </c>
      <c r="B132" s="14">
        <v>1256</v>
      </c>
      <c r="C132">
        <v>1159.5</v>
      </c>
      <c r="D132">
        <v>1256</v>
      </c>
      <c r="E132">
        <v>1156</v>
      </c>
      <c r="F132">
        <v>1252.5</v>
      </c>
      <c r="G132">
        <v>1156</v>
      </c>
      <c r="H132">
        <v>1252.5</v>
      </c>
      <c r="I132">
        <v>1159.5</v>
      </c>
    </row>
    <row r="133" spans="1:9" x14ac:dyDescent="0.2">
      <c r="A133" s="5" t="s">
        <v>229</v>
      </c>
      <c r="B133" s="14">
        <v>1256</v>
      </c>
      <c r="C133">
        <v>1163.5</v>
      </c>
      <c r="D133">
        <v>1256</v>
      </c>
      <c r="E133">
        <v>1160</v>
      </c>
      <c r="F133">
        <v>1252.5</v>
      </c>
      <c r="G133">
        <v>1160</v>
      </c>
      <c r="H133">
        <v>1252.5</v>
      </c>
      <c r="I133">
        <v>1163.5</v>
      </c>
    </row>
    <row r="134" spans="1:9" x14ac:dyDescent="0.2">
      <c r="A134" s="5" t="s">
        <v>230</v>
      </c>
      <c r="B134" s="14">
        <v>1256</v>
      </c>
      <c r="C134">
        <v>1167.5</v>
      </c>
      <c r="D134">
        <v>1256</v>
      </c>
      <c r="E134">
        <v>1164</v>
      </c>
      <c r="F134">
        <v>1252.5</v>
      </c>
      <c r="G134">
        <v>1164</v>
      </c>
      <c r="H134">
        <v>1252.5</v>
      </c>
      <c r="I134">
        <v>1167.5</v>
      </c>
    </row>
    <row r="135" spans="1:9" x14ac:dyDescent="0.2">
      <c r="A135" s="5" t="s">
        <v>231</v>
      </c>
      <c r="B135" s="14">
        <v>1256</v>
      </c>
      <c r="C135">
        <v>1173.5</v>
      </c>
      <c r="D135">
        <v>1256</v>
      </c>
      <c r="E135">
        <v>1170</v>
      </c>
      <c r="F135">
        <v>1252.5</v>
      </c>
      <c r="G135">
        <v>1170</v>
      </c>
      <c r="H135">
        <v>1252.5</v>
      </c>
      <c r="I135">
        <v>1173.5</v>
      </c>
    </row>
    <row r="136" spans="1:9" x14ac:dyDescent="0.2">
      <c r="A136" s="5" t="s">
        <v>232</v>
      </c>
      <c r="B136" s="14">
        <v>1256</v>
      </c>
      <c r="C136">
        <v>1177.5</v>
      </c>
      <c r="D136">
        <v>1256</v>
      </c>
      <c r="E136">
        <v>1174</v>
      </c>
      <c r="F136">
        <v>1252.5</v>
      </c>
      <c r="G136">
        <v>1174</v>
      </c>
      <c r="H136">
        <v>1252.5</v>
      </c>
      <c r="I136">
        <v>1177.5</v>
      </c>
    </row>
    <row r="137" spans="1:9" x14ac:dyDescent="0.2">
      <c r="A137" s="5" t="s">
        <v>233</v>
      </c>
      <c r="B137" s="14">
        <v>1256</v>
      </c>
      <c r="C137">
        <v>1181.5</v>
      </c>
      <c r="D137">
        <v>1256</v>
      </c>
      <c r="E137">
        <v>1178</v>
      </c>
      <c r="F137">
        <v>1252.5</v>
      </c>
      <c r="G137">
        <v>1178</v>
      </c>
      <c r="H137">
        <v>1252.5</v>
      </c>
      <c r="I137">
        <v>1181.5</v>
      </c>
    </row>
    <row r="138" spans="1:9" x14ac:dyDescent="0.2">
      <c r="A138" s="5" t="s">
        <v>234</v>
      </c>
      <c r="B138" s="14">
        <v>1256</v>
      </c>
      <c r="C138">
        <v>1185.5</v>
      </c>
      <c r="D138">
        <v>1256</v>
      </c>
      <c r="E138">
        <v>1182</v>
      </c>
      <c r="F138">
        <v>1252.5</v>
      </c>
      <c r="G138">
        <v>1182</v>
      </c>
      <c r="H138">
        <v>1252.5</v>
      </c>
      <c r="I138">
        <v>1185.5</v>
      </c>
    </row>
    <row r="139" spans="1:9" x14ac:dyDescent="0.2">
      <c r="A139" s="5" t="s">
        <v>235</v>
      </c>
      <c r="B139" s="14">
        <v>1256</v>
      </c>
      <c r="C139">
        <v>1189.5</v>
      </c>
      <c r="D139">
        <v>1256</v>
      </c>
      <c r="E139">
        <v>1186</v>
      </c>
      <c r="F139">
        <v>1252.5</v>
      </c>
      <c r="G139">
        <v>1186</v>
      </c>
      <c r="H139">
        <v>1252.5</v>
      </c>
      <c r="I139">
        <v>1189.5</v>
      </c>
    </row>
    <row r="140" spans="1:9" x14ac:dyDescent="0.2">
      <c r="A140" s="5" t="s">
        <v>236</v>
      </c>
      <c r="B140" s="14">
        <v>1256</v>
      </c>
      <c r="C140">
        <v>1195.5</v>
      </c>
      <c r="D140">
        <v>1256</v>
      </c>
      <c r="E140">
        <v>1192</v>
      </c>
      <c r="F140">
        <v>1252.5</v>
      </c>
      <c r="G140">
        <v>1192</v>
      </c>
      <c r="H140">
        <v>1252.5</v>
      </c>
      <c r="I140">
        <v>1195.5</v>
      </c>
    </row>
    <row r="141" spans="1:9" x14ac:dyDescent="0.2">
      <c r="A141" s="5" t="s">
        <v>237</v>
      </c>
      <c r="B141" s="14">
        <v>1256</v>
      </c>
      <c r="C141">
        <v>1199.5</v>
      </c>
      <c r="D141">
        <v>1256</v>
      </c>
      <c r="E141">
        <v>1196</v>
      </c>
      <c r="F141">
        <v>1252.5</v>
      </c>
      <c r="G141">
        <v>1196</v>
      </c>
      <c r="H141">
        <v>1252.5</v>
      </c>
      <c r="I141">
        <v>1199.5</v>
      </c>
    </row>
    <row r="142" spans="1:9" x14ac:dyDescent="0.2">
      <c r="A142" s="5" t="s">
        <v>238</v>
      </c>
      <c r="B142" s="14">
        <v>1256</v>
      </c>
      <c r="C142">
        <v>1203.5</v>
      </c>
      <c r="D142">
        <v>1256</v>
      </c>
      <c r="E142">
        <v>1200</v>
      </c>
      <c r="F142">
        <v>1252.5</v>
      </c>
      <c r="G142">
        <v>1200</v>
      </c>
      <c r="H142">
        <v>1252.5</v>
      </c>
      <c r="I142">
        <v>1203.5</v>
      </c>
    </row>
    <row r="143" spans="1:9" x14ac:dyDescent="0.2">
      <c r="A143" s="5" t="s">
        <v>239</v>
      </c>
      <c r="B143" s="14">
        <v>1256</v>
      </c>
      <c r="C143">
        <v>1207.5</v>
      </c>
      <c r="D143">
        <v>1256</v>
      </c>
      <c r="E143">
        <v>1204</v>
      </c>
      <c r="F143">
        <v>1252.5</v>
      </c>
      <c r="G143">
        <v>1204</v>
      </c>
      <c r="H143">
        <v>1252.5</v>
      </c>
      <c r="I143">
        <v>1207.5</v>
      </c>
    </row>
    <row r="144" spans="1:9" x14ac:dyDescent="0.2">
      <c r="A144" s="5" t="s">
        <v>240</v>
      </c>
      <c r="B144" s="14">
        <v>1256</v>
      </c>
      <c r="C144">
        <v>1211.5</v>
      </c>
      <c r="D144">
        <v>1256</v>
      </c>
      <c r="E144">
        <v>1208</v>
      </c>
      <c r="F144">
        <v>1252.5</v>
      </c>
      <c r="G144">
        <v>1208</v>
      </c>
      <c r="H144">
        <v>1252.5</v>
      </c>
      <c r="I144">
        <v>1211.5</v>
      </c>
    </row>
    <row r="145" spans="1:9" x14ac:dyDescent="0.2">
      <c r="A145" s="5" t="s">
        <v>241</v>
      </c>
      <c r="B145" s="14">
        <v>1256</v>
      </c>
      <c r="C145">
        <v>1217.5</v>
      </c>
      <c r="D145">
        <v>1256</v>
      </c>
      <c r="E145">
        <v>1214</v>
      </c>
      <c r="F145">
        <v>1252.5</v>
      </c>
      <c r="G145">
        <v>1214</v>
      </c>
      <c r="H145">
        <v>1252.5</v>
      </c>
      <c r="I145">
        <v>1217.5</v>
      </c>
    </row>
    <row r="146" spans="1:9" x14ac:dyDescent="0.2">
      <c r="A146" s="5" t="s">
        <v>242</v>
      </c>
      <c r="B146" s="14">
        <v>1256</v>
      </c>
      <c r="C146">
        <v>1221.5</v>
      </c>
      <c r="D146">
        <v>1256</v>
      </c>
      <c r="E146">
        <v>1218</v>
      </c>
      <c r="F146">
        <v>1252.5</v>
      </c>
      <c r="G146">
        <v>1218</v>
      </c>
      <c r="H146">
        <v>1252.5</v>
      </c>
      <c r="I146">
        <v>1221.5</v>
      </c>
    </row>
    <row r="147" spans="1:9" x14ac:dyDescent="0.2">
      <c r="A147" s="5" t="s">
        <v>243</v>
      </c>
      <c r="B147" s="14">
        <v>1256</v>
      </c>
      <c r="C147">
        <v>1225.5</v>
      </c>
      <c r="D147">
        <v>1256</v>
      </c>
      <c r="E147">
        <v>1222</v>
      </c>
      <c r="F147">
        <v>1252.5</v>
      </c>
      <c r="G147">
        <v>1222</v>
      </c>
      <c r="H147">
        <v>1252.5</v>
      </c>
      <c r="I147">
        <v>1225.5</v>
      </c>
    </row>
    <row r="148" spans="1:9" x14ac:dyDescent="0.2">
      <c r="A148" s="5" t="s">
        <v>244</v>
      </c>
      <c r="B148" s="14">
        <v>1256</v>
      </c>
      <c r="C148">
        <v>1229.5</v>
      </c>
      <c r="D148">
        <v>1256</v>
      </c>
      <c r="E148">
        <v>1226</v>
      </c>
      <c r="F148">
        <v>1252.5</v>
      </c>
      <c r="G148">
        <v>1226</v>
      </c>
      <c r="H148">
        <v>1252.5</v>
      </c>
      <c r="I148">
        <v>1229.5</v>
      </c>
    </row>
    <row r="149" spans="1:9" x14ac:dyDescent="0.2">
      <c r="A149" s="5" t="s">
        <v>245</v>
      </c>
      <c r="B149" s="14">
        <v>1256</v>
      </c>
      <c r="C149">
        <v>1233.5</v>
      </c>
      <c r="D149">
        <v>1256</v>
      </c>
      <c r="E149">
        <v>1230</v>
      </c>
      <c r="F149">
        <v>1252.5</v>
      </c>
      <c r="G149">
        <v>1230</v>
      </c>
      <c r="H149">
        <v>1252.5</v>
      </c>
      <c r="I149">
        <v>1233.5</v>
      </c>
    </row>
    <row r="150" spans="1:9" x14ac:dyDescent="0.2">
      <c r="A150" s="5" t="s">
        <v>246</v>
      </c>
      <c r="B150" s="14">
        <v>1256</v>
      </c>
      <c r="C150">
        <v>1239.5</v>
      </c>
      <c r="D150">
        <v>1256</v>
      </c>
      <c r="E150">
        <v>1236</v>
      </c>
      <c r="F150">
        <v>1252.5</v>
      </c>
      <c r="G150">
        <v>1236</v>
      </c>
      <c r="H150">
        <v>1252.5</v>
      </c>
      <c r="I150">
        <v>1239.5</v>
      </c>
    </row>
    <row r="151" spans="1:9" x14ac:dyDescent="0.2">
      <c r="A151" s="5" t="s">
        <v>247</v>
      </c>
      <c r="B151" s="14">
        <v>1256</v>
      </c>
      <c r="C151">
        <v>1243.5</v>
      </c>
      <c r="D151">
        <v>1256</v>
      </c>
      <c r="E151">
        <v>1240</v>
      </c>
      <c r="F151">
        <v>1252.5</v>
      </c>
      <c r="G151">
        <v>1240</v>
      </c>
      <c r="H151">
        <v>1252.5</v>
      </c>
      <c r="I151">
        <v>1243.5</v>
      </c>
    </row>
    <row r="152" spans="1:9" x14ac:dyDescent="0.2">
      <c r="A152" s="5" t="s">
        <v>248</v>
      </c>
      <c r="B152" s="14">
        <v>1256</v>
      </c>
      <c r="C152">
        <v>1247.5</v>
      </c>
      <c r="D152">
        <v>1256</v>
      </c>
      <c r="E152">
        <v>1244</v>
      </c>
      <c r="F152">
        <v>1252.5</v>
      </c>
      <c r="G152">
        <v>1244</v>
      </c>
      <c r="H152">
        <v>1252.5</v>
      </c>
      <c r="I152">
        <v>1247.5</v>
      </c>
    </row>
    <row r="153" spans="1:9" x14ac:dyDescent="0.2">
      <c r="A153" s="5" t="s">
        <v>249</v>
      </c>
      <c r="B153" s="14">
        <v>1256</v>
      </c>
      <c r="C153">
        <v>1251.5</v>
      </c>
      <c r="D153">
        <v>1256</v>
      </c>
      <c r="E153">
        <v>1248</v>
      </c>
      <c r="F153">
        <v>1252.5</v>
      </c>
      <c r="G153">
        <v>1248</v>
      </c>
      <c r="H153">
        <v>1252.5</v>
      </c>
      <c r="I153">
        <v>1251.5</v>
      </c>
    </row>
    <row r="154" spans="1:9" x14ac:dyDescent="0.2">
      <c r="A154" s="5" t="s">
        <v>250</v>
      </c>
      <c r="B154" s="14">
        <v>1256</v>
      </c>
      <c r="C154">
        <v>1255.5</v>
      </c>
      <c r="D154">
        <v>1256</v>
      </c>
      <c r="E154">
        <v>1252</v>
      </c>
      <c r="F154">
        <v>1252.5</v>
      </c>
      <c r="G154">
        <v>1252</v>
      </c>
      <c r="H154">
        <v>1252.5</v>
      </c>
      <c r="I154">
        <v>1255.5</v>
      </c>
    </row>
    <row r="155" spans="1:9" x14ac:dyDescent="0.2">
      <c r="A155" s="5" t="s">
        <v>251</v>
      </c>
      <c r="B155" s="14">
        <v>1256</v>
      </c>
      <c r="C155">
        <v>1261.5</v>
      </c>
      <c r="D155">
        <v>1256</v>
      </c>
      <c r="E155">
        <v>1258</v>
      </c>
      <c r="F155">
        <v>1252.5</v>
      </c>
      <c r="G155">
        <v>1258</v>
      </c>
      <c r="H155">
        <v>1252.5</v>
      </c>
      <c r="I155">
        <v>1261.5</v>
      </c>
    </row>
    <row r="156" spans="1:9" x14ac:dyDescent="0.2">
      <c r="A156" s="5" t="s">
        <v>252</v>
      </c>
      <c r="B156" s="14">
        <v>1256</v>
      </c>
      <c r="C156">
        <v>1265.5</v>
      </c>
      <c r="D156">
        <v>1256</v>
      </c>
      <c r="E156">
        <v>1262</v>
      </c>
      <c r="F156">
        <v>1252.5</v>
      </c>
      <c r="G156">
        <v>1262</v>
      </c>
      <c r="H156">
        <v>1252.5</v>
      </c>
      <c r="I156">
        <v>1265.5</v>
      </c>
    </row>
    <row r="157" spans="1:9" x14ac:dyDescent="0.2">
      <c r="A157" s="5" t="s">
        <v>253</v>
      </c>
      <c r="B157" s="14">
        <v>1256</v>
      </c>
      <c r="C157">
        <v>1269.5</v>
      </c>
      <c r="D157">
        <v>1256</v>
      </c>
      <c r="E157">
        <v>1266</v>
      </c>
      <c r="F157">
        <v>1252.5</v>
      </c>
      <c r="G157">
        <v>1266</v>
      </c>
      <c r="H157">
        <v>1252.5</v>
      </c>
      <c r="I157">
        <v>1269.5</v>
      </c>
    </row>
    <row r="158" spans="1:9" x14ac:dyDescent="0.2">
      <c r="A158" s="5" t="s">
        <v>254</v>
      </c>
      <c r="B158" s="14">
        <v>1256</v>
      </c>
      <c r="C158">
        <v>1273.5</v>
      </c>
      <c r="D158">
        <v>1256</v>
      </c>
      <c r="E158">
        <v>1270</v>
      </c>
      <c r="F158">
        <v>1252.5</v>
      </c>
      <c r="G158">
        <v>1270</v>
      </c>
      <c r="H158">
        <v>1252.5</v>
      </c>
      <c r="I158">
        <v>1273.5</v>
      </c>
    </row>
    <row r="159" spans="1:9" x14ac:dyDescent="0.2">
      <c r="A159" s="5" t="s">
        <v>255</v>
      </c>
      <c r="B159" s="14">
        <v>1256</v>
      </c>
      <c r="C159">
        <v>1277.5</v>
      </c>
      <c r="D159">
        <v>1256</v>
      </c>
      <c r="E159">
        <v>1274</v>
      </c>
      <c r="F159">
        <v>1252.5</v>
      </c>
      <c r="G159">
        <v>1274</v>
      </c>
      <c r="H159">
        <v>1252.5</v>
      </c>
      <c r="I159">
        <v>1277.5</v>
      </c>
    </row>
    <row r="160" spans="1:9" x14ac:dyDescent="0.2">
      <c r="A160" s="5" t="s">
        <v>256</v>
      </c>
      <c r="B160" s="14">
        <v>1251.5</v>
      </c>
      <c r="C160">
        <v>1038.5</v>
      </c>
      <c r="D160">
        <v>1251.5</v>
      </c>
      <c r="E160">
        <v>1035</v>
      </c>
      <c r="F160">
        <v>1248</v>
      </c>
      <c r="G160">
        <v>1035</v>
      </c>
      <c r="H160">
        <v>1248</v>
      </c>
      <c r="I160">
        <v>1038.5</v>
      </c>
    </row>
    <row r="161" spans="1:9" x14ac:dyDescent="0.2">
      <c r="A161" s="5" t="s">
        <v>257</v>
      </c>
      <c r="B161" s="14">
        <v>1251.5</v>
      </c>
      <c r="C161">
        <v>1042.5</v>
      </c>
      <c r="D161">
        <v>1251.5</v>
      </c>
      <c r="E161">
        <v>1039</v>
      </c>
      <c r="F161">
        <v>1248</v>
      </c>
      <c r="G161">
        <v>1039</v>
      </c>
      <c r="H161">
        <v>1248</v>
      </c>
      <c r="I161">
        <v>1042.5</v>
      </c>
    </row>
    <row r="162" spans="1:9" x14ac:dyDescent="0.2">
      <c r="A162" s="5" t="s">
        <v>258</v>
      </c>
      <c r="B162" s="14">
        <v>1251.5</v>
      </c>
      <c r="C162">
        <v>1046.5</v>
      </c>
      <c r="D162">
        <v>1251.5</v>
      </c>
      <c r="E162">
        <v>1043</v>
      </c>
      <c r="F162">
        <v>1248</v>
      </c>
      <c r="G162">
        <v>1043</v>
      </c>
      <c r="H162">
        <v>1248</v>
      </c>
      <c r="I162">
        <v>1046.5</v>
      </c>
    </row>
    <row r="163" spans="1:9" x14ac:dyDescent="0.2">
      <c r="A163" s="5" t="s">
        <v>259</v>
      </c>
      <c r="B163" s="14">
        <v>1251.5</v>
      </c>
      <c r="C163">
        <v>1050.5</v>
      </c>
      <c r="D163">
        <v>1251.5</v>
      </c>
      <c r="E163">
        <v>1047</v>
      </c>
      <c r="F163">
        <v>1248</v>
      </c>
      <c r="G163">
        <v>1047</v>
      </c>
      <c r="H163">
        <v>1248</v>
      </c>
      <c r="I163">
        <v>1050.5</v>
      </c>
    </row>
    <row r="164" spans="1:9" x14ac:dyDescent="0.2">
      <c r="A164" s="5" t="s">
        <v>260</v>
      </c>
      <c r="B164" s="14">
        <v>1251.5</v>
      </c>
      <c r="C164">
        <v>1054.5</v>
      </c>
      <c r="D164">
        <v>1251.5</v>
      </c>
      <c r="E164">
        <v>1051</v>
      </c>
      <c r="F164">
        <v>1248</v>
      </c>
      <c r="G164">
        <v>1051</v>
      </c>
      <c r="H164">
        <v>1248</v>
      </c>
      <c r="I164">
        <v>1054.5</v>
      </c>
    </row>
    <row r="165" spans="1:9" x14ac:dyDescent="0.2">
      <c r="A165" s="5" t="s">
        <v>261</v>
      </c>
      <c r="B165" s="14">
        <v>1251.5</v>
      </c>
      <c r="C165">
        <v>1060.5</v>
      </c>
      <c r="D165">
        <v>1251.5</v>
      </c>
      <c r="E165">
        <v>1057</v>
      </c>
      <c r="F165">
        <v>1248</v>
      </c>
      <c r="G165">
        <v>1057</v>
      </c>
      <c r="H165">
        <v>1248</v>
      </c>
      <c r="I165">
        <v>1060.5</v>
      </c>
    </row>
    <row r="166" spans="1:9" x14ac:dyDescent="0.2">
      <c r="A166" s="5" t="s">
        <v>262</v>
      </c>
      <c r="B166" s="14">
        <v>1251.5</v>
      </c>
      <c r="C166">
        <v>1064.5</v>
      </c>
      <c r="D166">
        <v>1251.5</v>
      </c>
      <c r="E166">
        <v>1061</v>
      </c>
      <c r="F166">
        <v>1248</v>
      </c>
      <c r="G166">
        <v>1061</v>
      </c>
      <c r="H166">
        <v>1248</v>
      </c>
      <c r="I166">
        <v>1064.5</v>
      </c>
    </row>
    <row r="167" spans="1:9" x14ac:dyDescent="0.2">
      <c r="A167" s="5" t="s">
        <v>263</v>
      </c>
      <c r="B167" s="14">
        <v>1251.5</v>
      </c>
      <c r="C167">
        <v>1068.5</v>
      </c>
      <c r="D167">
        <v>1251.5</v>
      </c>
      <c r="E167">
        <v>1065</v>
      </c>
      <c r="F167">
        <v>1248</v>
      </c>
      <c r="G167">
        <v>1065</v>
      </c>
      <c r="H167">
        <v>1248</v>
      </c>
      <c r="I167">
        <v>1068.5</v>
      </c>
    </row>
    <row r="168" spans="1:9" x14ac:dyDescent="0.2">
      <c r="A168" s="5" t="s">
        <v>264</v>
      </c>
      <c r="B168" s="14">
        <v>1251.5</v>
      </c>
      <c r="C168">
        <v>1072.5</v>
      </c>
      <c r="D168">
        <v>1251.5</v>
      </c>
      <c r="E168">
        <v>1069</v>
      </c>
      <c r="F168">
        <v>1248</v>
      </c>
      <c r="G168">
        <v>1069</v>
      </c>
      <c r="H168">
        <v>1248</v>
      </c>
      <c r="I168">
        <v>1072.5</v>
      </c>
    </row>
    <row r="169" spans="1:9" x14ac:dyDescent="0.2">
      <c r="A169" s="5" t="s">
        <v>265</v>
      </c>
      <c r="B169" s="14">
        <v>1251.5</v>
      </c>
      <c r="C169">
        <v>1076.5</v>
      </c>
      <c r="D169">
        <v>1251.5</v>
      </c>
      <c r="E169">
        <v>1073</v>
      </c>
      <c r="F169">
        <v>1248</v>
      </c>
      <c r="G169">
        <v>1073</v>
      </c>
      <c r="H169">
        <v>1248</v>
      </c>
      <c r="I169">
        <v>1076.5</v>
      </c>
    </row>
    <row r="170" spans="1:9" x14ac:dyDescent="0.2">
      <c r="A170" s="5" t="s">
        <v>266</v>
      </c>
      <c r="B170" s="14">
        <v>1251.5</v>
      </c>
      <c r="C170">
        <v>1082.5</v>
      </c>
      <c r="D170">
        <v>1251.5</v>
      </c>
      <c r="E170">
        <v>1079</v>
      </c>
      <c r="F170">
        <v>1248</v>
      </c>
      <c r="G170">
        <v>1079</v>
      </c>
      <c r="H170">
        <v>1248</v>
      </c>
      <c r="I170">
        <v>1082.5</v>
      </c>
    </row>
    <row r="171" spans="1:9" x14ac:dyDescent="0.2">
      <c r="A171" s="5" t="s">
        <v>267</v>
      </c>
      <c r="B171" s="14">
        <v>1251.5</v>
      </c>
      <c r="C171">
        <v>1086.5</v>
      </c>
      <c r="D171">
        <v>1251.5</v>
      </c>
      <c r="E171">
        <v>1083</v>
      </c>
      <c r="F171">
        <v>1248</v>
      </c>
      <c r="G171">
        <v>1083</v>
      </c>
      <c r="H171">
        <v>1248</v>
      </c>
      <c r="I171">
        <v>1086.5</v>
      </c>
    </row>
    <row r="172" spans="1:9" x14ac:dyDescent="0.2">
      <c r="A172" s="5" t="s">
        <v>268</v>
      </c>
      <c r="B172" s="14">
        <v>1251.5</v>
      </c>
      <c r="C172">
        <v>1090.5</v>
      </c>
      <c r="D172">
        <v>1251.5</v>
      </c>
      <c r="E172">
        <v>1087</v>
      </c>
      <c r="F172">
        <v>1248</v>
      </c>
      <c r="G172">
        <v>1087</v>
      </c>
      <c r="H172">
        <v>1248</v>
      </c>
      <c r="I172">
        <v>1090.5</v>
      </c>
    </row>
    <row r="173" spans="1:9" x14ac:dyDescent="0.2">
      <c r="A173" s="5" t="s">
        <v>269</v>
      </c>
      <c r="B173" s="14">
        <v>1251.5</v>
      </c>
      <c r="C173">
        <v>1094.5</v>
      </c>
      <c r="D173">
        <v>1251.5</v>
      </c>
      <c r="E173">
        <v>1091</v>
      </c>
      <c r="F173">
        <v>1248</v>
      </c>
      <c r="G173">
        <v>1091</v>
      </c>
      <c r="H173">
        <v>1248</v>
      </c>
      <c r="I173">
        <v>1094.5</v>
      </c>
    </row>
    <row r="174" spans="1:9" x14ac:dyDescent="0.2">
      <c r="A174" s="5" t="s">
        <v>270</v>
      </c>
      <c r="B174" s="14">
        <v>1251.5</v>
      </c>
      <c r="C174">
        <v>1098.5</v>
      </c>
      <c r="D174">
        <v>1251.5</v>
      </c>
      <c r="E174">
        <v>1095</v>
      </c>
      <c r="F174">
        <v>1248</v>
      </c>
      <c r="G174">
        <v>1095</v>
      </c>
      <c r="H174">
        <v>1248</v>
      </c>
      <c r="I174">
        <v>1098.5</v>
      </c>
    </row>
    <row r="175" spans="1:9" x14ac:dyDescent="0.2">
      <c r="A175" s="5" t="s">
        <v>271</v>
      </c>
      <c r="B175" s="14">
        <v>1251.5</v>
      </c>
      <c r="C175">
        <v>1104.5</v>
      </c>
      <c r="D175">
        <v>1251.5</v>
      </c>
      <c r="E175">
        <v>1101</v>
      </c>
      <c r="F175">
        <v>1248</v>
      </c>
      <c r="G175">
        <v>1101</v>
      </c>
      <c r="H175">
        <v>1248</v>
      </c>
      <c r="I175">
        <v>1104.5</v>
      </c>
    </row>
    <row r="176" spans="1:9" x14ac:dyDescent="0.2">
      <c r="A176" s="5" t="s">
        <v>272</v>
      </c>
      <c r="B176" s="14">
        <v>1251.5</v>
      </c>
      <c r="C176">
        <v>1108.5</v>
      </c>
      <c r="D176">
        <v>1251.5</v>
      </c>
      <c r="E176">
        <v>1105</v>
      </c>
      <c r="F176">
        <v>1248</v>
      </c>
      <c r="G176">
        <v>1105</v>
      </c>
      <c r="H176">
        <v>1248</v>
      </c>
      <c r="I176">
        <v>1108.5</v>
      </c>
    </row>
    <row r="177" spans="1:9" x14ac:dyDescent="0.2">
      <c r="A177" s="5" t="s">
        <v>273</v>
      </c>
      <c r="B177" s="14">
        <v>1251.5</v>
      </c>
      <c r="C177">
        <v>1112.5</v>
      </c>
      <c r="D177">
        <v>1251.5</v>
      </c>
      <c r="E177">
        <v>1109</v>
      </c>
      <c r="F177">
        <v>1248</v>
      </c>
      <c r="G177">
        <v>1109</v>
      </c>
      <c r="H177">
        <v>1248</v>
      </c>
      <c r="I177">
        <v>1112.5</v>
      </c>
    </row>
    <row r="178" spans="1:9" x14ac:dyDescent="0.2">
      <c r="A178" s="5" t="s">
        <v>274</v>
      </c>
      <c r="B178" s="14">
        <v>1251.5</v>
      </c>
      <c r="C178">
        <v>1116.5</v>
      </c>
      <c r="D178">
        <v>1251.5</v>
      </c>
      <c r="E178">
        <v>1113</v>
      </c>
      <c r="F178">
        <v>1248</v>
      </c>
      <c r="G178">
        <v>1113</v>
      </c>
      <c r="H178">
        <v>1248</v>
      </c>
      <c r="I178">
        <v>1116.5</v>
      </c>
    </row>
    <row r="179" spans="1:9" x14ac:dyDescent="0.2">
      <c r="A179" s="5" t="s">
        <v>275</v>
      </c>
      <c r="B179" s="14">
        <v>1251.5</v>
      </c>
      <c r="C179">
        <v>1120.5</v>
      </c>
      <c r="D179">
        <v>1251.5</v>
      </c>
      <c r="E179">
        <v>1117</v>
      </c>
      <c r="F179">
        <v>1248</v>
      </c>
      <c r="G179">
        <v>1117</v>
      </c>
      <c r="H179">
        <v>1248</v>
      </c>
      <c r="I179">
        <v>1120.5</v>
      </c>
    </row>
    <row r="180" spans="1:9" x14ac:dyDescent="0.2">
      <c r="A180" s="5" t="s">
        <v>276</v>
      </c>
      <c r="B180" s="14">
        <v>1251.5</v>
      </c>
      <c r="C180">
        <v>1126.5</v>
      </c>
      <c r="D180">
        <v>1251.5</v>
      </c>
      <c r="E180">
        <v>1123</v>
      </c>
      <c r="F180">
        <v>1248</v>
      </c>
      <c r="G180">
        <v>1123</v>
      </c>
      <c r="H180">
        <v>1248</v>
      </c>
      <c r="I180">
        <v>1126.5</v>
      </c>
    </row>
    <row r="181" spans="1:9" x14ac:dyDescent="0.2">
      <c r="A181" s="5" t="s">
        <v>277</v>
      </c>
      <c r="B181" s="14">
        <v>1251.5</v>
      </c>
      <c r="C181">
        <v>1130.5</v>
      </c>
      <c r="D181">
        <v>1251.5</v>
      </c>
      <c r="E181">
        <v>1127</v>
      </c>
      <c r="F181">
        <v>1248</v>
      </c>
      <c r="G181">
        <v>1127</v>
      </c>
      <c r="H181">
        <v>1248</v>
      </c>
      <c r="I181">
        <v>1130.5</v>
      </c>
    </row>
    <row r="182" spans="1:9" x14ac:dyDescent="0.2">
      <c r="A182" s="5" t="s">
        <v>278</v>
      </c>
      <c r="B182" s="14">
        <v>1251.5</v>
      </c>
      <c r="C182">
        <v>1134.5</v>
      </c>
      <c r="D182">
        <v>1251.5</v>
      </c>
      <c r="E182">
        <v>1131</v>
      </c>
      <c r="F182">
        <v>1248</v>
      </c>
      <c r="G182">
        <v>1131</v>
      </c>
      <c r="H182">
        <v>1248</v>
      </c>
      <c r="I182">
        <v>1134.5</v>
      </c>
    </row>
    <row r="183" spans="1:9" x14ac:dyDescent="0.2">
      <c r="A183" s="5" t="s">
        <v>279</v>
      </c>
      <c r="B183" s="14">
        <v>1251.5</v>
      </c>
      <c r="C183">
        <v>1138.5</v>
      </c>
      <c r="D183">
        <v>1251.5</v>
      </c>
      <c r="E183">
        <v>1135</v>
      </c>
      <c r="F183">
        <v>1248</v>
      </c>
      <c r="G183">
        <v>1135</v>
      </c>
      <c r="H183">
        <v>1248</v>
      </c>
      <c r="I183">
        <v>1138.5</v>
      </c>
    </row>
    <row r="184" spans="1:9" x14ac:dyDescent="0.2">
      <c r="A184" s="5" t="s">
        <v>280</v>
      </c>
      <c r="B184" s="14">
        <v>1251.5</v>
      </c>
      <c r="C184">
        <v>1142.5</v>
      </c>
      <c r="D184">
        <v>1251.5</v>
      </c>
      <c r="E184">
        <v>1139</v>
      </c>
      <c r="F184">
        <v>1248</v>
      </c>
      <c r="G184">
        <v>1139</v>
      </c>
      <c r="H184">
        <v>1248</v>
      </c>
      <c r="I184">
        <v>1142.5</v>
      </c>
    </row>
    <row r="185" spans="1:9" x14ac:dyDescent="0.2">
      <c r="A185" s="5" t="s">
        <v>281</v>
      </c>
      <c r="B185" s="14">
        <v>1251.5</v>
      </c>
      <c r="C185">
        <v>1151.5</v>
      </c>
      <c r="D185">
        <v>1251.5</v>
      </c>
      <c r="E185">
        <v>1148</v>
      </c>
      <c r="F185">
        <v>1248</v>
      </c>
      <c r="G185">
        <v>1148</v>
      </c>
      <c r="H185">
        <v>1248</v>
      </c>
      <c r="I185">
        <v>1151.5</v>
      </c>
    </row>
    <row r="186" spans="1:9" x14ac:dyDescent="0.2">
      <c r="A186" s="5" t="s">
        <v>282</v>
      </c>
      <c r="B186" s="14">
        <v>1251.5</v>
      </c>
      <c r="C186">
        <v>1155.5</v>
      </c>
      <c r="D186">
        <v>1251.5</v>
      </c>
      <c r="E186">
        <v>1152</v>
      </c>
      <c r="F186">
        <v>1248</v>
      </c>
      <c r="G186">
        <v>1152</v>
      </c>
      <c r="H186">
        <v>1248</v>
      </c>
      <c r="I186">
        <v>1155.5</v>
      </c>
    </row>
    <row r="187" spans="1:9" x14ac:dyDescent="0.2">
      <c r="A187" s="5" t="s">
        <v>283</v>
      </c>
      <c r="B187" s="14">
        <v>1251.5</v>
      </c>
      <c r="C187">
        <v>1159.5</v>
      </c>
      <c r="D187">
        <v>1251.5</v>
      </c>
      <c r="E187">
        <v>1156</v>
      </c>
      <c r="F187">
        <v>1248</v>
      </c>
      <c r="G187">
        <v>1156</v>
      </c>
      <c r="H187">
        <v>1248</v>
      </c>
      <c r="I187">
        <v>1159.5</v>
      </c>
    </row>
    <row r="188" spans="1:9" x14ac:dyDescent="0.2">
      <c r="A188" s="5" t="s">
        <v>284</v>
      </c>
      <c r="B188" s="14">
        <v>1251.5</v>
      </c>
      <c r="C188">
        <v>1163.5</v>
      </c>
      <c r="D188">
        <v>1251.5</v>
      </c>
      <c r="E188">
        <v>1160</v>
      </c>
      <c r="F188">
        <v>1248</v>
      </c>
      <c r="G188">
        <v>1160</v>
      </c>
      <c r="H188">
        <v>1248</v>
      </c>
      <c r="I188">
        <v>1163.5</v>
      </c>
    </row>
    <row r="189" spans="1:9" x14ac:dyDescent="0.2">
      <c r="A189" s="5" t="s">
        <v>285</v>
      </c>
      <c r="B189" s="14">
        <v>1251.5</v>
      </c>
      <c r="C189">
        <v>1167.5</v>
      </c>
      <c r="D189">
        <v>1251.5</v>
      </c>
      <c r="E189">
        <v>1164</v>
      </c>
      <c r="F189">
        <v>1248</v>
      </c>
      <c r="G189">
        <v>1164</v>
      </c>
      <c r="H189">
        <v>1248</v>
      </c>
      <c r="I189">
        <v>1167.5</v>
      </c>
    </row>
    <row r="190" spans="1:9" x14ac:dyDescent="0.2">
      <c r="A190" s="5" t="s">
        <v>286</v>
      </c>
      <c r="B190" s="14">
        <v>1251.5</v>
      </c>
      <c r="C190">
        <v>1173.5</v>
      </c>
      <c r="D190">
        <v>1251.5</v>
      </c>
      <c r="E190">
        <v>1170</v>
      </c>
      <c r="F190">
        <v>1248</v>
      </c>
      <c r="G190">
        <v>1170</v>
      </c>
      <c r="H190">
        <v>1248</v>
      </c>
      <c r="I190">
        <v>1173.5</v>
      </c>
    </row>
    <row r="191" spans="1:9" x14ac:dyDescent="0.2">
      <c r="A191" s="5" t="s">
        <v>287</v>
      </c>
      <c r="B191" s="14">
        <v>1251.5</v>
      </c>
      <c r="C191">
        <v>1177.5</v>
      </c>
      <c r="D191">
        <v>1251.5</v>
      </c>
      <c r="E191">
        <v>1174</v>
      </c>
      <c r="F191">
        <v>1248</v>
      </c>
      <c r="G191">
        <v>1174</v>
      </c>
      <c r="H191">
        <v>1248</v>
      </c>
      <c r="I191">
        <v>1177.5</v>
      </c>
    </row>
    <row r="192" spans="1:9" x14ac:dyDescent="0.2">
      <c r="A192" s="5" t="s">
        <v>288</v>
      </c>
      <c r="B192" s="14">
        <v>1251.5</v>
      </c>
      <c r="C192">
        <v>1181.5</v>
      </c>
      <c r="D192">
        <v>1251.5</v>
      </c>
      <c r="E192">
        <v>1178</v>
      </c>
      <c r="F192">
        <v>1248</v>
      </c>
      <c r="G192">
        <v>1178</v>
      </c>
      <c r="H192">
        <v>1248</v>
      </c>
      <c r="I192">
        <v>1181.5</v>
      </c>
    </row>
    <row r="193" spans="1:9" x14ac:dyDescent="0.2">
      <c r="A193" s="5" t="s">
        <v>289</v>
      </c>
      <c r="B193" s="14">
        <v>1251.5</v>
      </c>
      <c r="C193">
        <v>1185.5</v>
      </c>
      <c r="D193">
        <v>1251.5</v>
      </c>
      <c r="E193">
        <v>1182</v>
      </c>
      <c r="F193">
        <v>1248</v>
      </c>
      <c r="G193">
        <v>1182</v>
      </c>
      <c r="H193">
        <v>1248</v>
      </c>
      <c r="I193">
        <v>1185.5</v>
      </c>
    </row>
    <row r="194" spans="1:9" x14ac:dyDescent="0.2">
      <c r="A194" s="5" t="s">
        <v>290</v>
      </c>
      <c r="B194" s="14">
        <v>1251.5</v>
      </c>
      <c r="C194">
        <v>1189.5</v>
      </c>
      <c r="D194">
        <v>1251.5</v>
      </c>
      <c r="E194">
        <v>1186</v>
      </c>
      <c r="F194">
        <v>1248</v>
      </c>
      <c r="G194">
        <v>1186</v>
      </c>
      <c r="H194">
        <v>1248</v>
      </c>
      <c r="I194">
        <v>1189.5</v>
      </c>
    </row>
    <row r="195" spans="1:9" x14ac:dyDescent="0.2">
      <c r="A195" s="5" t="s">
        <v>291</v>
      </c>
      <c r="B195" s="14">
        <v>1251.5</v>
      </c>
      <c r="C195">
        <v>1195.5</v>
      </c>
      <c r="D195">
        <v>1251.5</v>
      </c>
      <c r="E195">
        <v>1192</v>
      </c>
      <c r="F195">
        <v>1248</v>
      </c>
      <c r="G195">
        <v>1192</v>
      </c>
      <c r="H195">
        <v>1248</v>
      </c>
      <c r="I195">
        <v>1195.5</v>
      </c>
    </row>
    <row r="196" spans="1:9" x14ac:dyDescent="0.2">
      <c r="A196" s="5" t="s">
        <v>292</v>
      </c>
      <c r="B196" s="14">
        <v>1251.5</v>
      </c>
      <c r="C196">
        <v>1199.5</v>
      </c>
      <c r="D196">
        <v>1251.5</v>
      </c>
      <c r="E196">
        <v>1196</v>
      </c>
      <c r="F196">
        <v>1248</v>
      </c>
      <c r="G196">
        <v>1196</v>
      </c>
      <c r="H196">
        <v>1248</v>
      </c>
      <c r="I196">
        <v>1199.5</v>
      </c>
    </row>
    <row r="197" spans="1:9" x14ac:dyDescent="0.2">
      <c r="A197" s="5" t="s">
        <v>293</v>
      </c>
      <c r="B197" s="14">
        <v>1251.5</v>
      </c>
      <c r="C197">
        <v>1203.5</v>
      </c>
      <c r="D197">
        <v>1251.5</v>
      </c>
      <c r="E197">
        <v>1200</v>
      </c>
      <c r="F197">
        <v>1248</v>
      </c>
      <c r="G197">
        <v>1200</v>
      </c>
      <c r="H197">
        <v>1248</v>
      </c>
      <c r="I197">
        <v>1203.5</v>
      </c>
    </row>
    <row r="198" spans="1:9" x14ac:dyDescent="0.2">
      <c r="A198" s="5" t="s">
        <v>294</v>
      </c>
      <c r="B198" s="14">
        <v>1251.5</v>
      </c>
      <c r="C198">
        <v>1207.5</v>
      </c>
      <c r="D198">
        <v>1251.5</v>
      </c>
      <c r="E198">
        <v>1204</v>
      </c>
      <c r="F198">
        <v>1248</v>
      </c>
      <c r="G198">
        <v>1204</v>
      </c>
      <c r="H198">
        <v>1248</v>
      </c>
      <c r="I198">
        <v>1207.5</v>
      </c>
    </row>
    <row r="199" spans="1:9" x14ac:dyDescent="0.2">
      <c r="A199" s="5" t="s">
        <v>295</v>
      </c>
      <c r="B199" s="14">
        <v>1251.5</v>
      </c>
      <c r="C199">
        <v>1211.5</v>
      </c>
      <c r="D199">
        <v>1251.5</v>
      </c>
      <c r="E199">
        <v>1208</v>
      </c>
      <c r="F199">
        <v>1248</v>
      </c>
      <c r="G199">
        <v>1208</v>
      </c>
      <c r="H199">
        <v>1248</v>
      </c>
      <c r="I199">
        <v>1211.5</v>
      </c>
    </row>
    <row r="200" spans="1:9" x14ac:dyDescent="0.2">
      <c r="A200" s="5" t="s">
        <v>296</v>
      </c>
      <c r="B200" s="14">
        <v>1251.5</v>
      </c>
      <c r="C200">
        <v>1217.5</v>
      </c>
      <c r="D200">
        <v>1251.5</v>
      </c>
      <c r="E200">
        <v>1214</v>
      </c>
      <c r="F200">
        <v>1248</v>
      </c>
      <c r="G200">
        <v>1214</v>
      </c>
      <c r="H200">
        <v>1248</v>
      </c>
      <c r="I200">
        <v>1217.5</v>
      </c>
    </row>
    <row r="201" spans="1:9" x14ac:dyDescent="0.2">
      <c r="A201" s="5" t="s">
        <v>297</v>
      </c>
      <c r="B201" s="14">
        <v>1251.5</v>
      </c>
      <c r="C201">
        <v>1221.5</v>
      </c>
      <c r="D201">
        <v>1251.5</v>
      </c>
      <c r="E201">
        <v>1218</v>
      </c>
      <c r="F201">
        <v>1248</v>
      </c>
      <c r="G201">
        <v>1218</v>
      </c>
      <c r="H201">
        <v>1248</v>
      </c>
      <c r="I201">
        <v>1221.5</v>
      </c>
    </row>
    <row r="202" spans="1:9" x14ac:dyDescent="0.2">
      <c r="A202" s="5" t="s">
        <v>298</v>
      </c>
      <c r="B202" s="14">
        <v>1251.5</v>
      </c>
      <c r="C202">
        <v>1225.5</v>
      </c>
      <c r="D202">
        <v>1251.5</v>
      </c>
      <c r="E202">
        <v>1222</v>
      </c>
      <c r="F202">
        <v>1248</v>
      </c>
      <c r="G202">
        <v>1222</v>
      </c>
      <c r="H202">
        <v>1248</v>
      </c>
      <c r="I202">
        <v>1225.5</v>
      </c>
    </row>
    <row r="203" spans="1:9" x14ac:dyDescent="0.2">
      <c r="A203" s="5" t="s">
        <v>299</v>
      </c>
      <c r="B203" s="14">
        <v>1251.5</v>
      </c>
      <c r="C203">
        <v>1229.5</v>
      </c>
      <c r="D203">
        <v>1251.5</v>
      </c>
      <c r="E203">
        <v>1226</v>
      </c>
      <c r="F203">
        <v>1248</v>
      </c>
      <c r="G203">
        <v>1226</v>
      </c>
      <c r="H203">
        <v>1248</v>
      </c>
      <c r="I203">
        <v>1229.5</v>
      </c>
    </row>
    <row r="204" spans="1:9" x14ac:dyDescent="0.2">
      <c r="A204" s="5" t="s">
        <v>300</v>
      </c>
      <c r="B204" s="14">
        <v>1251.5</v>
      </c>
      <c r="C204">
        <v>1233.5</v>
      </c>
      <c r="D204">
        <v>1251.5</v>
      </c>
      <c r="E204">
        <v>1230</v>
      </c>
      <c r="F204">
        <v>1248</v>
      </c>
      <c r="G204">
        <v>1230</v>
      </c>
      <c r="H204">
        <v>1248</v>
      </c>
      <c r="I204">
        <v>1233.5</v>
      </c>
    </row>
    <row r="205" spans="1:9" x14ac:dyDescent="0.2">
      <c r="A205" s="5" t="s">
        <v>301</v>
      </c>
      <c r="B205" s="14">
        <v>1251.5</v>
      </c>
      <c r="C205">
        <v>1239.5</v>
      </c>
      <c r="D205">
        <v>1251.5</v>
      </c>
      <c r="E205">
        <v>1236</v>
      </c>
      <c r="F205">
        <v>1248</v>
      </c>
      <c r="G205">
        <v>1236</v>
      </c>
      <c r="H205">
        <v>1248</v>
      </c>
      <c r="I205">
        <v>1239.5</v>
      </c>
    </row>
    <row r="206" spans="1:9" x14ac:dyDescent="0.2">
      <c r="A206" s="5" t="s">
        <v>302</v>
      </c>
      <c r="B206" s="14">
        <v>1199</v>
      </c>
      <c r="C206">
        <v>1016.5</v>
      </c>
      <c r="D206">
        <v>1199</v>
      </c>
      <c r="E206">
        <v>1013</v>
      </c>
      <c r="F206">
        <v>1195.5</v>
      </c>
      <c r="G206">
        <v>1013</v>
      </c>
      <c r="H206">
        <v>1195.5</v>
      </c>
      <c r="I206">
        <v>1016.5</v>
      </c>
    </row>
    <row r="207" spans="1:9" x14ac:dyDescent="0.2">
      <c r="A207" s="5" t="s">
        <v>303</v>
      </c>
      <c r="B207" s="14">
        <v>1199</v>
      </c>
      <c r="C207">
        <v>1020.5</v>
      </c>
      <c r="D207">
        <v>1199</v>
      </c>
      <c r="E207">
        <v>1017</v>
      </c>
      <c r="F207">
        <v>1195.5</v>
      </c>
      <c r="G207">
        <v>1017</v>
      </c>
      <c r="H207">
        <v>1195.5</v>
      </c>
      <c r="I207">
        <v>1020.5</v>
      </c>
    </row>
    <row r="208" spans="1:9" x14ac:dyDescent="0.2">
      <c r="A208" s="5" t="s">
        <v>304</v>
      </c>
      <c r="B208" s="14">
        <v>1199</v>
      </c>
      <c r="C208">
        <v>1024.5</v>
      </c>
      <c r="D208">
        <v>1199</v>
      </c>
      <c r="E208">
        <v>1021</v>
      </c>
      <c r="F208">
        <v>1195.5</v>
      </c>
      <c r="G208">
        <v>1021</v>
      </c>
      <c r="H208">
        <v>1195.5</v>
      </c>
      <c r="I208">
        <v>1024.5</v>
      </c>
    </row>
    <row r="209" spans="1:9" x14ac:dyDescent="0.2">
      <c r="A209" s="5" t="s">
        <v>305</v>
      </c>
      <c r="B209" s="14">
        <v>1199</v>
      </c>
      <c r="C209">
        <v>1028.5</v>
      </c>
      <c r="D209">
        <v>1199</v>
      </c>
      <c r="E209">
        <v>1025</v>
      </c>
      <c r="F209">
        <v>1195.5</v>
      </c>
      <c r="G209">
        <v>1025</v>
      </c>
      <c r="H209">
        <v>1195.5</v>
      </c>
      <c r="I209">
        <v>1028.5</v>
      </c>
    </row>
    <row r="210" spans="1:9" x14ac:dyDescent="0.2">
      <c r="A210" s="5" t="s">
        <v>306</v>
      </c>
      <c r="B210" s="14">
        <v>1199</v>
      </c>
      <c r="C210">
        <v>1032.5</v>
      </c>
      <c r="D210">
        <v>1199</v>
      </c>
      <c r="E210">
        <v>1029</v>
      </c>
      <c r="F210">
        <v>1195.5</v>
      </c>
      <c r="G210">
        <v>1029</v>
      </c>
      <c r="H210">
        <v>1195.5</v>
      </c>
      <c r="I210">
        <v>1032.5</v>
      </c>
    </row>
    <row r="211" spans="1:9" x14ac:dyDescent="0.2">
      <c r="A211" s="5" t="s">
        <v>307</v>
      </c>
      <c r="B211" s="14">
        <v>1199</v>
      </c>
      <c r="C211">
        <v>1038.5</v>
      </c>
      <c r="D211">
        <v>1199</v>
      </c>
      <c r="E211">
        <v>1035</v>
      </c>
      <c r="F211">
        <v>1195.5</v>
      </c>
      <c r="G211">
        <v>1035</v>
      </c>
      <c r="H211">
        <v>1195.5</v>
      </c>
      <c r="I211">
        <v>1038.5</v>
      </c>
    </row>
    <row r="212" spans="1:9" x14ac:dyDescent="0.2">
      <c r="A212" s="5" t="s">
        <v>308</v>
      </c>
      <c r="B212" s="14">
        <v>1199</v>
      </c>
      <c r="C212">
        <v>1042.5</v>
      </c>
      <c r="D212">
        <v>1199</v>
      </c>
      <c r="E212">
        <v>1039</v>
      </c>
      <c r="F212">
        <v>1195.5</v>
      </c>
      <c r="G212">
        <v>1039</v>
      </c>
      <c r="H212">
        <v>1195.5</v>
      </c>
      <c r="I212">
        <v>1042.5</v>
      </c>
    </row>
    <row r="213" spans="1:9" x14ac:dyDescent="0.2">
      <c r="A213" s="5" t="s">
        <v>309</v>
      </c>
      <c r="B213" s="14">
        <v>1199</v>
      </c>
      <c r="C213">
        <v>1046.5</v>
      </c>
      <c r="D213">
        <v>1199</v>
      </c>
      <c r="E213">
        <v>1043</v>
      </c>
      <c r="F213">
        <v>1195.5</v>
      </c>
      <c r="G213">
        <v>1043</v>
      </c>
      <c r="H213">
        <v>1195.5</v>
      </c>
      <c r="I213">
        <v>1046.5</v>
      </c>
    </row>
    <row r="214" spans="1:9" x14ac:dyDescent="0.2">
      <c r="A214" s="5" t="s">
        <v>310</v>
      </c>
      <c r="B214" s="14">
        <v>1199</v>
      </c>
      <c r="C214">
        <v>1050.5</v>
      </c>
      <c r="D214">
        <v>1199</v>
      </c>
      <c r="E214">
        <v>1047</v>
      </c>
      <c r="F214">
        <v>1195.5</v>
      </c>
      <c r="G214">
        <v>1047</v>
      </c>
      <c r="H214">
        <v>1195.5</v>
      </c>
      <c r="I214">
        <v>1050.5</v>
      </c>
    </row>
    <row r="215" spans="1:9" x14ac:dyDescent="0.2">
      <c r="A215" s="5" t="s">
        <v>311</v>
      </c>
      <c r="B215" s="14">
        <v>1199</v>
      </c>
      <c r="C215">
        <v>1054.5</v>
      </c>
      <c r="D215">
        <v>1199</v>
      </c>
      <c r="E215">
        <v>1051</v>
      </c>
      <c r="F215">
        <v>1195.5</v>
      </c>
      <c r="G215">
        <v>1051</v>
      </c>
      <c r="H215">
        <v>1195.5</v>
      </c>
      <c r="I215">
        <v>1054.5</v>
      </c>
    </row>
    <row r="216" spans="1:9" x14ac:dyDescent="0.2">
      <c r="A216" s="5" t="s">
        <v>312</v>
      </c>
      <c r="B216" s="14">
        <v>1199</v>
      </c>
      <c r="C216">
        <v>1082.5</v>
      </c>
      <c r="D216">
        <v>1199</v>
      </c>
      <c r="E216">
        <v>1079</v>
      </c>
      <c r="F216">
        <v>1195.5</v>
      </c>
      <c r="G216">
        <v>1079</v>
      </c>
      <c r="H216">
        <v>1195.5</v>
      </c>
      <c r="I216">
        <v>1082.5</v>
      </c>
    </row>
    <row r="217" spans="1:9" x14ac:dyDescent="0.2">
      <c r="A217" s="5" t="s">
        <v>313</v>
      </c>
      <c r="B217" s="14">
        <v>1199</v>
      </c>
      <c r="C217">
        <v>1086.5</v>
      </c>
      <c r="D217">
        <v>1199</v>
      </c>
      <c r="E217">
        <v>1083</v>
      </c>
      <c r="F217">
        <v>1195.5</v>
      </c>
      <c r="G217">
        <v>1083</v>
      </c>
      <c r="H217">
        <v>1195.5</v>
      </c>
      <c r="I217">
        <v>1086.5</v>
      </c>
    </row>
    <row r="218" spans="1:9" x14ac:dyDescent="0.2">
      <c r="A218" s="5" t="s">
        <v>314</v>
      </c>
      <c r="B218" s="14">
        <v>1199</v>
      </c>
      <c r="C218">
        <v>1090.5</v>
      </c>
      <c r="D218">
        <v>1199</v>
      </c>
      <c r="E218">
        <v>1087</v>
      </c>
      <c r="F218">
        <v>1195.5</v>
      </c>
      <c r="G218">
        <v>1087</v>
      </c>
      <c r="H218">
        <v>1195.5</v>
      </c>
      <c r="I218">
        <v>1090.5</v>
      </c>
    </row>
    <row r="219" spans="1:9" x14ac:dyDescent="0.2">
      <c r="A219" s="5" t="s">
        <v>315</v>
      </c>
      <c r="B219" s="14">
        <v>1199</v>
      </c>
      <c r="C219">
        <v>1094.5</v>
      </c>
      <c r="D219">
        <v>1199</v>
      </c>
      <c r="E219">
        <v>1091</v>
      </c>
      <c r="F219">
        <v>1195.5</v>
      </c>
      <c r="G219">
        <v>1091</v>
      </c>
      <c r="H219">
        <v>1195.5</v>
      </c>
      <c r="I219">
        <v>1094.5</v>
      </c>
    </row>
    <row r="220" spans="1:9" x14ac:dyDescent="0.2">
      <c r="A220" s="5" t="s">
        <v>316</v>
      </c>
      <c r="B220" s="14">
        <v>1199</v>
      </c>
      <c r="C220">
        <v>1098.5</v>
      </c>
      <c r="D220">
        <v>1199</v>
      </c>
      <c r="E220">
        <v>1095</v>
      </c>
      <c r="F220">
        <v>1195.5</v>
      </c>
      <c r="G220">
        <v>1095</v>
      </c>
      <c r="H220">
        <v>1195.5</v>
      </c>
      <c r="I220">
        <v>1098.5</v>
      </c>
    </row>
    <row r="221" spans="1:9" x14ac:dyDescent="0.2">
      <c r="A221" s="5" t="s">
        <v>317</v>
      </c>
      <c r="B221" s="14">
        <v>1199</v>
      </c>
      <c r="C221">
        <v>1104.5</v>
      </c>
      <c r="D221">
        <v>1199</v>
      </c>
      <c r="E221">
        <v>1101</v>
      </c>
      <c r="F221">
        <v>1195.5</v>
      </c>
      <c r="G221">
        <v>1101</v>
      </c>
      <c r="H221">
        <v>1195.5</v>
      </c>
      <c r="I221">
        <v>1104.5</v>
      </c>
    </row>
    <row r="222" spans="1:9" x14ac:dyDescent="0.2">
      <c r="A222" s="5" t="s">
        <v>318</v>
      </c>
      <c r="B222" s="14">
        <v>1199</v>
      </c>
      <c r="C222">
        <v>1108.5</v>
      </c>
      <c r="D222">
        <v>1199</v>
      </c>
      <c r="E222">
        <v>1105</v>
      </c>
      <c r="F222">
        <v>1195.5</v>
      </c>
      <c r="G222">
        <v>1105</v>
      </c>
      <c r="H222">
        <v>1195.5</v>
      </c>
      <c r="I222">
        <v>1108.5</v>
      </c>
    </row>
    <row r="223" spans="1:9" x14ac:dyDescent="0.2">
      <c r="A223" s="5" t="s">
        <v>319</v>
      </c>
      <c r="B223" s="14">
        <v>1199</v>
      </c>
      <c r="C223">
        <v>1112.5</v>
      </c>
      <c r="D223">
        <v>1199</v>
      </c>
      <c r="E223">
        <v>1109</v>
      </c>
      <c r="F223">
        <v>1195.5</v>
      </c>
      <c r="G223">
        <v>1109</v>
      </c>
      <c r="H223">
        <v>1195.5</v>
      </c>
      <c r="I223">
        <v>1112.5</v>
      </c>
    </row>
    <row r="224" spans="1:9" x14ac:dyDescent="0.2">
      <c r="A224" s="5" t="s">
        <v>320</v>
      </c>
      <c r="B224" s="14">
        <v>1199</v>
      </c>
      <c r="C224">
        <v>1116.5</v>
      </c>
      <c r="D224">
        <v>1199</v>
      </c>
      <c r="E224">
        <v>1113</v>
      </c>
      <c r="F224">
        <v>1195.5</v>
      </c>
      <c r="G224">
        <v>1113</v>
      </c>
      <c r="H224">
        <v>1195.5</v>
      </c>
      <c r="I224">
        <v>1116.5</v>
      </c>
    </row>
    <row r="225" spans="1:9" x14ac:dyDescent="0.2">
      <c r="A225" s="5" t="s">
        <v>321</v>
      </c>
      <c r="B225" s="14">
        <v>1199</v>
      </c>
      <c r="C225">
        <v>1120.5</v>
      </c>
      <c r="D225">
        <v>1199</v>
      </c>
      <c r="E225">
        <v>1117</v>
      </c>
      <c r="F225">
        <v>1195.5</v>
      </c>
      <c r="G225">
        <v>1117</v>
      </c>
      <c r="H225">
        <v>1195.5</v>
      </c>
      <c r="I225">
        <v>1120.5</v>
      </c>
    </row>
    <row r="226" spans="1:9" x14ac:dyDescent="0.2">
      <c r="A226" s="5" t="s">
        <v>322</v>
      </c>
      <c r="B226" s="14">
        <v>1199</v>
      </c>
      <c r="C226">
        <v>1151.5</v>
      </c>
      <c r="D226">
        <v>1199</v>
      </c>
      <c r="E226">
        <v>1148</v>
      </c>
      <c r="F226">
        <v>1195.5</v>
      </c>
      <c r="G226">
        <v>1148</v>
      </c>
      <c r="H226">
        <v>1195.5</v>
      </c>
      <c r="I226">
        <v>1151.5</v>
      </c>
    </row>
    <row r="227" spans="1:9" x14ac:dyDescent="0.2">
      <c r="A227" s="5" t="s">
        <v>323</v>
      </c>
      <c r="B227" s="14">
        <v>1199</v>
      </c>
      <c r="C227">
        <v>1155.5</v>
      </c>
      <c r="D227">
        <v>1199</v>
      </c>
      <c r="E227">
        <v>1152</v>
      </c>
      <c r="F227">
        <v>1195.5</v>
      </c>
      <c r="G227">
        <v>1152</v>
      </c>
      <c r="H227">
        <v>1195.5</v>
      </c>
      <c r="I227">
        <v>1155.5</v>
      </c>
    </row>
    <row r="228" spans="1:9" x14ac:dyDescent="0.2">
      <c r="A228" s="5" t="s">
        <v>324</v>
      </c>
      <c r="B228" s="14">
        <v>1199</v>
      </c>
      <c r="C228">
        <v>1159.5</v>
      </c>
      <c r="D228">
        <v>1199</v>
      </c>
      <c r="E228">
        <v>1156</v>
      </c>
      <c r="F228">
        <v>1195.5</v>
      </c>
      <c r="G228">
        <v>1156</v>
      </c>
      <c r="H228">
        <v>1195.5</v>
      </c>
      <c r="I228">
        <v>1159.5</v>
      </c>
    </row>
    <row r="229" spans="1:9" x14ac:dyDescent="0.2">
      <c r="A229" s="5" t="s">
        <v>325</v>
      </c>
      <c r="B229" s="14">
        <v>1199</v>
      </c>
      <c r="C229">
        <v>1163.5</v>
      </c>
      <c r="D229">
        <v>1199</v>
      </c>
      <c r="E229">
        <v>1160</v>
      </c>
      <c r="F229">
        <v>1195.5</v>
      </c>
      <c r="G229">
        <v>1160</v>
      </c>
      <c r="H229">
        <v>1195.5</v>
      </c>
      <c r="I229">
        <v>1163.5</v>
      </c>
    </row>
    <row r="230" spans="1:9" x14ac:dyDescent="0.2">
      <c r="A230" s="5" t="s">
        <v>326</v>
      </c>
      <c r="B230" s="14">
        <v>1199</v>
      </c>
      <c r="C230">
        <v>1167.5</v>
      </c>
      <c r="D230">
        <v>1199</v>
      </c>
      <c r="E230">
        <v>1164</v>
      </c>
      <c r="F230">
        <v>1195.5</v>
      </c>
      <c r="G230">
        <v>1164</v>
      </c>
      <c r="H230">
        <v>1195.5</v>
      </c>
      <c r="I230">
        <v>1167.5</v>
      </c>
    </row>
    <row r="231" spans="1:9" x14ac:dyDescent="0.2">
      <c r="A231" s="5" t="s">
        <v>327</v>
      </c>
      <c r="B231" s="14">
        <v>1199</v>
      </c>
      <c r="C231">
        <v>1173.5</v>
      </c>
      <c r="D231">
        <v>1199</v>
      </c>
      <c r="E231">
        <v>1170</v>
      </c>
      <c r="F231">
        <v>1195.5</v>
      </c>
      <c r="G231">
        <v>1170</v>
      </c>
      <c r="H231">
        <v>1195.5</v>
      </c>
      <c r="I231">
        <v>1173.5</v>
      </c>
    </row>
    <row r="232" spans="1:9" x14ac:dyDescent="0.2">
      <c r="A232" s="5" t="s">
        <v>328</v>
      </c>
      <c r="B232" s="14">
        <v>1199</v>
      </c>
      <c r="C232">
        <v>1177.5</v>
      </c>
      <c r="D232">
        <v>1199</v>
      </c>
      <c r="E232">
        <v>1174</v>
      </c>
      <c r="F232">
        <v>1195.5</v>
      </c>
      <c r="G232">
        <v>1174</v>
      </c>
      <c r="H232">
        <v>1195.5</v>
      </c>
      <c r="I232">
        <v>1177.5</v>
      </c>
    </row>
    <row r="233" spans="1:9" x14ac:dyDescent="0.2">
      <c r="A233" s="5" t="s">
        <v>329</v>
      </c>
      <c r="B233" s="14">
        <v>1199</v>
      </c>
      <c r="C233">
        <v>1181.5</v>
      </c>
      <c r="D233">
        <v>1199</v>
      </c>
      <c r="E233">
        <v>1178</v>
      </c>
      <c r="F233">
        <v>1195.5</v>
      </c>
      <c r="G233">
        <v>1178</v>
      </c>
      <c r="H233">
        <v>1195.5</v>
      </c>
      <c r="I233">
        <v>1181.5</v>
      </c>
    </row>
    <row r="234" spans="1:9" x14ac:dyDescent="0.2">
      <c r="A234" s="5" t="s">
        <v>330</v>
      </c>
      <c r="B234" s="14">
        <v>1199</v>
      </c>
      <c r="C234">
        <v>1185.5</v>
      </c>
      <c r="D234">
        <v>1199</v>
      </c>
      <c r="E234">
        <v>1182</v>
      </c>
      <c r="F234">
        <v>1195.5</v>
      </c>
      <c r="G234">
        <v>1182</v>
      </c>
      <c r="H234">
        <v>1195.5</v>
      </c>
      <c r="I234">
        <v>1185.5</v>
      </c>
    </row>
    <row r="235" spans="1:9" x14ac:dyDescent="0.2">
      <c r="A235" s="5" t="s">
        <v>331</v>
      </c>
      <c r="B235" s="14">
        <v>1199</v>
      </c>
      <c r="C235">
        <v>1189.5</v>
      </c>
      <c r="D235">
        <v>1199</v>
      </c>
      <c r="E235">
        <v>1186</v>
      </c>
      <c r="F235">
        <v>1195.5</v>
      </c>
      <c r="G235">
        <v>1186</v>
      </c>
      <c r="H235">
        <v>1195.5</v>
      </c>
      <c r="I235">
        <v>1189.5</v>
      </c>
    </row>
    <row r="236" spans="1:9" x14ac:dyDescent="0.2">
      <c r="A236" s="5" t="s">
        <v>332</v>
      </c>
      <c r="B236" s="14">
        <v>1199</v>
      </c>
      <c r="C236">
        <v>1195.5</v>
      </c>
      <c r="D236">
        <v>1199</v>
      </c>
      <c r="E236">
        <v>1192</v>
      </c>
      <c r="F236">
        <v>1195.5</v>
      </c>
      <c r="G236">
        <v>1192</v>
      </c>
      <c r="H236">
        <v>1195.5</v>
      </c>
      <c r="I236">
        <v>1195.5</v>
      </c>
    </row>
    <row r="237" spans="1:9" x14ac:dyDescent="0.2">
      <c r="A237" s="5" t="s">
        <v>333</v>
      </c>
      <c r="B237" s="14">
        <v>1199</v>
      </c>
      <c r="C237">
        <v>1199.5</v>
      </c>
      <c r="D237">
        <v>1199</v>
      </c>
      <c r="E237">
        <v>1196</v>
      </c>
      <c r="F237">
        <v>1195.5</v>
      </c>
      <c r="G237">
        <v>1196</v>
      </c>
      <c r="H237">
        <v>1195.5</v>
      </c>
      <c r="I237">
        <v>1199.5</v>
      </c>
    </row>
    <row r="238" spans="1:9" x14ac:dyDescent="0.2">
      <c r="A238" s="5" t="s">
        <v>334</v>
      </c>
      <c r="B238" s="14">
        <v>1199</v>
      </c>
      <c r="C238">
        <v>1203.5</v>
      </c>
      <c r="D238">
        <v>1199</v>
      </c>
      <c r="E238">
        <v>1200</v>
      </c>
      <c r="F238">
        <v>1195.5</v>
      </c>
      <c r="G238">
        <v>1200</v>
      </c>
      <c r="H238">
        <v>1195.5</v>
      </c>
      <c r="I238">
        <v>1203.5</v>
      </c>
    </row>
    <row r="239" spans="1:9" x14ac:dyDescent="0.2">
      <c r="A239" s="5" t="s">
        <v>335</v>
      </c>
      <c r="B239" s="14">
        <v>1199</v>
      </c>
      <c r="C239">
        <v>1207.5</v>
      </c>
      <c r="D239">
        <v>1199</v>
      </c>
      <c r="E239">
        <v>1204</v>
      </c>
      <c r="F239">
        <v>1195.5</v>
      </c>
      <c r="G239">
        <v>1204</v>
      </c>
      <c r="H239">
        <v>1195.5</v>
      </c>
      <c r="I239">
        <v>1207.5</v>
      </c>
    </row>
    <row r="240" spans="1:9" x14ac:dyDescent="0.2">
      <c r="A240" s="5" t="s">
        <v>336</v>
      </c>
      <c r="B240" s="14">
        <v>1199</v>
      </c>
      <c r="C240">
        <v>1211.5</v>
      </c>
      <c r="D240">
        <v>1199</v>
      </c>
      <c r="E240">
        <v>1208</v>
      </c>
      <c r="F240">
        <v>1195.5</v>
      </c>
      <c r="G240">
        <v>1208</v>
      </c>
      <c r="H240">
        <v>1195.5</v>
      </c>
      <c r="I240">
        <v>1211.5</v>
      </c>
    </row>
    <row r="241" spans="1:9" x14ac:dyDescent="0.2">
      <c r="A241" s="5" t="s">
        <v>337</v>
      </c>
      <c r="B241" s="14">
        <v>1194.5</v>
      </c>
      <c r="C241">
        <v>1016.5</v>
      </c>
      <c r="D241">
        <v>1194.5</v>
      </c>
      <c r="E241">
        <v>1013</v>
      </c>
      <c r="F241">
        <v>1191</v>
      </c>
      <c r="G241">
        <v>1013</v>
      </c>
      <c r="H241">
        <v>1191</v>
      </c>
      <c r="I241">
        <v>1016.5</v>
      </c>
    </row>
    <row r="242" spans="1:9" x14ac:dyDescent="0.2">
      <c r="A242" s="5" t="s">
        <v>338</v>
      </c>
      <c r="B242" s="14">
        <v>1194.5</v>
      </c>
      <c r="C242">
        <v>1020.5</v>
      </c>
      <c r="D242">
        <v>1194.5</v>
      </c>
      <c r="E242">
        <v>1017</v>
      </c>
      <c r="F242">
        <v>1191</v>
      </c>
      <c r="G242">
        <v>1017</v>
      </c>
      <c r="H242">
        <v>1191</v>
      </c>
      <c r="I242">
        <v>1020.5</v>
      </c>
    </row>
    <row r="243" spans="1:9" x14ac:dyDescent="0.2">
      <c r="A243" s="5" t="s">
        <v>339</v>
      </c>
      <c r="B243" s="14">
        <v>1194.5</v>
      </c>
      <c r="C243">
        <v>1024.5</v>
      </c>
      <c r="D243">
        <v>1194.5</v>
      </c>
      <c r="E243">
        <v>1021</v>
      </c>
      <c r="F243">
        <v>1191</v>
      </c>
      <c r="G243">
        <v>1021</v>
      </c>
      <c r="H243">
        <v>1191</v>
      </c>
      <c r="I243">
        <v>1024.5</v>
      </c>
    </row>
    <row r="244" spans="1:9" x14ac:dyDescent="0.2">
      <c r="A244" s="5" t="s">
        <v>340</v>
      </c>
      <c r="B244" s="14">
        <v>1194.5</v>
      </c>
      <c r="C244">
        <v>1028.5</v>
      </c>
      <c r="D244">
        <v>1194.5</v>
      </c>
      <c r="E244">
        <v>1025</v>
      </c>
      <c r="F244">
        <v>1191</v>
      </c>
      <c r="G244">
        <v>1025</v>
      </c>
      <c r="H244">
        <v>1191</v>
      </c>
      <c r="I244">
        <v>1028.5</v>
      </c>
    </row>
    <row r="245" spans="1:9" x14ac:dyDescent="0.2">
      <c r="A245" s="5" t="s">
        <v>341</v>
      </c>
      <c r="B245" s="14">
        <v>1194.5</v>
      </c>
      <c r="C245">
        <v>1032.5</v>
      </c>
      <c r="D245">
        <v>1194.5</v>
      </c>
      <c r="E245">
        <v>1029</v>
      </c>
      <c r="F245">
        <v>1191</v>
      </c>
      <c r="G245">
        <v>1029</v>
      </c>
      <c r="H245">
        <v>1191</v>
      </c>
      <c r="I245">
        <v>1032.5</v>
      </c>
    </row>
    <row r="246" spans="1:9" x14ac:dyDescent="0.2">
      <c r="A246" s="5" t="s">
        <v>342</v>
      </c>
      <c r="B246" s="14">
        <v>1194.5</v>
      </c>
      <c r="C246">
        <v>1038.5</v>
      </c>
      <c r="D246">
        <v>1194.5</v>
      </c>
      <c r="E246">
        <v>1035</v>
      </c>
      <c r="F246">
        <v>1191</v>
      </c>
      <c r="G246">
        <v>1035</v>
      </c>
      <c r="H246">
        <v>1191</v>
      </c>
      <c r="I246">
        <v>1038.5</v>
      </c>
    </row>
    <row r="247" spans="1:9" x14ac:dyDescent="0.2">
      <c r="A247" s="5" t="s">
        <v>343</v>
      </c>
      <c r="B247" s="14">
        <v>1194.5</v>
      </c>
      <c r="C247">
        <v>1042.5</v>
      </c>
      <c r="D247">
        <v>1194.5</v>
      </c>
      <c r="E247">
        <v>1039</v>
      </c>
      <c r="F247">
        <v>1191</v>
      </c>
      <c r="G247">
        <v>1039</v>
      </c>
      <c r="H247">
        <v>1191</v>
      </c>
      <c r="I247">
        <v>1042.5</v>
      </c>
    </row>
    <row r="248" spans="1:9" x14ac:dyDescent="0.2">
      <c r="A248" s="5" t="s">
        <v>344</v>
      </c>
      <c r="B248" s="14">
        <v>1194.5</v>
      </c>
      <c r="C248">
        <v>1046.5</v>
      </c>
      <c r="D248">
        <v>1194.5</v>
      </c>
      <c r="E248">
        <v>1043</v>
      </c>
      <c r="F248">
        <v>1191</v>
      </c>
      <c r="G248">
        <v>1043</v>
      </c>
      <c r="H248">
        <v>1191</v>
      </c>
      <c r="I248">
        <v>1046.5</v>
      </c>
    </row>
    <row r="249" spans="1:9" x14ac:dyDescent="0.2">
      <c r="A249" s="5" t="s">
        <v>345</v>
      </c>
      <c r="B249" s="14">
        <v>1194.5</v>
      </c>
      <c r="C249">
        <v>1050.5</v>
      </c>
      <c r="D249">
        <v>1194.5</v>
      </c>
      <c r="E249">
        <v>1047</v>
      </c>
      <c r="F249">
        <v>1191</v>
      </c>
      <c r="G249">
        <v>1047</v>
      </c>
      <c r="H249">
        <v>1191</v>
      </c>
      <c r="I249">
        <v>1050.5</v>
      </c>
    </row>
    <row r="250" spans="1:9" x14ac:dyDescent="0.2">
      <c r="A250" s="5" t="s">
        <v>346</v>
      </c>
      <c r="B250" s="14">
        <v>1194.5</v>
      </c>
      <c r="C250">
        <v>1054.5</v>
      </c>
      <c r="D250">
        <v>1194.5</v>
      </c>
      <c r="E250">
        <v>1051</v>
      </c>
      <c r="F250">
        <v>1191</v>
      </c>
      <c r="G250">
        <v>1051</v>
      </c>
      <c r="H250">
        <v>1191</v>
      </c>
      <c r="I250">
        <v>1054.5</v>
      </c>
    </row>
    <row r="251" spans="1:9" x14ac:dyDescent="0.2">
      <c r="A251" s="5" t="s">
        <v>347</v>
      </c>
      <c r="B251" s="14">
        <v>1194.5</v>
      </c>
      <c r="C251">
        <v>1082.5</v>
      </c>
      <c r="D251">
        <v>1194.5</v>
      </c>
      <c r="E251">
        <v>1079</v>
      </c>
      <c r="F251">
        <v>1191</v>
      </c>
      <c r="G251">
        <v>1079</v>
      </c>
      <c r="H251">
        <v>1191</v>
      </c>
      <c r="I251">
        <v>1082.5</v>
      </c>
    </row>
    <row r="252" spans="1:9" x14ac:dyDescent="0.2">
      <c r="A252" s="5" t="s">
        <v>348</v>
      </c>
      <c r="B252" s="14">
        <v>1194.5</v>
      </c>
      <c r="C252">
        <v>1086.5</v>
      </c>
      <c r="D252">
        <v>1194.5</v>
      </c>
      <c r="E252">
        <v>1083</v>
      </c>
      <c r="F252">
        <v>1191</v>
      </c>
      <c r="G252">
        <v>1083</v>
      </c>
      <c r="H252">
        <v>1191</v>
      </c>
      <c r="I252">
        <v>1086.5</v>
      </c>
    </row>
    <row r="253" spans="1:9" x14ac:dyDescent="0.2">
      <c r="A253" s="5" t="s">
        <v>349</v>
      </c>
      <c r="B253" s="14">
        <v>1194.5</v>
      </c>
      <c r="C253">
        <v>1090.5</v>
      </c>
      <c r="D253">
        <v>1194.5</v>
      </c>
      <c r="E253">
        <v>1087</v>
      </c>
      <c r="F253">
        <v>1191</v>
      </c>
      <c r="G253">
        <v>1087</v>
      </c>
      <c r="H253">
        <v>1191</v>
      </c>
      <c r="I253">
        <v>1090.5</v>
      </c>
    </row>
    <row r="254" spans="1:9" x14ac:dyDescent="0.2">
      <c r="A254" s="5" t="s">
        <v>350</v>
      </c>
      <c r="B254" s="14">
        <v>1194.5</v>
      </c>
      <c r="C254">
        <v>1094.5</v>
      </c>
      <c r="D254">
        <v>1194.5</v>
      </c>
      <c r="E254">
        <v>1091</v>
      </c>
      <c r="F254">
        <v>1191</v>
      </c>
      <c r="G254">
        <v>1091</v>
      </c>
      <c r="H254">
        <v>1191</v>
      </c>
      <c r="I254">
        <v>1094.5</v>
      </c>
    </row>
    <row r="255" spans="1:9" x14ac:dyDescent="0.2">
      <c r="A255" s="5" t="s">
        <v>351</v>
      </c>
      <c r="B255" s="14">
        <v>1194.5</v>
      </c>
      <c r="C255">
        <v>1098.5</v>
      </c>
      <c r="D255">
        <v>1194.5</v>
      </c>
      <c r="E255">
        <v>1095</v>
      </c>
      <c r="F255">
        <v>1191</v>
      </c>
      <c r="G255">
        <v>1095</v>
      </c>
      <c r="H255">
        <v>1191</v>
      </c>
      <c r="I255">
        <v>1098.5</v>
      </c>
    </row>
    <row r="256" spans="1:9" x14ac:dyDescent="0.2">
      <c r="A256" s="5" t="s">
        <v>352</v>
      </c>
      <c r="B256" s="14">
        <v>1194.5</v>
      </c>
      <c r="C256">
        <v>1104.5</v>
      </c>
      <c r="D256">
        <v>1194.5</v>
      </c>
      <c r="E256">
        <v>1101</v>
      </c>
      <c r="F256">
        <v>1191</v>
      </c>
      <c r="G256">
        <v>1101</v>
      </c>
      <c r="H256">
        <v>1191</v>
      </c>
      <c r="I256">
        <v>1104.5</v>
      </c>
    </row>
    <row r="257" spans="1:9" x14ac:dyDescent="0.2">
      <c r="A257" s="5" t="s">
        <v>353</v>
      </c>
      <c r="B257" s="14">
        <v>1194.5</v>
      </c>
      <c r="C257">
        <v>1108.5</v>
      </c>
      <c r="D257">
        <v>1194.5</v>
      </c>
      <c r="E257">
        <v>1105</v>
      </c>
      <c r="F257">
        <v>1191</v>
      </c>
      <c r="G257">
        <v>1105</v>
      </c>
      <c r="H257">
        <v>1191</v>
      </c>
      <c r="I257">
        <v>1108.5</v>
      </c>
    </row>
    <row r="258" spans="1:9" x14ac:dyDescent="0.2">
      <c r="A258" s="5" t="s">
        <v>354</v>
      </c>
      <c r="B258" s="14">
        <v>1194.5</v>
      </c>
      <c r="C258">
        <v>1112.5</v>
      </c>
      <c r="D258">
        <v>1194.5</v>
      </c>
      <c r="E258">
        <v>1109</v>
      </c>
      <c r="F258">
        <v>1191</v>
      </c>
      <c r="G258">
        <v>1109</v>
      </c>
      <c r="H258">
        <v>1191</v>
      </c>
      <c r="I258">
        <v>1112.5</v>
      </c>
    </row>
    <row r="259" spans="1:9" x14ac:dyDescent="0.2">
      <c r="A259" s="5" t="s">
        <v>355</v>
      </c>
      <c r="B259" s="14">
        <v>1194.5</v>
      </c>
      <c r="C259">
        <v>1116.5</v>
      </c>
      <c r="D259">
        <v>1194.5</v>
      </c>
      <c r="E259">
        <v>1113</v>
      </c>
      <c r="F259">
        <v>1191</v>
      </c>
      <c r="G259">
        <v>1113</v>
      </c>
      <c r="H259">
        <v>1191</v>
      </c>
      <c r="I259">
        <v>1116.5</v>
      </c>
    </row>
    <row r="260" spans="1:9" x14ac:dyDescent="0.2">
      <c r="A260" s="5" t="s">
        <v>356</v>
      </c>
      <c r="B260" s="14">
        <v>1194.5</v>
      </c>
      <c r="C260">
        <v>1120.5</v>
      </c>
      <c r="D260">
        <v>1194.5</v>
      </c>
      <c r="E260">
        <v>1117</v>
      </c>
      <c r="F260">
        <v>1191</v>
      </c>
      <c r="G260">
        <v>1117</v>
      </c>
      <c r="H260">
        <v>1191</v>
      </c>
      <c r="I260">
        <v>1120.5</v>
      </c>
    </row>
    <row r="261" spans="1:9" x14ac:dyDescent="0.2">
      <c r="A261" s="5" t="s">
        <v>357</v>
      </c>
      <c r="B261" s="14">
        <v>1194.5</v>
      </c>
      <c r="C261">
        <v>1151.5</v>
      </c>
      <c r="D261">
        <v>1194.5</v>
      </c>
      <c r="E261">
        <v>1148</v>
      </c>
      <c r="F261">
        <v>1191</v>
      </c>
      <c r="G261">
        <v>1148</v>
      </c>
      <c r="H261">
        <v>1191</v>
      </c>
      <c r="I261">
        <v>1151.5</v>
      </c>
    </row>
    <row r="262" spans="1:9" x14ac:dyDescent="0.2">
      <c r="A262" s="5" t="s">
        <v>358</v>
      </c>
      <c r="B262" s="14">
        <v>1194.5</v>
      </c>
      <c r="C262">
        <v>1155.5</v>
      </c>
      <c r="D262">
        <v>1194.5</v>
      </c>
      <c r="E262">
        <v>1152</v>
      </c>
      <c r="F262">
        <v>1191</v>
      </c>
      <c r="G262">
        <v>1152</v>
      </c>
      <c r="H262">
        <v>1191</v>
      </c>
      <c r="I262">
        <v>1155.5</v>
      </c>
    </row>
    <row r="263" spans="1:9" x14ac:dyDescent="0.2">
      <c r="A263" s="5" t="s">
        <v>359</v>
      </c>
      <c r="B263" s="14">
        <v>1194.5</v>
      </c>
      <c r="C263">
        <v>1159.5</v>
      </c>
      <c r="D263">
        <v>1194.5</v>
      </c>
      <c r="E263">
        <v>1156</v>
      </c>
      <c r="F263">
        <v>1191</v>
      </c>
      <c r="G263">
        <v>1156</v>
      </c>
      <c r="H263">
        <v>1191</v>
      </c>
      <c r="I263">
        <v>1159.5</v>
      </c>
    </row>
    <row r="264" spans="1:9" x14ac:dyDescent="0.2">
      <c r="A264" s="5" t="s">
        <v>360</v>
      </c>
      <c r="B264" s="14">
        <v>1194.5</v>
      </c>
      <c r="C264">
        <v>1163.5</v>
      </c>
      <c r="D264">
        <v>1194.5</v>
      </c>
      <c r="E264">
        <v>1160</v>
      </c>
      <c r="F264">
        <v>1191</v>
      </c>
      <c r="G264">
        <v>1160</v>
      </c>
      <c r="H264">
        <v>1191</v>
      </c>
      <c r="I264">
        <v>1163.5</v>
      </c>
    </row>
    <row r="265" spans="1:9" x14ac:dyDescent="0.2">
      <c r="A265" s="5" t="s">
        <v>361</v>
      </c>
      <c r="B265" s="14">
        <v>1194.5</v>
      </c>
      <c r="C265">
        <v>1167.5</v>
      </c>
      <c r="D265">
        <v>1194.5</v>
      </c>
      <c r="E265">
        <v>1164</v>
      </c>
      <c r="F265">
        <v>1191</v>
      </c>
      <c r="G265">
        <v>1164</v>
      </c>
      <c r="H265">
        <v>1191</v>
      </c>
      <c r="I265">
        <v>1167.5</v>
      </c>
    </row>
    <row r="266" spans="1:9" x14ac:dyDescent="0.2">
      <c r="A266" s="5" t="s">
        <v>362</v>
      </c>
      <c r="B266" s="14">
        <v>1194.5</v>
      </c>
      <c r="C266">
        <v>1173.5</v>
      </c>
      <c r="D266">
        <v>1194.5</v>
      </c>
      <c r="E266">
        <v>1170</v>
      </c>
      <c r="F266">
        <v>1191</v>
      </c>
      <c r="G266">
        <v>1170</v>
      </c>
      <c r="H266">
        <v>1191</v>
      </c>
      <c r="I266">
        <v>1173.5</v>
      </c>
    </row>
    <row r="267" spans="1:9" x14ac:dyDescent="0.2">
      <c r="A267" s="5" t="s">
        <v>363</v>
      </c>
      <c r="B267" s="14">
        <v>1194.5</v>
      </c>
      <c r="C267">
        <v>1177.5</v>
      </c>
      <c r="D267">
        <v>1194.5</v>
      </c>
      <c r="E267">
        <v>1174</v>
      </c>
      <c r="F267">
        <v>1191</v>
      </c>
      <c r="G267">
        <v>1174</v>
      </c>
      <c r="H267">
        <v>1191</v>
      </c>
      <c r="I267">
        <v>1177.5</v>
      </c>
    </row>
    <row r="268" spans="1:9" x14ac:dyDescent="0.2">
      <c r="A268" s="5" t="s">
        <v>364</v>
      </c>
      <c r="B268" s="14">
        <v>1194.5</v>
      </c>
      <c r="C268">
        <v>1181.5</v>
      </c>
      <c r="D268">
        <v>1194.5</v>
      </c>
      <c r="E268">
        <v>1178</v>
      </c>
      <c r="F268">
        <v>1191</v>
      </c>
      <c r="G268">
        <v>1178</v>
      </c>
      <c r="H268">
        <v>1191</v>
      </c>
      <c r="I268">
        <v>1181.5</v>
      </c>
    </row>
    <row r="269" spans="1:9" x14ac:dyDescent="0.2">
      <c r="A269" s="5" t="s">
        <v>365</v>
      </c>
      <c r="B269" s="14">
        <v>1194.5</v>
      </c>
      <c r="C269">
        <v>1185.5</v>
      </c>
      <c r="D269">
        <v>1194.5</v>
      </c>
      <c r="E269">
        <v>1182</v>
      </c>
      <c r="F269">
        <v>1191</v>
      </c>
      <c r="G269">
        <v>1182</v>
      </c>
      <c r="H269">
        <v>1191</v>
      </c>
      <c r="I269">
        <v>1185.5</v>
      </c>
    </row>
    <row r="270" spans="1:9" x14ac:dyDescent="0.2">
      <c r="A270" s="5" t="s">
        <v>366</v>
      </c>
      <c r="B270" s="14">
        <v>1194.5</v>
      </c>
      <c r="C270">
        <v>1189.5</v>
      </c>
      <c r="D270">
        <v>1194.5</v>
      </c>
      <c r="E270">
        <v>1186</v>
      </c>
      <c r="F270">
        <v>1191</v>
      </c>
      <c r="G270">
        <v>1186</v>
      </c>
      <c r="H270">
        <v>1191</v>
      </c>
      <c r="I270">
        <v>1189.5</v>
      </c>
    </row>
    <row r="271" spans="1:9" x14ac:dyDescent="0.2">
      <c r="A271" s="5" t="s">
        <v>367</v>
      </c>
      <c r="B271" s="14">
        <v>1194.5</v>
      </c>
      <c r="C271">
        <v>1195.5</v>
      </c>
      <c r="D271">
        <v>1194.5</v>
      </c>
      <c r="E271">
        <v>1192</v>
      </c>
      <c r="F271">
        <v>1191</v>
      </c>
      <c r="G271">
        <v>1192</v>
      </c>
      <c r="H271">
        <v>1191</v>
      </c>
      <c r="I271">
        <v>1195.5</v>
      </c>
    </row>
    <row r="272" spans="1:9" x14ac:dyDescent="0.2">
      <c r="A272" s="5" t="s">
        <v>368</v>
      </c>
      <c r="B272" s="14">
        <v>1194.5</v>
      </c>
      <c r="C272">
        <v>1199.5</v>
      </c>
      <c r="D272">
        <v>1194.5</v>
      </c>
      <c r="E272">
        <v>1196</v>
      </c>
      <c r="F272">
        <v>1191</v>
      </c>
      <c r="G272">
        <v>1196</v>
      </c>
      <c r="H272">
        <v>1191</v>
      </c>
      <c r="I272">
        <v>1199.5</v>
      </c>
    </row>
    <row r="273" spans="1:9" x14ac:dyDescent="0.2">
      <c r="A273" s="5" t="s">
        <v>369</v>
      </c>
      <c r="B273" s="14">
        <v>1194.5</v>
      </c>
      <c r="C273">
        <v>1203.5</v>
      </c>
      <c r="D273">
        <v>1194.5</v>
      </c>
      <c r="E273">
        <v>1200</v>
      </c>
      <c r="F273">
        <v>1191</v>
      </c>
      <c r="G273">
        <v>1200</v>
      </c>
      <c r="H273">
        <v>1191</v>
      </c>
      <c r="I273">
        <v>1203.5</v>
      </c>
    </row>
    <row r="274" spans="1:9" x14ac:dyDescent="0.2">
      <c r="A274" s="5" t="s">
        <v>370</v>
      </c>
      <c r="B274" s="14">
        <v>1194.5</v>
      </c>
      <c r="C274">
        <v>1207.5</v>
      </c>
      <c r="D274">
        <v>1194.5</v>
      </c>
      <c r="E274">
        <v>1204</v>
      </c>
      <c r="F274">
        <v>1191</v>
      </c>
      <c r="G274">
        <v>1204</v>
      </c>
      <c r="H274">
        <v>1191</v>
      </c>
      <c r="I274">
        <v>1207.5</v>
      </c>
    </row>
    <row r="275" spans="1:9" x14ac:dyDescent="0.2">
      <c r="A275" s="5" t="s">
        <v>371</v>
      </c>
      <c r="B275" s="14">
        <v>1194.5</v>
      </c>
      <c r="C275">
        <v>1211.5</v>
      </c>
      <c r="D275">
        <v>1194.5</v>
      </c>
      <c r="E275">
        <v>1208</v>
      </c>
      <c r="F275">
        <v>1191</v>
      </c>
      <c r="G275">
        <v>1208</v>
      </c>
      <c r="H275">
        <v>1191</v>
      </c>
      <c r="I275">
        <v>1211.5</v>
      </c>
    </row>
    <row r="276" spans="1:9" x14ac:dyDescent="0.2">
      <c r="A276" s="5" t="s">
        <v>372</v>
      </c>
      <c r="B276" s="14">
        <v>1189</v>
      </c>
      <c r="C276">
        <v>1016.5</v>
      </c>
      <c r="D276">
        <v>1189</v>
      </c>
      <c r="E276">
        <v>1013</v>
      </c>
      <c r="F276">
        <v>1185.5</v>
      </c>
      <c r="G276">
        <v>1013</v>
      </c>
      <c r="H276">
        <v>1185.5</v>
      </c>
      <c r="I276">
        <v>1016.5</v>
      </c>
    </row>
    <row r="277" spans="1:9" x14ac:dyDescent="0.2">
      <c r="A277" s="5" t="s">
        <v>373</v>
      </c>
      <c r="B277" s="14">
        <v>1189</v>
      </c>
      <c r="C277">
        <v>1020.5</v>
      </c>
      <c r="D277">
        <v>1189</v>
      </c>
      <c r="E277">
        <v>1017</v>
      </c>
      <c r="F277">
        <v>1185.5</v>
      </c>
      <c r="G277">
        <v>1017</v>
      </c>
      <c r="H277">
        <v>1185.5</v>
      </c>
      <c r="I277">
        <v>1020.5</v>
      </c>
    </row>
    <row r="278" spans="1:9" x14ac:dyDescent="0.2">
      <c r="A278" s="5" t="s">
        <v>374</v>
      </c>
      <c r="B278" s="14">
        <v>1189</v>
      </c>
      <c r="C278">
        <v>1024.5</v>
      </c>
      <c r="D278">
        <v>1189</v>
      </c>
      <c r="E278">
        <v>1021</v>
      </c>
      <c r="F278">
        <v>1185.5</v>
      </c>
      <c r="G278">
        <v>1021</v>
      </c>
      <c r="H278">
        <v>1185.5</v>
      </c>
      <c r="I278">
        <v>1024.5</v>
      </c>
    </row>
    <row r="279" spans="1:9" x14ac:dyDescent="0.2">
      <c r="A279" s="5" t="s">
        <v>375</v>
      </c>
      <c r="B279" s="14">
        <v>1189</v>
      </c>
      <c r="C279">
        <v>1028.5</v>
      </c>
      <c r="D279">
        <v>1189</v>
      </c>
      <c r="E279">
        <v>1025</v>
      </c>
      <c r="F279">
        <v>1185.5</v>
      </c>
      <c r="G279">
        <v>1025</v>
      </c>
      <c r="H279">
        <v>1185.5</v>
      </c>
      <c r="I279">
        <v>1028.5</v>
      </c>
    </row>
    <row r="280" spans="1:9" x14ac:dyDescent="0.2">
      <c r="A280" s="5" t="s">
        <v>376</v>
      </c>
      <c r="B280" s="14">
        <v>1189</v>
      </c>
      <c r="C280">
        <v>1032.5</v>
      </c>
      <c r="D280">
        <v>1189</v>
      </c>
      <c r="E280">
        <v>1029</v>
      </c>
      <c r="F280">
        <v>1185.5</v>
      </c>
      <c r="G280">
        <v>1029</v>
      </c>
      <c r="H280">
        <v>1185.5</v>
      </c>
      <c r="I280">
        <v>1032.5</v>
      </c>
    </row>
    <row r="281" spans="1:9" x14ac:dyDescent="0.2">
      <c r="A281" s="5" t="s">
        <v>377</v>
      </c>
      <c r="B281" s="14">
        <v>1189</v>
      </c>
      <c r="C281">
        <v>1038.5</v>
      </c>
      <c r="D281">
        <v>1189</v>
      </c>
      <c r="E281">
        <v>1035</v>
      </c>
      <c r="F281">
        <v>1185.5</v>
      </c>
      <c r="G281">
        <v>1035</v>
      </c>
      <c r="H281">
        <v>1185.5</v>
      </c>
      <c r="I281">
        <v>1038.5</v>
      </c>
    </row>
    <row r="282" spans="1:9" x14ac:dyDescent="0.2">
      <c r="A282" s="5" t="s">
        <v>378</v>
      </c>
      <c r="B282" s="14">
        <v>1189</v>
      </c>
      <c r="C282">
        <v>1042.5</v>
      </c>
      <c r="D282">
        <v>1189</v>
      </c>
      <c r="E282">
        <v>1039</v>
      </c>
      <c r="F282">
        <v>1185.5</v>
      </c>
      <c r="G282">
        <v>1039</v>
      </c>
      <c r="H282">
        <v>1185.5</v>
      </c>
      <c r="I282">
        <v>1042.5</v>
      </c>
    </row>
    <row r="283" spans="1:9" x14ac:dyDescent="0.2">
      <c r="A283" s="5" t="s">
        <v>379</v>
      </c>
      <c r="B283" s="14">
        <v>1189</v>
      </c>
      <c r="C283">
        <v>1046.5</v>
      </c>
      <c r="D283">
        <v>1189</v>
      </c>
      <c r="E283">
        <v>1043</v>
      </c>
      <c r="F283">
        <v>1185.5</v>
      </c>
      <c r="G283">
        <v>1043</v>
      </c>
      <c r="H283">
        <v>1185.5</v>
      </c>
      <c r="I283">
        <v>1046.5</v>
      </c>
    </row>
    <row r="284" spans="1:9" x14ac:dyDescent="0.2">
      <c r="A284" s="5" t="s">
        <v>380</v>
      </c>
      <c r="B284" s="14">
        <v>1189</v>
      </c>
      <c r="C284">
        <v>1050.5</v>
      </c>
      <c r="D284">
        <v>1189</v>
      </c>
      <c r="E284">
        <v>1047</v>
      </c>
      <c r="F284">
        <v>1185.5</v>
      </c>
      <c r="G284">
        <v>1047</v>
      </c>
      <c r="H284">
        <v>1185.5</v>
      </c>
      <c r="I284">
        <v>1050.5</v>
      </c>
    </row>
    <row r="285" spans="1:9" x14ac:dyDescent="0.2">
      <c r="A285" s="5" t="s">
        <v>381</v>
      </c>
      <c r="B285" s="14">
        <v>1189</v>
      </c>
      <c r="C285">
        <v>1054.5</v>
      </c>
      <c r="D285">
        <v>1189</v>
      </c>
      <c r="E285">
        <v>1051</v>
      </c>
      <c r="F285">
        <v>1185.5</v>
      </c>
      <c r="G285">
        <v>1051</v>
      </c>
      <c r="H285">
        <v>1185.5</v>
      </c>
      <c r="I285">
        <v>1054.5</v>
      </c>
    </row>
    <row r="286" spans="1:9" x14ac:dyDescent="0.2">
      <c r="A286" s="5" t="s">
        <v>382</v>
      </c>
      <c r="B286" s="14">
        <v>1189</v>
      </c>
      <c r="C286">
        <v>1082.5</v>
      </c>
      <c r="D286">
        <v>1189</v>
      </c>
      <c r="E286">
        <v>1079</v>
      </c>
      <c r="F286">
        <v>1185.5</v>
      </c>
      <c r="G286">
        <v>1079</v>
      </c>
      <c r="H286">
        <v>1185.5</v>
      </c>
      <c r="I286">
        <v>1082.5</v>
      </c>
    </row>
    <row r="287" spans="1:9" x14ac:dyDescent="0.2">
      <c r="A287" s="5" t="s">
        <v>383</v>
      </c>
      <c r="B287" s="14">
        <v>1189</v>
      </c>
      <c r="C287">
        <v>1086.5</v>
      </c>
      <c r="D287">
        <v>1189</v>
      </c>
      <c r="E287">
        <v>1083</v>
      </c>
      <c r="F287">
        <v>1185.5</v>
      </c>
      <c r="G287">
        <v>1083</v>
      </c>
      <c r="H287">
        <v>1185.5</v>
      </c>
      <c r="I287">
        <v>1086.5</v>
      </c>
    </row>
    <row r="288" spans="1:9" x14ac:dyDescent="0.2">
      <c r="A288" s="5" t="s">
        <v>384</v>
      </c>
      <c r="B288" s="14">
        <v>1189</v>
      </c>
      <c r="C288">
        <v>1090.5</v>
      </c>
      <c r="D288">
        <v>1189</v>
      </c>
      <c r="E288">
        <v>1087</v>
      </c>
      <c r="F288">
        <v>1185.5</v>
      </c>
      <c r="G288">
        <v>1087</v>
      </c>
      <c r="H288">
        <v>1185.5</v>
      </c>
      <c r="I288">
        <v>1090.5</v>
      </c>
    </row>
    <row r="289" spans="1:9" x14ac:dyDescent="0.2">
      <c r="A289" s="5" t="s">
        <v>385</v>
      </c>
      <c r="B289" s="14">
        <v>1189</v>
      </c>
      <c r="C289">
        <v>1094.5</v>
      </c>
      <c r="D289">
        <v>1189</v>
      </c>
      <c r="E289">
        <v>1091</v>
      </c>
      <c r="F289">
        <v>1185.5</v>
      </c>
      <c r="G289">
        <v>1091</v>
      </c>
      <c r="H289">
        <v>1185.5</v>
      </c>
      <c r="I289">
        <v>1094.5</v>
      </c>
    </row>
    <row r="290" spans="1:9" x14ac:dyDescent="0.2">
      <c r="A290" s="5" t="s">
        <v>386</v>
      </c>
      <c r="B290" s="14">
        <v>1189</v>
      </c>
      <c r="C290">
        <v>1098.5</v>
      </c>
      <c r="D290">
        <v>1189</v>
      </c>
      <c r="E290">
        <v>1095</v>
      </c>
      <c r="F290">
        <v>1185.5</v>
      </c>
      <c r="G290">
        <v>1095</v>
      </c>
      <c r="H290">
        <v>1185.5</v>
      </c>
      <c r="I290">
        <v>1098.5</v>
      </c>
    </row>
    <row r="291" spans="1:9" x14ac:dyDescent="0.2">
      <c r="A291" s="5" t="s">
        <v>387</v>
      </c>
      <c r="B291" s="14">
        <v>1189</v>
      </c>
      <c r="C291">
        <v>1104.5</v>
      </c>
      <c r="D291">
        <v>1189</v>
      </c>
      <c r="E291">
        <v>1101</v>
      </c>
      <c r="F291">
        <v>1185.5</v>
      </c>
      <c r="G291">
        <v>1101</v>
      </c>
      <c r="H291">
        <v>1185.5</v>
      </c>
      <c r="I291">
        <v>1104.5</v>
      </c>
    </row>
    <row r="292" spans="1:9" x14ac:dyDescent="0.2">
      <c r="A292" s="5" t="s">
        <v>388</v>
      </c>
      <c r="B292" s="14">
        <v>1189</v>
      </c>
      <c r="C292">
        <v>1108.5</v>
      </c>
      <c r="D292">
        <v>1189</v>
      </c>
      <c r="E292">
        <v>1105</v>
      </c>
      <c r="F292">
        <v>1185.5</v>
      </c>
      <c r="G292">
        <v>1105</v>
      </c>
      <c r="H292">
        <v>1185.5</v>
      </c>
      <c r="I292">
        <v>1108.5</v>
      </c>
    </row>
    <row r="293" spans="1:9" x14ac:dyDescent="0.2">
      <c r="A293" s="5" t="s">
        <v>389</v>
      </c>
      <c r="B293" s="14">
        <v>1189</v>
      </c>
      <c r="C293">
        <v>1112.5</v>
      </c>
      <c r="D293">
        <v>1189</v>
      </c>
      <c r="E293">
        <v>1109</v>
      </c>
      <c r="F293">
        <v>1185.5</v>
      </c>
      <c r="G293">
        <v>1109</v>
      </c>
      <c r="H293">
        <v>1185.5</v>
      </c>
      <c r="I293">
        <v>1112.5</v>
      </c>
    </row>
    <row r="294" spans="1:9" x14ac:dyDescent="0.2">
      <c r="A294" s="5" t="s">
        <v>390</v>
      </c>
      <c r="B294" s="14">
        <v>1189</v>
      </c>
      <c r="C294">
        <v>1116.5</v>
      </c>
      <c r="D294">
        <v>1189</v>
      </c>
      <c r="E294">
        <v>1113</v>
      </c>
      <c r="F294">
        <v>1185.5</v>
      </c>
      <c r="G294">
        <v>1113</v>
      </c>
      <c r="H294">
        <v>1185.5</v>
      </c>
      <c r="I294">
        <v>1116.5</v>
      </c>
    </row>
    <row r="295" spans="1:9" x14ac:dyDescent="0.2">
      <c r="A295" s="5" t="s">
        <v>391</v>
      </c>
      <c r="B295" s="14">
        <v>1189</v>
      </c>
      <c r="C295">
        <v>1120.5</v>
      </c>
      <c r="D295">
        <v>1189</v>
      </c>
      <c r="E295">
        <v>1117</v>
      </c>
      <c r="F295">
        <v>1185.5</v>
      </c>
      <c r="G295">
        <v>1117</v>
      </c>
      <c r="H295">
        <v>1185.5</v>
      </c>
      <c r="I295">
        <v>1120.5</v>
      </c>
    </row>
    <row r="296" spans="1:9" x14ac:dyDescent="0.2">
      <c r="A296" s="5" t="s">
        <v>392</v>
      </c>
      <c r="B296" s="14">
        <v>1189</v>
      </c>
      <c r="C296">
        <v>1151.5</v>
      </c>
      <c r="D296">
        <v>1189</v>
      </c>
      <c r="E296">
        <v>1148</v>
      </c>
      <c r="F296">
        <v>1185.5</v>
      </c>
      <c r="G296">
        <v>1148</v>
      </c>
      <c r="H296">
        <v>1185.5</v>
      </c>
      <c r="I296">
        <v>1151.5</v>
      </c>
    </row>
    <row r="297" spans="1:9" x14ac:dyDescent="0.2">
      <c r="A297" s="5" t="s">
        <v>393</v>
      </c>
      <c r="B297" s="14">
        <v>1189</v>
      </c>
      <c r="C297">
        <v>1155.5</v>
      </c>
      <c r="D297">
        <v>1189</v>
      </c>
      <c r="E297">
        <v>1152</v>
      </c>
      <c r="F297">
        <v>1185.5</v>
      </c>
      <c r="G297">
        <v>1152</v>
      </c>
      <c r="H297">
        <v>1185.5</v>
      </c>
      <c r="I297">
        <v>1155.5</v>
      </c>
    </row>
    <row r="298" spans="1:9" x14ac:dyDescent="0.2">
      <c r="A298" s="5" t="s">
        <v>394</v>
      </c>
      <c r="B298" s="14">
        <v>1189</v>
      </c>
      <c r="C298">
        <v>1159.5</v>
      </c>
      <c r="D298">
        <v>1189</v>
      </c>
      <c r="E298">
        <v>1156</v>
      </c>
      <c r="F298">
        <v>1185.5</v>
      </c>
      <c r="G298">
        <v>1156</v>
      </c>
      <c r="H298">
        <v>1185.5</v>
      </c>
      <c r="I298">
        <v>1159.5</v>
      </c>
    </row>
    <row r="299" spans="1:9" x14ac:dyDescent="0.2">
      <c r="A299" s="5" t="s">
        <v>395</v>
      </c>
      <c r="B299" s="14">
        <v>1189</v>
      </c>
      <c r="C299">
        <v>1163.5</v>
      </c>
      <c r="D299">
        <v>1189</v>
      </c>
      <c r="E299">
        <v>1160</v>
      </c>
      <c r="F299">
        <v>1185.5</v>
      </c>
      <c r="G299">
        <v>1160</v>
      </c>
      <c r="H299">
        <v>1185.5</v>
      </c>
      <c r="I299">
        <v>1163.5</v>
      </c>
    </row>
    <row r="300" spans="1:9" x14ac:dyDescent="0.2">
      <c r="A300" s="5" t="s">
        <v>396</v>
      </c>
      <c r="B300" s="14">
        <v>1189</v>
      </c>
      <c r="C300">
        <v>1167.5</v>
      </c>
      <c r="D300">
        <v>1189</v>
      </c>
      <c r="E300">
        <v>1164</v>
      </c>
      <c r="F300">
        <v>1185.5</v>
      </c>
      <c r="G300">
        <v>1164</v>
      </c>
      <c r="H300">
        <v>1185.5</v>
      </c>
      <c r="I300">
        <v>1167.5</v>
      </c>
    </row>
    <row r="301" spans="1:9" x14ac:dyDescent="0.2">
      <c r="A301" s="5" t="s">
        <v>397</v>
      </c>
      <c r="B301" s="14">
        <v>1189</v>
      </c>
      <c r="C301">
        <v>1173.5</v>
      </c>
      <c r="D301">
        <v>1189</v>
      </c>
      <c r="E301">
        <v>1170</v>
      </c>
      <c r="F301">
        <v>1185.5</v>
      </c>
      <c r="G301">
        <v>1170</v>
      </c>
      <c r="H301">
        <v>1185.5</v>
      </c>
      <c r="I301">
        <v>1173.5</v>
      </c>
    </row>
    <row r="302" spans="1:9" x14ac:dyDescent="0.2">
      <c r="A302" s="5" t="s">
        <v>398</v>
      </c>
      <c r="B302" s="14">
        <v>1189</v>
      </c>
      <c r="C302">
        <v>1177.5</v>
      </c>
      <c r="D302">
        <v>1189</v>
      </c>
      <c r="E302">
        <v>1174</v>
      </c>
      <c r="F302">
        <v>1185.5</v>
      </c>
      <c r="G302">
        <v>1174</v>
      </c>
      <c r="H302">
        <v>1185.5</v>
      </c>
      <c r="I302">
        <v>1177.5</v>
      </c>
    </row>
    <row r="303" spans="1:9" x14ac:dyDescent="0.2">
      <c r="A303" s="5" t="s">
        <v>399</v>
      </c>
      <c r="B303" s="14">
        <v>1189</v>
      </c>
      <c r="C303">
        <v>1181.5</v>
      </c>
      <c r="D303">
        <v>1189</v>
      </c>
      <c r="E303">
        <v>1178</v>
      </c>
      <c r="F303">
        <v>1185.5</v>
      </c>
      <c r="G303">
        <v>1178</v>
      </c>
      <c r="H303">
        <v>1185.5</v>
      </c>
      <c r="I303">
        <v>1181.5</v>
      </c>
    </row>
    <row r="304" spans="1:9" x14ac:dyDescent="0.2">
      <c r="A304" s="5" t="s">
        <v>400</v>
      </c>
      <c r="B304" s="14">
        <v>1189</v>
      </c>
      <c r="C304">
        <v>1185.5</v>
      </c>
      <c r="D304">
        <v>1189</v>
      </c>
      <c r="E304">
        <v>1182</v>
      </c>
      <c r="F304">
        <v>1185.5</v>
      </c>
      <c r="G304">
        <v>1182</v>
      </c>
      <c r="H304">
        <v>1185.5</v>
      </c>
      <c r="I304">
        <v>1185.5</v>
      </c>
    </row>
    <row r="305" spans="1:9" x14ac:dyDescent="0.2">
      <c r="A305" s="5" t="s">
        <v>401</v>
      </c>
      <c r="B305" s="14">
        <v>1189</v>
      </c>
      <c r="C305">
        <v>1189.5</v>
      </c>
      <c r="D305">
        <v>1189</v>
      </c>
      <c r="E305">
        <v>1186</v>
      </c>
      <c r="F305">
        <v>1185.5</v>
      </c>
      <c r="G305">
        <v>1186</v>
      </c>
      <c r="H305">
        <v>1185.5</v>
      </c>
      <c r="I305">
        <v>1189.5</v>
      </c>
    </row>
    <row r="306" spans="1:9" x14ac:dyDescent="0.2">
      <c r="A306" s="5" t="s">
        <v>402</v>
      </c>
      <c r="B306" s="14">
        <v>1189</v>
      </c>
      <c r="C306">
        <v>1195.5</v>
      </c>
      <c r="D306">
        <v>1189</v>
      </c>
      <c r="E306">
        <v>1192</v>
      </c>
      <c r="F306">
        <v>1185.5</v>
      </c>
      <c r="G306">
        <v>1192</v>
      </c>
      <c r="H306">
        <v>1185.5</v>
      </c>
      <c r="I306">
        <v>1195.5</v>
      </c>
    </row>
    <row r="307" spans="1:9" x14ac:dyDescent="0.2">
      <c r="A307" s="5" t="s">
        <v>403</v>
      </c>
      <c r="B307" s="14">
        <v>1189</v>
      </c>
      <c r="C307">
        <v>1199.5</v>
      </c>
      <c r="D307">
        <v>1189</v>
      </c>
      <c r="E307">
        <v>1196</v>
      </c>
      <c r="F307">
        <v>1185.5</v>
      </c>
      <c r="G307">
        <v>1196</v>
      </c>
      <c r="H307">
        <v>1185.5</v>
      </c>
      <c r="I307">
        <v>1199.5</v>
      </c>
    </row>
    <row r="308" spans="1:9" x14ac:dyDescent="0.2">
      <c r="A308" s="5" t="s">
        <v>404</v>
      </c>
      <c r="B308" s="14">
        <v>1122</v>
      </c>
      <c r="C308">
        <v>1016.5</v>
      </c>
      <c r="D308">
        <v>1122</v>
      </c>
      <c r="E308">
        <v>1013</v>
      </c>
      <c r="F308">
        <v>1118.5</v>
      </c>
      <c r="G308">
        <v>1013</v>
      </c>
      <c r="H308">
        <v>1118.5</v>
      </c>
      <c r="I308">
        <v>1016.5</v>
      </c>
    </row>
    <row r="309" spans="1:9" x14ac:dyDescent="0.2">
      <c r="A309" s="5" t="s">
        <v>405</v>
      </c>
      <c r="B309" s="14">
        <v>1122</v>
      </c>
      <c r="C309">
        <v>1020.5</v>
      </c>
      <c r="D309">
        <v>1122</v>
      </c>
      <c r="E309">
        <v>1017</v>
      </c>
      <c r="F309">
        <v>1118.5</v>
      </c>
      <c r="G309">
        <v>1017</v>
      </c>
      <c r="H309">
        <v>1118.5</v>
      </c>
      <c r="I309">
        <v>1020.5</v>
      </c>
    </row>
    <row r="310" spans="1:9" x14ac:dyDescent="0.2">
      <c r="A310" s="5" t="s">
        <v>406</v>
      </c>
      <c r="B310" s="14">
        <v>1122</v>
      </c>
      <c r="C310">
        <v>1024.5</v>
      </c>
      <c r="D310">
        <v>1122</v>
      </c>
      <c r="E310">
        <v>1021</v>
      </c>
      <c r="F310">
        <v>1118.5</v>
      </c>
      <c r="G310">
        <v>1021</v>
      </c>
      <c r="H310">
        <v>1118.5</v>
      </c>
      <c r="I310">
        <v>1024.5</v>
      </c>
    </row>
    <row r="311" spans="1:9" x14ac:dyDescent="0.2">
      <c r="A311" s="5" t="s">
        <v>407</v>
      </c>
      <c r="B311" s="14">
        <v>1122</v>
      </c>
      <c r="C311">
        <v>1028.5</v>
      </c>
      <c r="D311">
        <v>1122</v>
      </c>
      <c r="E311">
        <v>1025</v>
      </c>
      <c r="F311">
        <v>1118.5</v>
      </c>
      <c r="G311">
        <v>1025</v>
      </c>
      <c r="H311">
        <v>1118.5</v>
      </c>
      <c r="I311">
        <v>1028.5</v>
      </c>
    </row>
    <row r="312" spans="1:9" x14ac:dyDescent="0.2">
      <c r="A312" s="5" t="s">
        <v>408</v>
      </c>
      <c r="B312" s="14">
        <v>1122</v>
      </c>
      <c r="C312">
        <v>1032.5</v>
      </c>
      <c r="D312">
        <v>1122</v>
      </c>
      <c r="E312">
        <v>1029</v>
      </c>
      <c r="F312">
        <v>1118.5</v>
      </c>
      <c r="G312">
        <v>1029</v>
      </c>
      <c r="H312">
        <v>1118.5</v>
      </c>
      <c r="I312">
        <v>1032.5</v>
      </c>
    </row>
    <row r="313" spans="1:9" x14ac:dyDescent="0.2">
      <c r="A313" s="5" t="s">
        <v>409</v>
      </c>
      <c r="B313" s="14">
        <v>1122</v>
      </c>
      <c r="C313">
        <v>1038.5</v>
      </c>
      <c r="D313">
        <v>1122</v>
      </c>
      <c r="E313">
        <v>1035</v>
      </c>
      <c r="F313">
        <v>1118.5</v>
      </c>
      <c r="G313">
        <v>1035</v>
      </c>
      <c r="H313">
        <v>1118.5</v>
      </c>
      <c r="I313">
        <v>1038.5</v>
      </c>
    </row>
    <row r="314" spans="1:9" x14ac:dyDescent="0.2">
      <c r="A314" s="5" t="s">
        <v>410</v>
      </c>
      <c r="B314" s="14">
        <v>1122</v>
      </c>
      <c r="C314">
        <v>1042.5</v>
      </c>
      <c r="D314">
        <v>1122</v>
      </c>
      <c r="E314">
        <v>1039</v>
      </c>
      <c r="F314">
        <v>1118.5</v>
      </c>
      <c r="G314">
        <v>1039</v>
      </c>
      <c r="H314">
        <v>1118.5</v>
      </c>
      <c r="I314">
        <v>1042.5</v>
      </c>
    </row>
    <row r="315" spans="1:9" x14ac:dyDescent="0.2">
      <c r="A315" s="5" t="s">
        <v>411</v>
      </c>
      <c r="B315" s="14">
        <v>1122</v>
      </c>
      <c r="C315">
        <v>1046.5</v>
      </c>
      <c r="D315">
        <v>1122</v>
      </c>
      <c r="E315">
        <v>1043</v>
      </c>
      <c r="F315">
        <v>1118.5</v>
      </c>
      <c r="G315">
        <v>1043</v>
      </c>
      <c r="H315">
        <v>1118.5</v>
      </c>
      <c r="I315">
        <v>1046.5</v>
      </c>
    </row>
    <row r="316" spans="1:9" x14ac:dyDescent="0.2">
      <c r="A316" s="5" t="s">
        <v>412</v>
      </c>
      <c r="B316" s="14">
        <v>1122</v>
      </c>
      <c r="C316">
        <v>1050.5</v>
      </c>
      <c r="D316">
        <v>1122</v>
      </c>
      <c r="E316">
        <v>1047</v>
      </c>
      <c r="F316">
        <v>1118.5</v>
      </c>
      <c r="G316">
        <v>1047</v>
      </c>
      <c r="H316">
        <v>1118.5</v>
      </c>
      <c r="I316">
        <v>1050.5</v>
      </c>
    </row>
    <row r="317" spans="1:9" x14ac:dyDescent="0.2">
      <c r="A317" s="5" t="s">
        <v>413</v>
      </c>
      <c r="B317" s="14">
        <v>1122</v>
      </c>
      <c r="C317">
        <v>1054.5</v>
      </c>
      <c r="D317">
        <v>1122</v>
      </c>
      <c r="E317">
        <v>1051</v>
      </c>
      <c r="F317">
        <v>1118.5</v>
      </c>
      <c r="G317">
        <v>1051</v>
      </c>
      <c r="H317">
        <v>1118.5</v>
      </c>
      <c r="I317">
        <v>1054.5</v>
      </c>
    </row>
    <row r="318" spans="1:9" x14ac:dyDescent="0.2">
      <c r="A318" s="5" t="s">
        <v>414</v>
      </c>
      <c r="B318" s="14">
        <v>1122</v>
      </c>
      <c r="C318">
        <v>1060.5</v>
      </c>
      <c r="D318">
        <v>1122</v>
      </c>
      <c r="E318">
        <v>1057</v>
      </c>
      <c r="F318">
        <v>1118.5</v>
      </c>
      <c r="G318">
        <v>1057</v>
      </c>
      <c r="H318">
        <v>1118.5</v>
      </c>
      <c r="I318">
        <v>1060.5</v>
      </c>
    </row>
    <row r="319" spans="1:9" x14ac:dyDescent="0.2">
      <c r="A319" s="5" t="s">
        <v>415</v>
      </c>
      <c r="B319" s="14">
        <v>1122</v>
      </c>
      <c r="C319">
        <v>1064.5</v>
      </c>
      <c r="D319">
        <v>1122</v>
      </c>
      <c r="E319">
        <v>1061</v>
      </c>
      <c r="F319">
        <v>1118.5</v>
      </c>
      <c r="G319">
        <v>1061</v>
      </c>
      <c r="H319">
        <v>1118.5</v>
      </c>
      <c r="I319">
        <v>1064.5</v>
      </c>
    </row>
    <row r="320" spans="1:9" x14ac:dyDescent="0.2">
      <c r="A320" s="5" t="s">
        <v>416</v>
      </c>
      <c r="B320" s="14">
        <v>1122</v>
      </c>
      <c r="C320">
        <v>1068.5</v>
      </c>
      <c r="D320">
        <v>1122</v>
      </c>
      <c r="E320">
        <v>1065</v>
      </c>
      <c r="F320">
        <v>1118.5</v>
      </c>
      <c r="G320">
        <v>1065</v>
      </c>
      <c r="H320">
        <v>1118.5</v>
      </c>
      <c r="I320">
        <v>1068.5</v>
      </c>
    </row>
    <row r="321" spans="1:9" x14ac:dyDescent="0.2">
      <c r="A321" s="5" t="s">
        <v>417</v>
      </c>
      <c r="B321" s="14">
        <v>1122</v>
      </c>
      <c r="C321">
        <v>1072.5</v>
      </c>
      <c r="D321">
        <v>1122</v>
      </c>
      <c r="E321">
        <v>1069</v>
      </c>
      <c r="F321">
        <v>1118.5</v>
      </c>
      <c r="G321">
        <v>1069</v>
      </c>
      <c r="H321">
        <v>1118.5</v>
      </c>
      <c r="I321">
        <v>1072.5</v>
      </c>
    </row>
    <row r="322" spans="1:9" x14ac:dyDescent="0.2">
      <c r="A322" s="5" t="s">
        <v>418</v>
      </c>
      <c r="B322" s="14">
        <v>1122</v>
      </c>
      <c r="C322">
        <v>1076.5</v>
      </c>
      <c r="D322">
        <v>1122</v>
      </c>
      <c r="E322">
        <v>1073</v>
      </c>
      <c r="F322">
        <v>1118.5</v>
      </c>
      <c r="G322">
        <v>1073</v>
      </c>
      <c r="H322">
        <v>1118.5</v>
      </c>
      <c r="I322">
        <v>1076.5</v>
      </c>
    </row>
    <row r="323" spans="1:9" x14ac:dyDescent="0.2">
      <c r="A323" s="5" t="s">
        <v>419</v>
      </c>
      <c r="B323" s="14">
        <v>1122</v>
      </c>
      <c r="C323">
        <v>1082.5</v>
      </c>
      <c r="D323">
        <v>1122</v>
      </c>
      <c r="E323">
        <v>1079</v>
      </c>
      <c r="F323">
        <v>1118.5</v>
      </c>
      <c r="G323">
        <v>1079</v>
      </c>
      <c r="H323">
        <v>1118.5</v>
      </c>
      <c r="I323">
        <v>1082.5</v>
      </c>
    </row>
    <row r="324" spans="1:9" x14ac:dyDescent="0.2">
      <c r="A324" s="5" t="s">
        <v>420</v>
      </c>
      <c r="B324" s="14">
        <v>1122</v>
      </c>
      <c r="C324">
        <v>1086.5</v>
      </c>
      <c r="D324">
        <v>1122</v>
      </c>
      <c r="E324">
        <v>1083</v>
      </c>
      <c r="F324">
        <v>1118.5</v>
      </c>
      <c r="G324">
        <v>1083</v>
      </c>
      <c r="H324">
        <v>1118.5</v>
      </c>
      <c r="I324">
        <v>1086.5</v>
      </c>
    </row>
    <row r="325" spans="1:9" x14ac:dyDescent="0.2">
      <c r="A325" s="5" t="s">
        <v>421</v>
      </c>
      <c r="B325" s="14">
        <v>1122</v>
      </c>
      <c r="C325">
        <v>1090.5</v>
      </c>
      <c r="D325">
        <v>1122</v>
      </c>
      <c r="E325">
        <v>1087</v>
      </c>
      <c r="F325">
        <v>1118.5</v>
      </c>
      <c r="G325">
        <v>1087</v>
      </c>
      <c r="H325">
        <v>1118.5</v>
      </c>
      <c r="I325">
        <v>1090.5</v>
      </c>
    </row>
    <row r="326" spans="1:9" x14ac:dyDescent="0.2">
      <c r="A326" s="5" t="s">
        <v>422</v>
      </c>
      <c r="B326" s="14">
        <v>1122</v>
      </c>
      <c r="C326">
        <v>1094.5</v>
      </c>
      <c r="D326">
        <v>1122</v>
      </c>
      <c r="E326">
        <v>1091</v>
      </c>
      <c r="F326">
        <v>1118.5</v>
      </c>
      <c r="G326">
        <v>1091</v>
      </c>
      <c r="H326">
        <v>1118.5</v>
      </c>
      <c r="I326">
        <v>1094.5</v>
      </c>
    </row>
    <row r="327" spans="1:9" x14ac:dyDescent="0.2">
      <c r="A327" s="5" t="s">
        <v>423</v>
      </c>
      <c r="B327" s="14">
        <v>1122</v>
      </c>
      <c r="C327">
        <v>1098.5</v>
      </c>
      <c r="D327">
        <v>1122</v>
      </c>
      <c r="E327">
        <v>1095</v>
      </c>
      <c r="F327">
        <v>1118.5</v>
      </c>
      <c r="G327">
        <v>1095</v>
      </c>
      <c r="H327">
        <v>1118.5</v>
      </c>
      <c r="I327">
        <v>1098.5</v>
      </c>
    </row>
    <row r="328" spans="1:9" x14ac:dyDescent="0.2">
      <c r="A328" s="5" t="s">
        <v>424</v>
      </c>
      <c r="B328" s="14">
        <v>1117.5</v>
      </c>
      <c r="C328">
        <v>1016.5</v>
      </c>
      <c r="D328">
        <v>1117.5</v>
      </c>
      <c r="E328">
        <v>1013</v>
      </c>
      <c r="F328">
        <v>1114</v>
      </c>
      <c r="G328">
        <v>1013</v>
      </c>
      <c r="H328">
        <v>1114</v>
      </c>
      <c r="I328">
        <v>1016.5</v>
      </c>
    </row>
    <row r="329" spans="1:9" x14ac:dyDescent="0.2">
      <c r="A329" s="5" t="s">
        <v>425</v>
      </c>
      <c r="B329" s="14">
        <v>1117.5</v>
      </c>
      <c r="C329">
        <v>1020.5</v>
      </c>
      <c r="D329">
        <v>1117.5</v>
      </c>
      <c r="E329">
        <v>1017</v>
      </c>
      <c r="F329">
        <v>1114</v>
      </c>
      <c r="G329">
        <v>1017</v>
      </c>
      <c r="H329">
        <v>1114</v>
      </c>
      <c r="I329">
        <v>1020.5</v>
      </c>
    </row>
    <row r="330" spans="1:9" x14ac:dyDescent="0.2">
      <c r="A330" s="5" t="s">
        <v>426</v>
      </c>
      <c r="B330" s="14">
        <v>1117.5</v>
      </c>
      <c r="C330">
        <v>1024.5</v>
      </c>
      <c r="D330">
        <v>1117.5</v>
      </c>
      <c r="E330">
        <v>1021</v>
      </c>
      <c r="F330">
        <v>1114</v>
      </c>
      <c r="G330">
        <v>1021</v>
      </c>
      <c r="H330">
        <v>1114</v>
      </c>
      <c r="I330">
        <v>1024.5</v>
      </c>
    </row>
    <row r="331" spans="1:9" x14ac:dyDescent="0.2">
      <c r="A331" s="5" t="s">
        <v>427</v>
      </c>
      <c r="B331" s="14">
        <v>1117.5</v>
      </c>
      <c r="C331">
        <v>1028.5</v>
      </c>
      <c r="D331">
        <v>1117.5</v>
      </c>
      <c r="E331">
        <v>1025</v>
      </c>
      <c r="F331">
        <v>1114</v>
      </c>
      <c r="G331">
        <v>1025</v>
      </c>
      <c r="H331">
        <v>1114</v>
      </c>
      <c r="I331">
        <v>1028.5</v>
      </c>
    </row>
    <row r="332" spans="1:9" x14ac:dyDescent="0.2">
      <c r="A332" s="5" t="s">
        <v>428</v>
      </c>
      <c r="B332" s="14">
        <v>1117.5</v>
      </c>
      <c r="C332">
        <v>1032.5</v>
      </c>
      <c r="D332">
        <v>1117.5</v>
      </c>
      <c r="E332">
        <v>1029</v>
      </c>
      <c r="F332">
        <v>1114</v>
      </c>
      <c r="G332">
        <v>1029</v>
      </c>
      <c r="H332">
        <v>1114</v>
      </c>
      <c r="I332">
        <v>1032.5</v>
      </c>
    </row>
    <row r="333" spans="1:9" x14ac:dyDescent="0.2">
      <c r="A333" s="5" t="s">
        <v>429</v>
      </c>
      <c r="B333" s="14">
        <v>1117.5</v>
      </c>
      <c r="C333">
        <v>1038.5</v>
      </c>
      <c r="D333">
        <v>1117.5</v>
      </c>
      <c r="E333">
        <v>1035</v>
      </c>
      <c r="F333">
        <v>1114</v>
      </c>
      <c r="G333">
        <v>1035</v>
      </c>
      <c r="H333">
        <v>1114</v>
      </c>
      <c r="I333">
        <v>1038.5</v>
      </c>
    </row>
    <row r="334" spans="1:9" x14ac:dyDescent="0.2">
      <c r="A334" s="5" t="s">
        <v>430</v>
      </c>
      <c r="B334" s="14">
        <v>1117.5</v>
      </c>
      <c r="C334">
        <v>1042.5</v>
      </c>
      <c r="D334">
        <v>1117.5</v>
      </c>
      <c r="E334">
        <v>1039</v>
      </c>
      <c r="F334">
        <v>1114</v>
      </c>
      <c r="G334">
        <v>1039</v>
      </c>
      <c r="H334">
        <v>1114</v>
      </c>
      <c r="I334">
        <v>1042.5</v>
      </c>
    </row>
    <row r="335" spans="1:9" x14ac:dyDescent="0.2">
      <c r="A335" s="5" t="s">
        <v>431</v>
      </c>
      <c r="B335" s="14">
        <v>1117.5</v>
      </c>
      <c r="C335">
        <v>1046.5</v>
      </c>
      <c r="D335">
        <v>1117.5</v>
      </c>
      <c r="E335">
        <v>1043</v>
      </c>
      <c r="F335">
        <v>1114</v>
      </c>
      <c r="G335">
        <v>1043</v>
      </c>
      <c r="H335">
        <v>1114</v>
      </c>
      <c r="I335">
        <v>1046.5</v>
      </c>
    </row>
    <row r="336" spans="1:9" x14ac:dyDescent="0.2">
      <c r="A336" s="5" t="s">
        <v>432</v>
      </c>
      <c r="B336" s="14">
        <v>1117.5</v>
      </c>
      <c r="C336">
        <v>1050.5</v>
      </c>
      <c r="D336">
        <v>1117.5</v>
      </c>
      <c r="E336">
        <v>1047</v>
      </c>
      <c r="F336">
        <v>1114</v>
      </c>
      <c r="G336">
        <v>1047</v>
      </c>
      <c r="H336">
        <v>1114</v>
      </c>
      <c r="I336">
        <v>1050.5</v>
      </c>
    </row>
    <row r="337" spans="1:9" x14ac:dyDescent="0.2">
      <c r="A337" s="5" t="s">
        <v>433</v>
      </c>
      <c r="B337" s="14">
        <v>1117.5</v>
      </c>
      <c r="C337">
        <v>1054.5</v>
      </c>
      <c r="D337">
        <v>1117.5</v>
      </c>
      <c r="E337">
        <v>1051</v>
      </c>
      <c r="F337">
        <v>1114</v>
      </c>
      <c r="G337">
        <v>1051</v>
      </c>
      <c r="H337">
        <v>1114</v>
      </c>
      <c r="I337">
        <v>1054.5</v>
      </c>
    </row>
    <row r="338" spans="1:9" x14ac:dyDescent="0.2">
      <c r="A338" s="5" t="s">
        <v>434</v>
      </c>
      <c r="B338" s="14">
        <v>1117.5</v>
      </c>
      <c r="C338">
        <v>1060.5</v>
      </c>
      <c r="D338">
        <v>1117.5</v>
      </c>
      <c r="E338">
        <v>1057</v>
      </c>
      <c r="F338">
        <v>1114</v>
      </c>
      <c r="G338">
        <v>1057</v>
      </c>
      <c r="H338">
        <v>1114</v>
      </c>
      <c r="I338">
        <v>1060.5</v>
      </c>
    </row>
    <row r="339" spans="1:9" x14ac:dyDescent="0.2">
      <c r="A339" s="5" t="s">
        <v>435</v>
      </c>
      <c r="B339" s="14">
        <v>1117.5</v>
      </c>
      <c r="C339">
        <v>1064.5</v>
      </c>
      <c r="D339">
        <v>1117.5</v>
      </c>
      <c r="E339">
        <v>1061</v>
      </c>
      <c r="F339">
        <v>1114</v>
      </c>
      <c r="G339">
        <v>1061</v>
      </c>
      <c r="H339">
        <v>1114</v>
      </c>
      <c r="I339">
        <v>1064.5</v>
      </c>
    </row>
    <row r="340" spans="1:9" x14ac:dyDescent="0.2">
      <c r="A340" s="5" t="s">
        <v>436</v>
      </c>
      <c r="B340" s="14">
        <v>1117.5</v>
      </c>
      <c r="C340">
        <v>1068.5</v>
      </c>
      <c r="D340">
        <v>1117.5</v>
      </c>
      <c r="E340">
        <v>1065</v>
      </c>
      <c r="F340">
        <v>1114</v>
      </c>
      <c r="G340">
        <v>1065</v>
      </c>
      <c r="H340">
        <v>1114</v>
      </c>
      <c r="I340">
        <v>1068.5</v>
      </c>
    </row>
    <row r="341" spans="1:9" x14ac:dyDescent="0.2">
      <c r="A341" s="5" t="s">
        <v>437</v>
      </c>
      <c r="B341" s="14">
        <v>1117.5</v>
      </c>
      <c r="C341">
        <v>1072.5</v>
      </c>
      <c r="D341">
        <v>1117.5</v>
      </c>
      <c r="E341">
        <v>1069</v>
      </c>
      <c r="F341">
        <v>1114</v>
      </c>
      <c r="G341">
        <v>1069</v>
      </c>
      <c r="H341">
        <v>1114</v>
      </c>
      <c r="I341">
        <v>1072.5</v>
      </c>
    </row>
    <row r="342" spans="1:9" x14ac:dyDescent="0.2">
      <c r="A342" s="5" t="s">
        <v>438</v>
      </c>
      <c r="B342" s="14">
        <v>1117.5</v>
      </c>
      <c r="C342">
        <v>1076.5</v>
      </c>
      <c r="D342">
        <v>1117.5</v>
      </c>
      <c r="E342">
        <v>1073</v>
      </c>
      <c r="F342">
        <v>1114</v>
      </c>
      <c r="G342">
        <v>1073</v>
      </c>
      <c r="H342">
        <v>1114</v>
      </c>
      <c r="I342">
        <v>1076.5</v>
      </c>
    </row>
    <row r="343" spans="1:9" x14ac:dyDescent="0.2">
      <c r="A343" s="5" t="s">
        <v>439</v>
      </c>
      <c r="B343" s="14">
        <v>1117.5</v>
      </c>
      <c r="C343">
        <v>1082.5</v>
      </c>
      <c r="D343">
        <v>1117.5</v>
      </c>
      <c r="E343">
        <v>1079</v>
      </c>
      <c r="F343">
        <v>1114</v>
      </c>
      <c r="G343">
        <v>1079</v>
      </c>
      <c r="H343">
        <v>1114</v>
      </c>
      <c r="I343">
        <v>1082.5</v>
      </c>
    </row>
    <row r="344" spans="1:9" x14ac:dyDescent="0.2">
      <c r="A344" s="5" t="s">
        <v>440</v>
      </c>
      <c r="B344" s="14">
        <v>1117.5</v>
      </c>
      <c r="C344">
        <v>1086.5</v>
      </c>
      <c r="D344">
        <v>1117.5</v>
      </c>
      <c r="E344">
        <v>1083</v>
      </c>
      <c r="F344">
        <v>1114</v>
      </c>
      <c r="G344">
        <v>1083</v>
      </c>
      <c r="H344">
        <v>1114</v>
      </c>
      <c r="I344">
        <v>1086.5</v>
      </c>
    </row>
    <row r="345" spans="1:9" x14ac:dyDescent="0.2">
      <c r="A345" s="5" t="s">
        <v>441</v>
      </c>
      <c r="B345" s="14">
        <v>1117.5</v>
      </c>
      <c r="C345">
        <v>1090.5</v>
      </c>
      <c r="D345">
        <v>1117.5</v>
      </c>
      <c r="E345">
        <v>1087</v>
      </c>
      <c r="F345">
        <v>1114</v>
      </c>
      <c r="G345">
        <v>1087</v>
      </c>
      <c r="H345">
        <v>1114</v>
      </c>
      <c r="I345">
        <v>1090.5</v>
      </c>
    </row>
    <row r="346" spans="1:9" x14ac:dyDescent="0.2">
      <c r="A346" s="5" t="s">
        <v>442</v>
      </c>
      <c r="B346" s="14">
        <v>1117.5</v>
      </c>
      <c r="C346">
        <v>1094.5</v>
      </c>
      <c r="D346">
        <v>1117.5</v>
      </c>
      <c r="E346">
        <v>1091</v>
      </c>
      <c r="F346">
        <v>1114</v>
      </c>
      <c r="G346">
        <v>1091</v>
      </c>
      <c r="H346">
        <v>1114</v>
      </c>
      <c r="I346">
        <v>1094.5</v>
      </c>
    </row>
    <row r="347" spans="1:9" x14ac:dyDescent="0.2">
      <c r="A347" s="5" t="s">
        <v>443</v>
      </c>
      <c r="B347" s="14">
        <v>1117.5</v>
      </c>
      <c r="C347">
        <v>1098.5</v>
      </c>
      <c r="D347">
        <v>1117.5</v>
      </c>
      <c r="E347">
        <v>1095</v>
      </c>
      <c r="F347">
        <v>1114</v>
      </c>
      <c r="G347">
        <v>1095</v>
      </c>
      <c r="H347">
        <v>1114</v>
      </c>
      <c r="I347">
        <v>1098.5</v>
      </c>
    </row>
    <row r="348" spans="1:9" x14ac:dyDescent="0.2">
      <c r="A348" s="5" t="s">
        <v>444</v>
      </c>
      <c r="B348" s="14">
        <v>1065</v>
      </c>
      <c r="C348">
        <v>1016.5</v>
      </c>
      <c r="D348">
        <v>1065</v>
      </c>
      <c r="E348">
        <v>1013</v>
      </c>
      <c r="F348">
        <v>1061.5</v>
      </c>
      <c r="G348">
        <v>1013</v>
      </c>
      <c r="H348">
        <v>1061.5</v>
      </c>
      <c r="I348">
        <v>1016.5</v>
      </c>
    </row>
    <row r="349" spans="1:9" x14ac:dyDescent="0.2">
      <c r="A349" s="5" t="s">
        <v>445</v>
      </c>
      <c r="B349" s="14">
        <v>1065</v>
      </c>
      <c r="C349">
        <v>1020.5</v>
      </c>
      <c r="D349">
        <v>1065</v>
      </c>
      <c r="E349">
        <v>1017</v>
      </c>
      <c r="F349">
        <v>1061.5</v>
      </c>
      <c r="G349">
        <v>1017</v>
      </c>
      <c r="H349">
        <v>1061.5</v>
      </c>
      <c r="I349">
        <v>1020.5</v>
      </c>
    </row>
    <row r="350" spans="1:9" x14ac:dyDescent="0.2">
      <c r="A350" s="5" t="s">
        <v>446</v>
      </c>
      <c r="B350" s="14">
        <v>1065</v>
      </c>
      <c r="C350">
        <v>1024.5</v>
      </c>
      <c r="D350">
        <v>1065</v>
      </c>
      <c r="E350">
        <v>1021</v>
      </c>
      <c r="F350">
        <v>1061.5</v>
      </c>
      <c r="G350">
        <v>1021</v>
      </c>
      <c r="H350">
        <v>1061.5</v>
      </c>
      <c r="I350">
        <v>1024.5</v>
      </c>
    </row>
    <row r="351" spans="1:9" x14ac:dyDescent="0.2">
      <c r="A351" s="5" t="s">
        <v>447</v>
      </c>
      <c r="B351" s="14">
        <v>1065</v>
      </c>
      <c r="C351">
        <v>1028.5</v>
      </c>
      <c r="D351">
        <v>1065</v>
      </c>
      <c r="E351">
        <v>1025</v>
      </c>
      <c r="F351">
        <v>1061.5</v>
      </c>
      <c r="G351">
        <v>1025</v>
      </c>
      <c r="H351">
        <v>1061.5</v>
      </c>
      <c r="I351">
        <v>1028.5</v>
      </c>
    </row>
    <row r="352" spans="1:9" x14ac:dyDescent="0.2">
      <c r="A352" s="5" t="s">
        <v>448</v>
      </c>
      <c r="B352" s="14">
        <v>1065</v>
      </c>
      <c r="C352">
        <v>1032.5</v>
      </c>
      <c r="D352">
        <v>1065</v>
      </c>
      <c r="E352">
        <v>1029</v>
      </c>
      <c r="F352">
        <v>1061.5</v>
      </c>
      <c r="G352">
        <v>1029</v>
      </c>
      <c r="H352">
        <v>1061.5</v>
      </c>
      <c r="I352">
        <v>1032.5</v>
      </c>
    </row>
    <row r="353" spans="1:9" x14ac:dyDescent="0.2">
      <c r="A353" s="5" t="s">
        <v>449</v>
      </c>
      <c r="B353" s="14">
        <v>1065</v>
      </c>
      <c r="C353">
        <v>1038.5</v>
      </c>
      <c r="D353">
        <v>1065</v>
      </c>
      <c r="E353">
        <v>1035</v>
      </c>
      <c r="F353">
        <v>1061.5</v>
      </c>
      <c r="G353">
        <v>1035</v>
      </c>
      <c r="H353">
        <v>1061.5</v>
      </c>
      <c r="I353">
        <v>1038.5</v>
      </c>
    </row>
    <row r="354" spans="1:9" x14ac:dyDescent="0.2">
      <c r="A354" s="5" t="s">
        <v>450</v>
      </c>
      <c r="B354" s="14">
        <v>1065</v>
      </c>
      <c r="C354">
        <v>1042.5</v>
      </c>
      <c r="D354">
        <v>1065</v>
      </c>
      <c r="E354">
        <v>1039</v>
      </c>
      <c r="F354">
        <v>1061.5</v>
      </c>
      <c r="G354">
        <v>1039</v>
      </c>
      <c r="H354">
        <v>1061.5</v>
      </c>
      <c r="I354">
        <v>1042.5</v>
      </c>
    </row>
    <row r="355" spans="1:9" x14ac:dyDescent="0.2">
      <c r="A355" s="5" t="s">
        <v>451</v>
      </c>
      <c r="B355" s="14">
        <v>1065</v>
      </c>
      <c r="C355">
        <v>1046.5</v>
      </c>
      <c r="D355">
        <v>1065</v>
      </c>
      <c r="E355">
        <v>1043</v>
      </c>
      <c r="F355">
        <v>1061.5</v>
      </c>
      <c r="G355">
        <v>1043</v>
      </c>
      <c r="H355">
        <v>1061.5</v>
      </c>
      <c r="I355">
        <v>1046.5</v>
      </c>
    </row>
    <row r="356" spans="1:9" x14ac:dyDescent="0.2">
      <c r="A356" s="5" t="s">
        <v>452</v>
      </c>
      <c r="B356" s="14">
        <v>1065</v>
      </c>
      <c r="C356">
        <v>1050.5</v>
      </c>
      <c r="D356">
        <v>1065</v>
      </c>
      <c r="E356">
        <v>1047</v>
      </c>
      <c r="F356">
        <v>1061.5</v>
      </c>
      <c r="G356">
        <v>1047</v>
      </c>
      <c r="H356">
        <v>1061.5</v>
      </c>
      <c r="I356">
        <v>1050.5</v>
      </c>
    </row>
    <row r="357" spans="1:9" x14ac:dyDescent="0.2">
      <c r="A357" s="5" t="s">
        <v>453</v>
      </c>
      <c r="B357" s="14">
        <v>1065</v>
      </c>
      <c r="C357">
        <v>1054.5</v>
      </c>
      <c r="D357">
        <v>1065</v>
      </c>
      <c r="E357">
        <v>1051</v>
      </c>
      <c r="F357">
        <v>1061.5</v>
      </c>
      <c r="G357">
        <v>1051</v>
      </c>
      <c r="H357">
        <v>1061.5</v>
      </c>
      <c r="I357">
        <v>1054.5</v>
      </c>
    </row>
    <row r="358" spans="1:9" x14ac:dyDescent="0.2">
      <c r="A358" s="5" t="s">
        <v>454</v>
      </c>
      <c r="B358" s="14">
        <v>1065</v>
      </c>
      <c r="C358">
        <v>1060.5</v>
      </c>
      <c r="D358">
        <v>1065</v>
      </c>
      <c r="E358">
        <v>1057</v>
      </c>
      <c r="F358">
        <v>1061.5</v>
      </c>
      <c r="G358">
        <v>1057</v>
      </c>
      <c r="H358">
        <v>1061.5</v>
      </c>
      <c r="I358">
        <v>1060.5</v>
      </c>
    </row>
    <row r="359" spans="1:9" x14ac:dyDescent="0.2">
      <c r="A359" s="5" t="s">
        <v>455</v>
      </c>
      <c r="B359" s="14">
        <v>1065</v>
      </c>
      <c r="C359">
        <v>1064.5</v>
      </c>
      <c r="D359">
        <v>1065</v>
      </c>
      <c r="E359">
        <v>1061</v>
      </c>
      <c r="F359">
        <v>1061.5</v>
      </c>
      <c r="G359">
        <v>1061</v>
      </c>
      <c r="H359">
        <v>1061.5</v>
      </c>
      <c r="I359">
        <v>1064.5</v>
      </c>
    </row>
    <row r="360" spans="1:9" x14ac:dyDescent="0.2">
      <c r="A360" s="5" t="s">
        <v>456</v>
      </c>
      <c r="B360" s="14">
        <v>1065</v>
      </c>
      <c r="C360">
        <v>1068.5</v>
      </c>
      <c r="D360">
        <v>1065</v>
      </c>
      <c r="E360">
        <v>1065</v>
      </c>
      <c r="F360">
        <v>1061.5</v>
      </c>
      <c r="G360">
        <v>1065</v>
      </c>
      <c r="H360">
        <v>1061.5</v>
      </c>
      <c r="I360">
        <v>1068.5</v>
      </c>
    </row>
    <row r="361" spans="1:9" x14ac:dyDescent="0.2">
      <c r="A361" s="5" t="s">
        <v>457</v>
      </c>
      <c r="B361" s="14">
        <v>1065</v>
      </c>
      <c r="C361">
        <v>1072.5</v>
      </c>
      <c r="D361">
        <v>1065</v>
      </c>
      <c r="E361">
        <v>1069</v>
      </c>
      <c r="F361">
        <v>1061.5</v>
      </c>
      <c r="G361">
        <v>1069</v>
      </c>
      <c r="H361">
        <v>1061.5</v>
      </c>
      <c r="I361">
        <v>1072.5</v>
      </c>
    </row>
    <row r="362" spans="1:9" x14ac:dyDescent="0.2">
      <c r="A362" s="5" t="s">
        <v>458</v>
      </c>
      <c r="B362" s="14">
        <v>1065</v>
      </c>
      <c r="C362">
        <v>1076.5</v>
      </c>
      <c r="D362">
        <v>1065</v>
      </c>
      <c r="E362">
        <v>1073</v>
      </c>
      <c r="F362">
        <v>1061.5</v>
      </c>
      <c r="G362">
        <v>1073</v>
      </c>
      <c r="H362">
        <v>1061.5</v>
      </c>
      <c r="I362">
        <v>1076.5</v>
      </c>
    </row>
    <row r="363" spans="1:9" x14ac:dyDescent="0.2">
      <c r="A363" s="5" t="s">
        <v>459</v>
      </c>
      <c r="B363" s="14">
        <v>1065</v>
      </c>
      <c r="C363">
        <v>1082.5</v>
      </c>
      <c r="D363">
        <v>1065</v>
      </c>
      <c r="E363">
        <v>1079</v>
      </c>
      <c r="F363">
        <v>1061.5</v>
      </c>
      <c r="G363">
        <v>1079</v>
      </c>
      <c r="H363">
        <v>1061.5</v>
      </c>
      <c r="I363">
        <v>1082.5</v>
      </c>
    </row>
    <row r="364" spans="1:9" x14ac:dyDescent="0.2">
      <c r="A364" s="5" t="s">
        <v>460</v>
      </c>
      <c r="B364" s="14">
        <v>1065</v>
      </c>
      <c r="C364">
        <v>1086.5</v>
      </c>
      <c r="D364">
        <v>1065</v>
      </c>
      <c r="E364">
        <v>1083</v>
      </c>
      <c r="F364">
        <v>1061.5</v>
      </c>
      <c r="G364">
        <v>1083</v>
      </c>
      <c r="H364">
        <v>1061.5</v>
      </c>
      <c r="I364">
        <v>1086.5</v>
      </c>
    </row>
    <row r="365" spans="1:9" x14ac:dyDescent="0.2">
      <c r="A365" s="5" t="s">
        <v>461</v>
      </c>
      <c r="B365" s="14">
        <v>1065</v>
      </c>
      <c r="C365">
        <v>1090.5</v>
      </c>
      <c r="D365">
        <v>1065</v>
      </c>
      <c r="E365">
        <v>1087</v>
      </c>
      <c r="F365">
        <v>1061.5</v>
      </c>
      <c r="G365">
        <v>1087</v>
      </c>
      <c r="H365">
        <v>1061.5</v>
      </c>
      <c r="I365">
        <v>1090.5</v>
      </c>
    </row>
    <row r="366" spans="1:9" x14ac:dyDescent="0.2">
      <c r="A366" s="5" t="s">
        <v>462</v>
      </c>
      <c r="B366" s="14">
        <v>1065</v>
      </c>
      <c r="C366">
        <v>1094.5</v>
      </c>
      <c r="D366">
        <v>1065</v>
      </c>
      <c r="E366">
        <v>1091</v>
      </c>
      <c r="F366">
        <v>1061.5</v>
      </c>
      <c r="G366">
        <v>1091</v>
      </c>
      <c r="H366">
        <v>1061.5</v>
      </c>
      <c r="I366">
        <v>1094.5</v>
      </c>
    </row>
    <row r="367" spans="1:9" x14ac:dyDescent="0.2">
      <c r="A367" s="5" t="s">
        <v>463</v>
      </c>
      <c r="B367" s="14">
        <v>1065</v>
      </c>
      <c r="C367">
        <v>1098.5</v>
      </c>
      <c r="D367">
        <v>1065</v>
      </c>
      <c r="E367">
        <v>1095</v>
      </c>
      <c r="F367">
        <v>1061.5</v>
      </c>
      <c r="G367">
        <v>1095</v>
      </c>
      <c r="H367">
        <v>1061.5</v>
      </c>
      <c r="I367">
        <v>1098.5</v>
      </c>
    </row>
    <row r="368" spans="1:9" x14ac:dyDescent="0.2">
      <c r="A368" s="5" t="s">
        <v>464</v>
      </c>
      <c r="B368" s="14">
        <v>1060.5</v>
      </c>
      <c r="C368">
        <v>1016.5</v>
      </c>
      <c r="D368">
        <v>1060.5</v>
      </c>
      <c r="E368">
        <v>1013</v>
      </c>
      <c r="F368">
        <v>1057</v>
      </c>
      <c r="G368">
        <v>1013</v>
      </c>
      <c r="H368">
        <v>1057</v>
      </c>
      <c r="I368">
        <v>1016.5</v>
      </c>
    </row>
    <row r="369" spans="1:9" x14ac:dyDescent="0.2">
      <c r="A369" s="5" t="s">
        <v>465</v>
      </c>
      <c r="B369" s="14">
        <v>1060.5</v>
      </c>
      <c r="C369">
        <v>1020.5</v>
      </c>
      <c r="D369">
        <v>1060.5</v>
      </c>
      <c r="E369">
        <v>1017</v>
      </c>
      <c r="F369">
        <v>1057</v>
      </c>
      <c r="G369">
        <v>1017</v>
      </c>
      <c r="H369">
        <v>1057</v>
      </c>
      <c r="I369">
        <v>1020.5</v>
      </c>
    </row>
    <row r="370" spans="1:9" x14ac:dyDescent="0.2">
      <c r="A370" s="5" t="s">
        <v>466</v>
      </c>
      <c r="B370" s="14">
        <v>1060.5</v>
      </c>
      <c r="C370">
        <v>1024.5</v>
      </c>
      <c r="D370">
        <v>1060.5</v>
      </c>
      <c r="E370">
        <v>1021</v>
      </c>
      <c r="F370">
        <v>1057</v>
      </c>
      <c r="G370">
        <v>1021</v>
      </c>
      <c r="H370">
        <v>1057</v>
      </c>
      <c r="I370">
        <v>1024.5</v>
      </c>
    </row>
    <row r="371" spans="1:9" x14ac:dyDescent="0.2">
      <c r="A371" s="5" t="s">
        <v>467</v>
      </c>
      <c r="B371" s="14">
        <v>1060.5</v>
      </c>
      <c r="C371">
        <v>1028.5</v>
      </c>
      <c r="D371">
        <v>1060.5</v>
      </c>
      <c r="E371">
        <v>1025</v>
      </c>
      <c r="F371">
        <v>1057</v>
      </c>
      <c r="G371">
        <v>1025</v>
      </c>
      <c r="H371">
        <v>1057</v>
      </c>
      <c r="I371">
        <v>1028.5</v>
      </c>
    </row>
    <row r="372" spans="1:9" x14ac:dyDescent="0.2">
      <c r="A372" s="5" t="s">
        <v>468</v>
      </c>
      <c r="B372" s="14">
        <v>1060.5</v>
      </c>
      <c r="C372">
        <v>1032.5</v>
      </c>
      <c r="D372">
        <v>1060.5</v>
      </c>
      <c r="E372">
        <v>1029</v>
      </c>
      <c r="F372">
        <v>1057</v>
      </c>
      <c r="G372">
        <v>1029</v>
      </c>
      <c r="H372">
        <v>1057</v>
      </c>
      <c r="I372">
        <v>1032.5</v>
      </c>
    </row>
    <row r="373" spans="1:9" x14ac:dyDescent="0.2">
      <c r="A373" s="5" t="s">
        <v>469</v>
      </c>
      <c r="B373" s="14">
        <v>1060.5</v>
      </c>
      <c r="C373">
        <v>1038.5</v>
      </c>
      <c r="D373">
        <v>1060.5</v>
      </c>
      <c r="E373">
        <v>1035</v>
      </c>
      <c r="F373">
        <v>1057</v>
      </c>
      <c r="G373">
        <v>1035</v>
      </c>
      <c r="H373">
        <v>1057</v>
      </c>
      <c r="I373">
        <v>1038.5</v>
      </c>
    </row>
    <row r="374" spans="1:9" x14ac:dyDescent="0.2">
      <c r="A374" s="5" t="s">
        <v>470</v>
      </c>
      <c r="B374" s="14">
        <v>1060.5</v>
      </c>
      <c r="C374">
        <v>1042.5</v>
      </c>
      <c r="D374">
        <v>1060.5</v>
      </c>
      <c r="E374">
        <v>1039</v>
      </c>
      <c r="F374">
        <v>1057</v>
      </c>
      <c r="G374">
        <v>1039</v>
      </c>
      <c r="H374">
        <v>1057</v>
      </c>
      <c r="I374">
        <v>1042.5</v>
      </c>
    </row>
    <row r="375" spans="1:9" x14ac:dyDescent="0.2">
      <c r="A375" s="5" t="s">
        <v>471</v>
      </c>
      <c r="B375" s="14">
        <v>1060.5</v>
      </c>
      <c r="C375">
        <v>1046.5</v>
      </c>
      <c r="D375">
        <v>1060.5</v>
      </c>
      <c r="E375">
        <v>1043</v>
      </c>
      <c r="F375">
        <v>1057</v>
      </c>
      <c r="G375">
        <v>1043</v>
      </c>
      <c r="H375">
        <v>1057</v>
      </c>
      <c r="I375">
        <v>1046.5</v>
      </c>
    </row>
    <row r="376" spans="1:9" x14ac:dyDescent="0.2">
      <c r="A376" s="5" t="s">
        <v>472</v>
      </c>
      <c r="B376" s="14">
        <v>1060.5</v>
      </c>
      <c r="C376">
        <v>1050.5</v>
      </c>
      <c r="D376">
        <v>1060.5</v>
      </c>
      <c r="E376">
        <v>1047</v>
      </c>
      <c r="F376">
        <v>1057</v>
      </c>
      <c r="G376">
        <v>1047</v>
      </c>
      <c r="H376">
        <v>1057</v>
      </c>
      <c r="I376">
        <v>1050.5</v>
      </c>
    </row>
    <row r="377" spans="1:9" x14ac:dyDescent="0.2">
      <c r="A377" s="5" t="s">
        <v>473</v>
      </c>
      <c r="B377" s="14">
        <v>1060.5</v>
      </c>
      <c r="C377">
        <v>1054.5</v>
      </c>
      <c r="D377">
        <v>1060.5</v>
      </c>
      <c r="E377">
        <v>1051</v>
      </c>
      <c r="F377">
        <v>1057</v>
      </c>
      <c r="G377">
        <v>1051</v>
      </c>
      <c r="H377">
        <v>1057</v>
      </c>
      <c r="I377">
        <v>1054.5</v>
      </c>
    </row>
    <row r="378" spans="1:9" x14ac:dyDescent="0.2">
      <c r="A378" s="5" t="s">
        <v>474</v>
      </c>
      <c r="B378" s="14">
        <v>1060.5</v>
      </c>
      <c r="C378">
        <v>1060.5</v>
      </c>
      <c r="D378">
        <v>1060.5</v>
      </c>
      <c r="E378">
        <v>1057</v>
      </c>
      <c r="F378">
        <v>1057</v>
      </c>
      <c r="G378">
        <v>1057</v>
      </c>
      <c r="H378">
        <v>1057</v>
      </c>
      <c r="I378">
        <v>1060.5</v>
      </c>
    </row>
    <row r="379" spans="1:9" x14ac:dyDescent="0.2">
      <c r="A379" s="5" t="s">
        <v>475</v>
      </c>
      <c r="B379" s="14">
        <v>1060.5</v>
      </c>
      <c r="C379">
        <v>1064.5</v>
      </c>
      <c r="D379">
        <v>1060.5</v>
      </c>
      <c r="E379">
        <v>1061</v>
      </c>
      <c r="F379">
        <v>1057</v>
      </c>
      <c r="G379">
        <v>1061</v>
      </c>
      <c r="H379">
        <v>1057</v>
      </c>
      <c r="I379">
        <v>1064.5</v>
      </c>
    </row>
    <row r="380" spans="1:9" x14ac:dyDescent="0.2">
      <c r="A380" s="5" t="s">
        <v>476</v>
      </c>
      <c r="B380" s="14">
        <v>1060.5</v>
      </c>
      <c r="C380">
        <v>1068.5</v>
      </c>
      <c r="D380">
        <v>1060.5</v>
      </c>
      <c r="E380">
        <v>1065</v>
      </c>
      <c r="F380">
        <v>1057</v>
      </c>
      <c r="G380">
        <v>1065</v>
      </c>
      <c r="H380">
        <v>1057</v>
      </c>
      <c r="I380">
        <v>1068.5</v>
      </c>
    </row>
    <row r="381" spans="1:9" x14ac:dyDescent="0.2">
      <c r="A381" s="5" t="s">
        <v>477</v>
      </c>
      <c r="B381" s="14">
        <v>1060.5</v>
      </c>
      <c r="C381">
        <v>1072.5</v>
      </c>
      <c r="D381">
        <v>1060.5</v>
      </c>
      <c r="E381">
        <v>1069</v>
      </c>
      <c r="F381">
        <v>1057</v>
      </c>
      <c r="G381">
        <v>1069</v>
      </c>
      <c r="H381">
        <v>1057</v>
      </c>
      <c r="I381">
        <v>1072.5</v>
      </c>
    </row>
    <row r="382" spans="1:9" x14ac:dyDescent="0.2">
      <c r="A382" s="5" t="s">
        <v>478</v>
      </c>
      <c r="B382" s="14">
        <v>1060.5</v>
      </c>
      <c r="C382">
        <v>1076.5</v>
      </c>
      <c r="D382">
        <v>1060.5</v>
      </c>
      <c r="E382">
        <v>1073</v>
      </c>
      <c r="F382">
        <v>1057</v>
      </c>
      <c r="G382">
        <v>1073</v>
      </c>
      <c r="H382">
        <v>1057</v>
      </c>
      <c r="I382">
        <v>1076.5</v>
      </c>
    </row>
    <row r="383" spans="1:9" x14ac:dyDescent="0.2">
      <c r="A383" s="5" t="s">
        <v>479</v>
      </c>
      <c r="B383" s="14">
        <v>1060.5</v>
      </c>
      <c r="C383">
        <v>1082.5</v>
      </c>
      <c r="D383">
        <v>1060.5</v>
      </c>
      <c r="E383">
        <v>1079</v>
      </c>
      <c r="F383">
        <v>1057</v>
      </c>
      <c r="G383">
        <v>1079</v>
      </c>
      <c r="H383">
        <v>1057</v>
      </c>
      <c r="I383">
        <v>1082.5</v>
      </c>
    </row>
    <row r="384" spans="1:9" x14ac:dyDescent="0.2">
      <c r="A384" s="5" t="s">
        <v>480</v>
      </c>
      <c r="B384" s="14">
        <v>1060.5</v>
      </c>
      <c r="C384">
        <v>1086.5</v>
      </c>
      <c r="D384">
        <v>1060.5</v>
      </c>
      <c r="E384">
        <v>1083</v>
      </c>
      <c r="F384">
        <v>1057</v>
      </c>
      <c r="G384">
        <v>1083</v>
      </c>
      <c r="H384">
        <v>1057</v>
      </c>
      <c r="I384">
        <v>1086.5</v>
      </c>
    </row>
    <row r="385" spans="1:9" x14ac:dyDescent="0.2">
      <c r="A385" s="5" t="s">
        <v>481</v>
      </c>
      <c r="B385" s="14">
        <v>1060.5</v>
      </c>
      <c r="C385">
        <v>1090.5</v>
      </c>
      <c r="D385">
        <v>1060.5</v>
      </c>
      <c r="E385">
        <v>1087</v>
      </c>
      <c r="F385">
        <v>1057</v>
      </c>
      <c r="G385">
        <v>1087</v>
      </c>
      <c r="H385">
        <v>1057</v>
      </c>
      <c r="I385">
        <v>1090.5</v>
      </c>
    </row>
    <row r="386" spans="1:9" x14ac:dyDescent="0.2">
      <c r="A386" s="5" t="s">
        <v>482</v>
      </c>
      <c r="B386" s="14">
        <v>1060.5</v>
      </c>
      <c r="C386">
        <v>1094.5</v>
      </c>
      <c r="D386">
        <v>1060.5</v>
      </c>
      <c r="E386">
        <v>1091</v>
      </c>
      <c r="F386">
        <v>1057</v>
      </c>
      <c r="G386">
        <v>1091</v>
      </c>
      <c r="H386">
        <v>1057</v>
      </c>
      <c r="I386">
        <v>1094.5</v>
      </c>
    </row>
    <row r="387" spans="1:9" x14ac:dyDescent="0.2">
      <c r="A387" s="5" t="s">
        <v>483</v>
      </c>
      <c r="B387" s="14">
        <v>1060.5</v>
      </c>
      <c r="C387">
        <v>1098.5</v>
      </c>
      <c r="D387">
        <v>1060.5</v>
      </c>
      <c r="E387">
        <v>1095</v>
      </c>
      <c r="F387">
        <v>1057</v>
      </c>
      <c r="G387">
        <v>1095</v>
      </c>
      <c r="H387">
        <v>1057</v>
      </c>
      <c r="I387">
        <v>1098.5</v>
      </c>
    </row>
    <row r="388" spans="1:9" x14ac:dyDescent="0.2">
      <c r="A388" s="5" t="s">
        <v>484</v>
      </c>
      <c r="B388" s="14">
        <v>1030</v>
      </c>
      <c r="C388">
        <v>1082.5</v>
      </c>
      <c r="D388">
        <v>1030</v>
      </c>
      <c r="E388">
        <v>1079</v>
      </c>
      <c r="F388">
        <v>1026.5</v>
      </c>
      <c r="G388">
        <v>1079</v>
      </c>
      <c r="H388">
        <v>1026.5</v>
      </c>
      <c r="I388">
        <v>1082.5</v>
      </c>
    </row>
    <row r="389" spans="1:9" x14ac:dyDescent="0.2">
      <c r="A389" s="5" t="s">
        <v>485</v>
      </c>
      <c r="B389" s="14">
        <v>1030</v>
      </c>
      <c r="C389">
        <v>1086.5</v>
      </c>
      <c r="D389">
        <v>1030</v>
      </c>
      <c r="E389">
        <v>1083</v>
      </c>
      <c r="F389">
        <v>1026.5</v>
      </c>
      <c r="G389">
        <v>1083</v>
      </c>
      <c r="H389">
        <v>1026.5</v>
      </c>
      <c r="I389">
        <v>1086.5</v>
      </c>
    </row>
    <row r="390" spans="1:9" x14ac:dyDescent="0.2">
      <c r="A390" s="5" t="s">
        <v>486</v>
      </c>
      <c r="B390" s="14">
        <v>1030</v>
      </c>
      <c r="C390">
        <v>1090.5</v>
      </c>
      <c r="D390">
        <v>1030</v>
      </c>
      <c r="E390">
        <v>1087</v>
      </c>
      <c r="F390">
        <v>1026.5</v>
      </c>
      <c r="G390">
        <v>1087</v>
      </c>
      <c r="H390">
        <v>1026.5</v>
      </c>
      <c r="I390">
        <v>1090.5</v>
      </c>
    </row>
    <row r="391" spans="1:9" x14ac:dyDescent="0.2">
      <c r="A391" s="5" t="s">
        <v>487</v>
      </c>
      <c r="B391" s="14">
        <v>1030</v>
      </c>
      <c r="C391">
        <v>1094.5</v>
      </c>
      <c r="D391">
        <v>1030</v>
      </c>
      <c r="E391">
        <v>1091</v>
      </c>
      <c r="F391">
        <v>1026.5</v>
      </c>
      <c r="G391">
        <v>1091</v>
      </c>
      <c r="H391">
        <v>1026.5</v>
      </c>
      <c r="I391">
        <v>1094.5</v>
      </c>
    </row>
    <row r="392" spans="1:9" x14ac:dyDescent="0.2">
      <c r="A392" s="5" t="s">
        <v>488</v>
      </c>
      <c r="B392" s="14">
        <v>1030</v>
      </c>
      <c r="C392">
        <v>1098.5</v>
      </c>
      <c r="D392">
        <v>1030</v>
      </c>
      <c r="E392">
        <v>1095</v>
      </c>
      <c r="F392">
        <v>1026.5</v>
      </c>
      <c r="G392">
        <v>1095</v>
      </c>
      <c r="H392">
        <v>1026.5</v>
      </c>
      <c r="I392">
        <v>1098.5</v>
      </c>
    </row>
    <row r="393" spans="1:9" x14ac:dyDescent="0.2">
      <c r="A393" s="5" t="s">
        <v>489</v>
      </c>
      <c r="B393" s="14">
        <v>1025.5</v>
      </c>
      <c r="C393">
        <v>1082.5</v>
      </c>
      <c r="D393">
        <v>1025.5</v>
      </c>
      <c r="E393">
        <v>1079</v>
      </c>
      <c r="F393">
        <v>1022</v>
      </c>
      <c r="G393">
        <v>1079</v>
      </c>
      <c r="H393">
        <v>1022</v>
      </c>
      <c r="I393">
        <v>1082.5</v>
      </c>
    </row>
    <row r="394" spans="1:9" x14ac:dyDescent="0.2">
      <c r="A394" s="5" t="s">
        <v>490</v>
      </c>
      <c r="B394" s="14">
        <v>1025.5</v>
      </c>
      <c r="C394">
        <v>1086.5</v>
      </c>
      <c r="D394">
        <v>1025.5</v>
      </c>
      <c r="E394">
        <v>1083</v>
      </c>
      <c r="F394">
        <v>1022</v>
      </c>
      <c r="G394">
        <v>1083</v>
      </c>
      <c r="H394">
        <v>1022</v>
      </c>
      <c r="I394">
        <v>1086.5</v>
      </c>
    </row>
    <row r="395" spans="1:9" x14ac:dyDescent="0.2">
      <c r="A395" s="5" t="s">
        <v>491</v>
      </c>
      <c r="B395" s="14">
        <v>1025.5</v>
      </c>
      <c r="C395">
        <v>1090.5</v>
      </c>
      <c r="D395">
        <v>1025.5</v>
      </c>
      <c r="E395">
        <v>1087</v>
      </c>
      <c r="F395">
        <v>1022</v>
      </c>
      <c r="G395">
        <v>1087</v>
      </c>
      <c r="H395">
        <v>1022</v>
      </c>
      <c r="I395">
        <v>1090.5</v>
      </c>
    </row>
    <row r="396" spans="1:9" x14ac:dyDescent="0.2">
      <c r="A396" s="5" t="s">
        <v>492</v>
      </c>
      <c r="B396" s="14">
        <v>1025.5</v>
      </c>
      <c r="C396">
        <v>1094.5</v>
      </c>
      <c r="D396">
        <v>1025.5</v>
      </c>
      <c r="E396">
        <v>1091</v>
      </c>
      <c r="F396">
        <v>1022</v>
      </c>
      <c r="G396">
        <v>1091</v>
      </c>
      <c r="H396">
        <v>1022</v>
      </c>
      <c r="I396">
        <v>1094.5</v>
      </c>
    </row>
    <row r="397" spans="1:9" x14ac:dyDescent="0.2">
      <c r="A397" s="5" t="s">
        <v>493</v>
      </c>
      <c r="B397" s="14">
        <v>1025.5</v>
      </c>
      <c r="C397">
        <v>1098.5</v>
      </c>
      <c r="D397">
        <v>1025.5</v>
      </c>
      <c r="E397">
        <v>1095</v>
      </c>
      <c r="F397">
        <v>1022</v>
      </c>
      <c r="G397">
        <v>1095</v>
      </c>
      <c r="H397">
        <v>1022</v>
      </c>
      <c r="I397">
        <v>1098.5</v>
      </c>
    </row>
    <row r="398" spans="1:9" x14ac:dyDescent="0.2">
      <c r="A398" s="5" t="s">
        <v>494</v>
      </c>
      <c r="B398" s="14">
        <v>1018</v>
      </c>
      <c r="C398">
        <v>1082.5</v>
      </c>
      <c r="D398">
        <v>1018</v>
      </c>
      <c r="E398">
        <v>1079</v>
      </c>
      <c r="F398">
        <v>1014.5</v>
      </c>
      <c r="G398">
        <v>1079</v>
      </c>
      <c r="H398">
        <v>1014.5</v>
      </c>
      <c r="I398">
        <v>1082.5</v>
      </c>
    </row>
    <row r="399" spans="1:9" x14ac:dyDescent="0.2">
      <c r="A399" s="5" t="s">
        <v>495</v>
      </c>
      <c r="B399" s="14">
        <v>1018</v>
      </c>
      <c r="C399">
        <v>1086.5</v>
      </c>
      <c r="D399">
        <v>1018</v>
      </c>
      <c r="E399">
        <v>1083</v>
      </c>
      <c r="F399">
        <v>1014.5</v>
      </c>
      <c r="G399">
        <v>1083</v>
      </c>
      <c r="H399">
        <v>1014.5</v>
      </c>
      <c r="I399">
        <v>1086.5</v>
      </c>
    </row>
    <row r="400" spans="1:9" x14ac:dyDescent="0.2">
      <c r="A400" s="5" t="s">
        <v>496</v>
      </c>
      <c r="B400" s="14">
        <v>1018</v>
      </c>
      <c r="C400">
        <v>1090.5</v>
      </c>
      <c r="D400">
        <v>1018</v>
      </c>
      <c r="E400">
        <v>1087</v>
      </c>
      <c r="F400">
        <v>1014.5</v>
      </c>
      <c r="G400">
        <v>1087</v>
      </c>
      <c r="H400">
        <v>1014.5</v>
      </c>
      <c r="I400">
        <v>1090.5</v>
      </c>
    </row>
    <row r="401" spans="1:9" x14ac:dyDescent="0.2">
      <c r="A401" s="5" t="s">
        <v>497</v>
      </c>
      <c r="B401" s="14">
        <v>1018</v>
      </c>
      <c r="C401">
        <v>1094.5</v>
      </c>
      <c r="D401">
        <v>1018</v>
      </c>
      <c r="E401">
        <v>1091</v>
      </c>
      <c r="F401">
        <v>1014.5</v>
      </c>
      <c r="G401">
        <v>1091</v>
      </c>
      <c r="H401">
        <v>1014.5</v>
      </c>
      <c r="I401">
        <v>1094.5</v>
      </c>
    </row>
    <row r="402" spans="1:9" x14ac:dyDescent="0.2">
      <c r="A402" s="5" t="s">
        <v>498</v>
      </c>
      <c r="B402" s="14">
        <v>1018</v>
      </c>
      <c r="C402">
        <v>1098.5</v>
      </c>
      <c r="D402">
        <v>1018</v>
      </c>
      <c r="E402">
        <v>1095</v>
      </c>
      <c r="F402">
        <v>1014.5</v>
      </c>
      <c r="G402">
        <v>1095</v>
      </c>
      <c r="H402">
        <v>1014.5</v>
      </c>
      <c r="I402">
        <v>1098.5</v>
      </c>
    </row>
    <row r="403" spans="1:9" x14ac:dyDescent="0.2">
      <c r="A403" s="5" t="s">
        <v>499</v>
      </c>
      <c r="B403" s="14">
        <v>1013.5</v>
      </c>
      <c r="C403">
        <v>1082.5</v>
      </c>
      <c r="D403">
        <v>1013.5</v>
      </c>
      <c r="E403">
        <v>1079</v>
      </c>
      <c r="F403">
        <v>1010</v>
      </c>
      <c r="G403">
        <v>1079</v>
      </c>
      <c r="H403">
        <v>1010</v>
      </c>
      <c r="I403">
        <v>1082.5</v>
      </c>
    </row>
    <row r="404" spans="1:9" x14ac:dyDescent="0.2">
      <c r="A404" s="5" t="s">
        <v>500</v>
      </c>
      <c r="B404" s="14">
        <v>1013.5</v>
      </c>
      <c r="C404">
        <v>1086.5</v>
      </c>
      <c r="D404">
        <v>1013.5</v>
      </c>
      <c r="E404">
        <v>1083</v>
      </c>
      <c r="F404">
        <v>1010</v>
      </c>
      <c r="G404">
        <v>1083</v>
      </c>
      <c r="H404">
        <v>1010</v>
      </c>
      <c r="I404">
        <v>1086.5</v>
      </c>
    </row>
    <row r="405" spans="1:9" x14ac:dyDescent="0.2">
      <c r="A405" s="5" t="s">
        <v>501</v>
      </c>
      <c r="B405" s="14">
        <v>1013.5</v>
      </c>
      <c r="C405">
        <v>1090.5</v>
      </c>
      <c r="D405">
        <v>1013.5</v>
      </c>
      <c r="E405">
        <v>1087</v>
      </c>
      <c r="F405">
        <v>1010</v>
      </c>
      <c r="G405">
        <v>1087</v>
      </c>
      <c r="H405">
        <v>1010</v>
      </c>
      <c r="I405">
        <v>1090.5</v>
      </c>
    </row>
    <row r="406" spans="1:9" x14ac:dyDescent="0.2">
      <c r="A406" s="5" t="s">
        <v>502</v>
      </c>
      <c r="B406" s="14">
        <v>1013.5</v>
      </c>
      <c r="C406">
        <v>1094.5</v>
      </c>
      <c r="D406">
        <v>1013.5</v>
      </c>
      <c r="E406">
        <v>1091</v>
      </c>
      <c r="F406">
        <v>1010</v>
      </c>
      <c r="G406">
        <v>1091</v>
      </c>
      <c r="H406">
        <v>1010</v>
      </c>
      <c r="I406">
        <v>1094.5</v>
      </c>
    </row>
    <row r="407" spans="1:9" x14ac:dyDescent="0.2">
      <c r="A407" s="5" t="s">
        <v>503</v>
      </c>
      <c r="B407" s="14">
        <v>1013.5</v>
      </c>
      <c r="C407">
        <v>1098.5</v>
      </c>
      <c r="D407">
        <v>1013.5</v>
      </c>
      <c r="E407">
        <v>1095</v>
      </c>
      <c r="F407">
        <v>1010</v>
      </c>
      <c r="G407">
        <v>1095</v>
      </c>
      <c r="H407">
        <v>1010</v>
      </c>
      <c r="I407">
        <v>1098.5</v>
      </c>
    </row>
  </sheetData>
  <sheetProtection password="C06F" sheet="1" objects="1" scenarios="1"/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93"/>
  <sheetViews>
    <sheetView tabSelected="1" workbookViewId="0">
      <selection activeCell="AM44" sqref="AM44"/>
    </sheetView>
  </sheetViews>
  <sheetFormatPr defaultRowHeight="12.75" x14ac:dyDescent="0.2"/>
  <cols>
    <col min="1" max="1" width="9.140625" style="5" customWidth="1"/>
    <col min="2" max="2" width="0" style="17" hidden="1" customWidth="1"/>
    <col min="3" max="3" width="0" hidden="1" customWidth="1"/>
    <col min="4" max="35" width="3.7109375" hidden="1" customWidth="1"/>
    <col min="36" max="63" width="3.7109375" customWidth="1"/>
  </cols>
  <sheetData>
    <row r="1" spans="1:63" s="10" customFormat="1" ht="39.950000000000003" customHeight="1" thickBot="1" x14ac:dyDescent="0.25">
      <c r="A1" s="10" t="s">
        <v>515</v>
      </c>
      <c r="B1" s="20" t="s">
        <v>514</v>
      </c>
      <c r="C1" s="13" t="s">
        <v>664</v>
      </c>
      <c r="D1" s="16" t="s">
        <v>601</v>
      </c>
      <c r="E1" s="16" t="s">
        <v>602</v>
      </c>
      <c r="F1" s="16" t="s">
        <v>603</v>
      </c>
      <c r="G1" s="16" t="s">
        <v>604</v>
      </c>
      <c r="H1" s="16" t="s">
        <v>605</v>
      </c>
      <c r="I1" s="16" t="s">
        <v>606</v>
      </c>
      <c r="J1" s="16" t="s">
        <v>607</v>
      </c>
      <c r="K1" s="16" t="s">
        <v>608</v>
      </c>
      <c r="L1" s="16" t="s">
        <v>609</v>
      </c>
      <c r="M1" s="16" t="s">
        <v>610</v>
      </c>
      <c r="N1" s="16" t="s">
        <v>611</v>
      </c>
      <c r="O1" s="16" t="s">
        <v>612</v>
      </c>
      <c r="P1" s="16" t="s">
        <v>613</v>
      </c>
      <c r="Q1" s="16" t="s">
        <v>614</v>
      </c>
      <c r="R1" s="16" t="s">
        <v>615</v>
      </c>
      <c r="S1" s="16" t="s">
        <v>616</v>
      </c>
      <c r="T1" s="16" t="s">
        <v>617</v>
      </c>
      <c r="U1" s="16" t="s">
        <v>618</v>
      </c>
      <c r="V1" s="16" t="s">
        <v>619</v>
      </c>
      <c r="W1" s="16" t="s">
        <v>620</v>
      </c>
      <c r="X1" s="16" t="s">
        <v>621</v>
      </c>
      <c r="Y1" s="16" t="s">
        <v>622</v>
      </c>
      <c r="Z1" s="16" t="s">
        <v>623</v>
      </c>
      <c r="AA1" s="16" t="s">
        <v>624</v>
      </c>
      <c r="AB1" s="16" t="s">
        <v>625</v>
      </c>
      <c r="AC1" s="16" t="s">
        <v>626</v>
      </c>
      <c r="AD1" s="16" t="s">
        <v>627</v>
      </c>
      <c r="AE1" s="16" t="s">
        <v>628</v>
      </c>
      <c r="AF1" s="16" t="s">
        <v>629</v>
      </c>
      <c r="AG1" s="16" t="s">
        <v>630</v>
      </c>
      <c r="AH1" s="16" t="s">
        <v>631</v>
      </c>
      <c r="AI1" s="16" t="s">
        <v>632</v>
      </c>
      <c r="AJ1" s="16" t="s">
        <v>633</v>
      </c>
      <c r="AK1" s="16" t="s">
        <v>634</v>
      </c>
      <c r="AL1" s="16" t="s">
        <v>635</v>
      </c>
      <c r="AM1" s="16" t="s">
        <v>636</v>
      </c>
      <c r="AN1" s="16" t="s">
        <v>637</v>
      </c>
      <c r="AO1" s="16" t="s">
        <v>638</v>
      </c>
      <c r="AP1" s="16" t="s">
        <v>639</v>
      </c>
      <c r="AQ1" s="16" t="s">
        <v>640</v>
      </c>
      <c r="AR1" s="16" t="s">
        <v>641</v>
      </c>
      <c r="AS1" s="16" t="s">
        <v>642</v>
      </c>
      <c r="AT1" s="16" t="s">
        <v>643</v>
      </c>
      <c r="AU1" s="16" t="s">
        <v>644</v>
      </c>
      <c r="AV1" s="16" t="s">
        <v>645</v>
      </c>
      <c r="AW1" s="16" t="s">
        <v>646</v>
      </c>
      <c r="AX1" s="16" t="s">
        <v>647</v>
      </c>
      <c r="AY1" s="16" t="s">
        <v>648</v>
      </c>
      <c r="AZ1" s="16" t="s">
        <v>649</v>
      </c>
      <c r="BA1" s="16" t="s">
        <v>650</v>
      </c>
      <c r="BB1" s="16" t="s">
        <v>651</v>
      </c>
      <c r="BC1" s="16" t="s">
        <v>652</v>
      </c>
      <c r="BD1" s="16" t="s">
        <v>653</v>
      </c>
      <c r="BE1" s="16" t="s">
        <v>654</v>
      </c>
      <c r="BF1" s="16" t="s">
        <v>655</v>
      </c>
      <c r="BG1" s="16" t="s">
        <v>660</v>
      </c>
      <c r="BH1" s="16" t="s">
        <v>656</v>
      </c>
      <c r="BI1" s="16" t="s">
        <v>657</v>
      </c>
      <c r="BJ1" s="16" t="s">
        <v>658</v>
      </c>
      <c r="BK1" s="16" t="s">
        <v>659</v>
      </c>
    </row>
    <row r="2" spans="1:63" x14ac:dyDescent="0.2">
      <c r="A2" s="5" t="s">
        <v>7</v>
      </c>
      <c r="B2" s="22" t="s">
        <v>518</v>
      </c>
      <c r="C2" s="14"/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</row>
    <row r="3" spans="1:63" x14ac:dyDescent="0.2">
      <c r="A3" s="5" t="s">
        <v>8</v>
      </c>
      <c r="B3" s="22" t="s">
        <v>519</v>
      </c>
      <c r="C3" s="14"/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2">
      <c r="A4" s="5" t="s">
        <v>9</v>
      </c>
      <c r="B4" s="22" t="s">
        <v>520</v>
      </c>
      <c r="C4" s="14"/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2">
      <c r="A5" s="5" t="s">
        <v>10</v>
      </c>
      <c r="B5" s="22" t="s">
        <v>521</v>
      </c>
      <c r="C5" s="14"/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2">
      <c r="A6" s="5" t="s">
        <v>11</v>
      </c>
      <c r="B6" s="22" t="s">
        <v>522</v>
      </c>
      <c r="C6" s="14"/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2">
      <c r="A7" s="5" t="s">
        <v>12</v>
      </c>
      <c r="B7" s="22" t="s">
        <v>523</v>
      </c>
      <c r="C7" s="14"/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2">
      <c r="A8" s="5" t="s">
        <v>13</v>
      </c>
      <c r="B8" s="22" t="s">
        <v>524</v>
      </c>
      <c r="C8" s="14"/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2">
      <c r="A9" s="5" t="s">
        <v>14</v>
      </c>
      <c r="B9" s="22" t="s">
        <v>525</v>
      </c>
      <c r="C9" s="14"/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2">
      <c r="A10" s="5" t="s">
        <v>15</v>
      </c>
      <c r="B10" s="22" t="s">
        <v>526</v>
      </c>
      <c r="C10" s="14"/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2">
      <c r="A11" s="5" t="s">
        <v>16</v>
      </c>
      <c r="B11" s="22" t="s">
        <v>527</v>
      </c>
      <c r="C11" s="14" t="s">
        <v>661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2">
      <c r="A12" s="5" t="s">
        <v>17</v>
      </c>
      <c r="B12" s="22" t="s">
        <v>528</v>
      </c>
      <c r="C12" s="14"/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x14ac:dyDescent="0.2">
      <c r="A13" s="5" t="s">
        <v>18</v>
      </c>
      <c r="B13" s="22" t="s">
        <v>529</v>
      </c>
      <c r="C13" s="14"/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 x14ac:dyDescent="0.2">
      <c r="A14" s="5" t="s">
        <v>19</v>
      </c>
      <c r="B14" s="22" t="s">
        <v>530</v>
      </c>
      <c r="C14" s="14"/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x14ac:dyDescent="0.2">
      <c r="A15" s="5" t="s">
        <v>20</v>
      </c>
      <c r="B15" s="22" t="s">
        <v>531</v>
      </c>
      <c r="C15" s="14"/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</row>
    <row r="16" spans="1:63" x14ac:dyDescent="0.2">
      <c r="A16" s="5" t="s">
        <v>21</v>
      </c>
      <c r="B16" s="22" t="s">
        <v>532</v>
      </c>
      <c r="C16" s="14"/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2">
      <c r="A17" s="5" t="s">
        <v>22</v>
      </c>
      <c r="B17" s="22" t="s">
        <v>533</v>
      </c>
      <c r="C17" s="14"/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2">
      <c r="A18" s="5" t="s">
        <v>23</v>
      </c>
      <c r="B18" s="22" t="s">
        <v>534</v>
      </c>
      <c r="C18" s="14"/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x14ac:dyDescent="0.2">
      <c r="A19" s="5" t="s">
        <v>24</v>
      </c>
      <c r="B19" s="22" t="s">
        <v>535</v>
      </c>
      <c r="C19" s="14"/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 x14ac:dyDescent="0.2">
      <c r="A20" s="5" t="s">
        <v>25</v>
      </c>
      <c r="B20" s="22" t="s">
        <v>536</v>
      </c>
      <c r="C20" s="14"/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x14ac:dyDescent="0.2">
      <c r="A21" s="5" t="s">
        <v>26</v>
      </c>
      <c r="B21" s="22" t="s">
        <v>537</v>
      </c>
      <c r="C21" s="14"/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0</v>
      </c>
    </row>
    <row r="22" spans="1:63" x14ac:dyDescent="0.2">
      <c r="A22" s="5" t="s">
        <v>27</v>
      </c>
      <c r="B22" s="22" t="s">
        <v>538</v>
      </c>
      <c r="C22" s="14"/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 spans="1:63" x14ac:dyDescent="0.2">
      <c r="A23" s="5" t="s">
        <v>28</v>
      </c>
      <c r="B23" s="22" t="s">
        <v>539</v>
      </c>
      <c r="C23" s="14"/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 x14ac:dyDescent="0.2">
      <c r="A24" s="5" t="s">
        <v>29</v>
      </c>
      <c r="B24" s="22" t="s">
        <v>540</v>
      </c>
      <c r="C24" s="14"/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</row>
    <row r="25" spans="1:63" x14ac:dyDescent="0.2">
      <c r="A25" s="5" t="s">
        <v>30</v>
      </c>
      <c r="B25" s="22" t="s">
        <v>541</v>
      </c>
      <c r="C25" s="14"/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x14ac:dyDescent="0.2">
      <c r="A26" s="5" t="s">
        <v>31</v>
      </c>
      <c r="B26" s="22" t="s">
        <v>539</v>
      </c>
      <c r="C26" s="14"/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</row>
    <row r="27" spans="1:63" x14ac:dyDescent="0.2">
      <c r="A27" s="5" t="s">
        <v>32</v>
      </c>
      <c r="B27" s="22" t="s">
        <v>542</v>
      </c>
      <c r="C27" s="14"/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 x14ac:dyDescent="0.2">
      <c r="A28" s="5" t="s">
        <v>33</v>
      </c>
      <c r="B28" s="22" t="s">
        <v>543</v>
      </c>
      <c r="C28" s="14"/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 x14ac:dyDescent="0.2">
      <c r="A29" s="5" t="s">
        <v>34</v>
      </c>
      <c r="B29" s="22" t="s">
        <v>544</v>
      </c>
      <c r="C29" s="14"/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x14ac:dyDescent="0.2">
      <c r="A30" s="5" t="s">
        <v>35</v>
      </c>
      <c r="B30" s="18" t="s">
        <v>527</v>
      </c>
      <c r="C30" s="14" t="s">
        <v>661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x14ac:dyDescent="0.2">
      <c r="A31" s="5" t="s">
        <v>36</v>
      </c>
      <c r="B31" s="22" t="s">
        <v>545</v>
      </c>
      <c r="C31" s="14"/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2">
      <c r="A32" s="5" t="s">
        <v>37</v>
      </c>
      <c r="B32" s="22" t="s">
        <v>546</v>
      </c>
      <c r="C32" s="14"/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2">
      <c r="A33" s="5" t="s">
        <v>38</v>
      </c>
      <c r="B33" s="22" t="s">
        <v>547</v>
      </c>
      <c r="C33" s="14"/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2">
      <c r="A34" s="5" t="s">
        <v>39</v>
      </c>
      <c r="B34" s="22" t="s">
        <v>598</v>
      </c>
      <c r="C34" s="14" t="s">
        <v>662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 x14ac:dyDescent="0.2">
      <c r="A35" s="5" t="s">
        <v>40</v>
      </c>
      <c r="B35" s="22" t="s">
        <v>548</v>
      </c>
      <c r="C35" s="14"/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 spans="1:63" x14ac:dyDescent="0.2">
      <c r="A36" s="5" t="s">
        <v>41</v>
      </c>
      <c r="B36" s="22" t="s">
        <v>549</v>
      </c>
      <c r="C36" s="14"/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 spans="1:63" x14ac:dyDescent="0.2">
      <c r="A37" s="5" t="s">
        <v>42</v>
      </c>
      <c r="B37" s="22" t="s">
        <v>550</v>
      </c>
      <c r="C37" s="14"/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</row>
    <row r="38" spans="1:63" x14ac:dyDescent="0.2">
      <c r="A38" s="5" t="s">
        <v>43</v>
      </c>
      <c r="B38" s="22" t="s">
        <v>551</v>
      </c>
      <c r="C38" s="14"/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 x14ac:dyDescent="0.2">
      <c r="A39" s="5" t="s">
        <v>44</v>
      </c>
      <c r="B39" s="22" t="s">
        <v>552</v>
      </c>
      <c r="C39" s="14"/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 x14ac:dyDescent="0.2">
      <c r="A40" s="5" t="s">
        <v>45</v>
      </c>
      <c r="B40" s="22" t="s">
        <v>553</v>
      </c>
      <c r="C40" s="14"/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</row>
    <row r="41" spans="1:63" x14ac:dyDescent="0.2">
      <c r="A41" s="5" t="s">
        <v>46</v>
      </c>
      <c r="B41" s="22" t="s">
        <v>554</v>
      </c>
      <c r="C41" s="14"/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</row>
    <row r="42" spans="1:63" x14ac:dyDescent="0.2">
      <c r="A42" s="5" t="s">
        <v>47</v>
      </c>
      <c r="B42" s="22" t="s">
        <v>555</v>
      </c>
      <c r="C42" s="14"/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 x14ac:dyDescent="0.2">
      <c r="A43" s="5" t="s">
        <v>48</v>
      </c>
      <c r="B43" s="22" t="s">
        <v>556</v>
      </c>
      <c r="C43" s="14"/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x14ac:dyDescent="0.2">
      <c r="A44" s="5" t="s">
        <v>49</v>
      </c>
      <c r="B44" s="22" t="s">
        <v>557</v>
      </c>
      <c r="C44" s="14"/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 spans="1:63" x14ac:dyDescent="0.2">
      <c r="A45" s="5" t="s">
        <v>50</v>
      </c>
      <c r="B45" s="22" t="s">
        <v>558</v>
      </c>
      <c r="C45" s="14"/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1</v>
      </c>
    </row>
    <row r="46" spans="1:63" x14ac:dyDescent="0.2">
      <c r="A46" s="5" t="s">
        <v>51</v>
      </c>
      <c r="B46" s="22" t="s">
        <v>600</v>
      </c>
      <c r="C46" s="14" t="s">
        <v>669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 spans="1:63" x14ac:dyDescent="0.2">
      <c r="A47" s="5" t="s">
        <v>52</v>
      </c>
      <c r="B47" s="22" t="s">
        <v>559</v>
      </c>
      <c r="C47" s="14"/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x14ac:dyDescent="0.2">
      <c r="A48" s="5" t="s">
        <v>53</v>
      </c>
      <c r="B48" s="22" t="s">
        <v>560</v>
      </c>
      <c r="C48" s="14"/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 x14ac:dyDescent="0.2">
      <c r="A49" s="5" t="s">
        <v>54</v>
      </c>
      <c r="B49" s="22" t="s">
        <v>561</v>
      </c>
      <c r="C49" s="14"/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</row>
    <row r="50" spans="1:63" x14ac:dyDescent="0.2">
      <c r="A50" s="5" t="s">
        <v>55</v>
      </c>
      <c r="B50" s="22" t="s">
        <v>562</v>
      </c>
      <c r="C50" s="14"/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 x14ac:dyDescent="0.2">
      <c r="A51" s="5" t="s">
        <v>56</v>
      </c>
      <c r="B51" s="22" t="s">
        <v>563</v>
      </c>
      <c r="C51" s="14"/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</row>
    <row r="52" spans="1:63" x14ac:dyDescent="0.2">
      <c r="A52" s="5" t="s">
        <v>57</v>
      </c>
      <c r="B52" s="22" t="s">
        <v>564</v>
      </c>
      <c r="C52" s="14"/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 spans="1:63" x14ac:dyDescent="0.2">
      <c r="A53" s="5" t="s">
        <v>58</v>
      </c>
      <c r="B53" s="22" t="s">
        <v>565</v>
      </c>
      <c r="C53" s="14"/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x14ac:dyDescent="0.2">
      <c r="A54" s="5" t="s">
        <v>59</v>
      </c>
      <c r="B54" s="22" t="s">
        <v>566</v>
      </c>
      <c r="C54" s="14"/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 x14ac:dyDescent="0.2">
      <c r="A55" s="5" t="s">
        <v>60</v>
      </c>
      <c r="B55" s="22" t="s">
        <v>567</v>
      </c>
      <c r="C55" s="14"/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 x14ac:dyDescent="0.2">
      <c r="A56" s="5" t="s">
        <v>61</v>
      </c>
      <c r="B56" s="22" t="s">
        <v>527</v>
      </c>
      <c r="C56" s="14" t="s">
        <v>661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 x14ac:dyDescent="0.2">
      <c r="A57" s="5" t="s">
        <v>62</v>
      </c>
      <c r="B57" s="22" t="s">
        <v>568</v>
      </c>
      <c r="C57" s="14"/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x14ac:dyDescent="0.2">
      <c r="A58" s="5" t="s">
        <v>63</v>
      </c>
      <c r="B58" s="22" t="s">
        <v>569</v>
      </c>
      <c r="C58" s="14"/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 x14ac:dyDescent="0.2">
      <c r="A59" s="5" t="s">
        <v>64</v>
      </c>
      <c r="B59" s="22" t="s">
        <v>570</v>
      </c>
      <c r="C59" s="14"/>
      <c r="D59">
        <v>1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 spans="1:63" x14ac:dyDescent="0.2">
      <c r="A60" s="5" t="s">
        <v>65</v>
      </c>
      <c r="B60" s="22" t="s">
        <v>539</v>
      </c>
      <c r="C60" s="14"/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 x14ac:dyDescent="0.2">
      <c r="A61" s="5" t="s">
        <v>66</v>
      </c>
      <c r="B61" s="22" t="s">
        <v>599</v>
      </c>
      <c r="C61" s="14" t="s">
        <v>663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 spans="1:63" x14ac:dyDescent="0.2">
      <c r="A62" s="5" t="s">
        <v>67</v>
      </c>
      <c r="B62" s="22" t="s">
        <v>571</v>
      </c>
      <c r="C62" s="14"/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0</v>
      </c>
      <c r="BD62">
        <v>1</v>
      </c>
      <c r="BE62">
        <v>1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</row>
    <row r="63" spans="1:63" x14ac:dyDescent="0.2">
      <c r="A63" s="5" t="s">
        <v>68</v>
      </c>
      <c r="B63" s="22" t="s">
        <v>572</v>
      </c>
      <c r="C63" s="14"/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 spans="1:63" x14ac:dyDescent="0.2">
      <c r="A64" s="5" t="s">
        <v>69</v>
      </c>
      <c r="B64" s="18" t="s">
        <v>600</v>
      </c>
      <c r="C64" s="14" t="s">
        <v>669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 spans="1:63" x14ac:dyDescent="0.2">
      <c r="A65" s="5" t="s">
        <v>70</v>
      </c>
      <c r="B65" s="22" t="s">
        <v>573</v>
      </c>
      <c r="C65" s="14"/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 x14ac:dyDescent="0.2">
      <c r="A66" s="5" t="s">
        <v>71</v>
      </c>
      <c r="B66" s="22" t="s">
        <v>574</v>
      </c>
      <c r="C66" s="14"/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</row>
    <row r="67" spans="1:63" x14ac:dyDescent="0.2">
      <c r="A67" s="5" t="s">
        <v>72</v>
      </c>
      <c r="B67" s="22" t="s">
        <v>575</v>
      </c>
      <c r="C67" s="14"/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</row>
    <row r="68" spans="1:63" x14ac:dyDescent="0.2">
      <c r="A68" s="5" t="s">
        <v>73</v>
      </c>
      <c r="B68" s="22" t="s">
        <v>576</v>
      </c>
      <c r="C68" s="14"/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</row>
    <row r="69" spans="1:63" x14ac:dyDescent="0.2">
      <c r="A69" s="5" t="s">
        <v>74</v>
      </c>
      <c r="B69" s="22" t="s">
        <v>577</v>
      </c>
      <c r="C69" s="14"/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</row>
    <row r="70" spans="1:63" x14ac:dyDescent="0.2">
      <c r="A70" s="5" t="s">
        <v>75</v>
      </c>
      <c r="B70" s="22" t="s">
        <v>578</v>
      </c>
      <c r="C70" s="14"/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1</v>
      </c>
    </row>
    <row r="71" spans="1:63" x14ac:dyDescent="0.2">
      <c r="A71" s="5" t="s">
        <v>76</v>
      </c>
      <c r="B71" s="22" t="s">
        <v>539</v>
      </c>
      <c r="C71" s="14"/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</row>
    <row r="72" spans="1:63" x14ac:dyDescent="0.2">
      <c r="A72" s="5" t="s">
        <v>77</v>
      </c>
      <c r="B72" s="22" t="s">
        <v>579</v>
      </c>
      <c r="C72" s="14"/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1</v>
      </c>
      <c r="AR72">
        <v>1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 spans="1:63" x14ac:dyDescent="0.2">
      <c r="A73" s="5" t="s">
        <v>78</v>
      </c>
      <c r="B73" s="22" t="s">
        <v>580</v>
      </c>
      <c r="C73" s="14"/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 x14ac:dyDescent="0.2">
      <c r="A74" s="5" t="s">
        <v>79</v>
      </c>
      <c r="B74" s="22" t="s">
        <v>581</v>
      </c>
      <c r="C74" s="14"/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 spans="1:63" x14ac:dyDescent="0.2">
      <c r="A75" s="5" t="s">
        <v>80</v>
      </c>
      <c r="B75" s="22" t="s">
        <v>527</v>
      </c>
      <c r="C75" s="14" t="s">
        <v>661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 x14ac:dyDescent="0.2">
      <c r="A76" s="5" t="s">
        <v>81</v>
      </c>
      <c r="B76" s="22" t="s">
        <v>582</v>
      </c>
      <c r="C76" s="14"/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 x14ac:dyDescent="0.2">
      <c r="A77" s="5" t="s">
        <v>82</v>
      </c>
      <c r="B77" s="22" t="s">
        <v>583</v>
      </c>
      <c r="C77" s="14"/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</row>
    <row r="78" spans="1:63" x14ac:dyDescent="0.2">
      <c r="A78" s="5" t="s">
        <v>83</v>
      </c>
      <c r="B78" s="22" t="s">
        <v>584</v>
      </c>
      <c r="C78" s="14"/>
      <c r="D78">
        <v>0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 x14ac:dyDescent="0.2">
      <c r="A79" s="5" t="s">
        <v>84</v>
      </c>
      <c r="B79" s="22" t="s">
        <v>585</v>
      </c>
      <c r="C79" s="14"/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</row>
    <row r="80" spans="1:63" x14ac:dyDescent="0.2">
      <c r="A80" s="5" t="s">
        <v>85</v>
      </c>
      <c r="B80" s="22" t="s">
        <v>586</v>
      </c>
      <c r="C80" s="14"/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 x14ac:dyDescent="0.2">
      <c r="A81" s="5" t="s">
        <v>86</v>
      </c>
      <c r="B81" s="22" t="s">
        <v>587</v>
      </c>
      <c r="C81" s="14"/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 x14ac:dyDescent="0.2">
      <c r="A82" s="5" t="s">
        <v>87</v>
      </c>
      <c r="B82" s="22" t="s">
        <v>588</v>
      </c>
      <c r="C82" s="14"/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 x14ac:dyDescent="0.2">
      <c r="A83" s="5" t="s">
        <v>88</v>
      </c>
      <c r="B83" s="22" t="s">
        <v>589</v>
      </c>
      <c r="C83" s="14"/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x14ac:dyDescent="0.2">
      <c r="A84" s="5" t="s">
        <v>89</v>
      </c>
      <c r="B84" s="22" t="s">
        <v>590</v>
      </c>
      <c r="C84" s="14"/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 x14ac:dyDescent="0.2">
      <c r="A85" s="5" t="s">
        <v>90</v>
      </c>
      <c r="B85" s="22" t="s">
        <v>591</v>
      </c>
      <c r="C85" s="14"/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x14ac:dyDescent="0.2">
      <c r="A86" s="5" t="s">
        <v>91</v>
      </c>
      <c r="B86" s="22" t="s">
        <v>592</v>
      </c>
      <c r="C86" s="14"/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</row>
    <row r="87" spans="1:63" x14ac:dyDescent="0.2">
      <c r="A87" s="5" t="s">
        <v>92</v>
      </c>
      <c r="B87" s="22" t="s">
        <v>593</v>
      </c>
      <c r="C87" s="14"/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x14ac:dyDescent="0.2">
      <c r="A88" s="5" t="s">
        <v>93</v>
      </c>
      <c r="B88" s="22" t="s">
        <v>594</v>
      </c>
      <c r="C88" s="14"/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</row>
    <row r="89" spans="1:63" x14ac:dyDescent="0.2">
      <c r="A89" s="5" t="s">
        <v>94</v>
      </c>
      <c r="B89" s="22" t="s">
        <v>598</v>
      </c>
      <c r="C89" s="14" t="s">
        <v>662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 x14ac:dyDescent="0.2">
      <c r="A90" s="5" t="s">
        <v>95</v>
      </c>
      <c r="B90" s="22" t="s">
        <v>595</v>
      </c>
      <c r="C90" s="14"/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</row>
    <row r="91" spans="1:63" x14ac:dyDescent="0.2">
      <c r="A91" s="5" t="s">
        <v>96</v>
      </c>
      <c r="B91" s="22" t="s">
        <v>596</v>
      </c>
      <c r="C91" s="14"/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 x14ac:dyDescent="0.2">
      <c r="A92" s="5" t="s">
        <v>97</v>
      </c>
      <c r="B92" s="22" t="s">
        <v>597</v>
      </c>
      <c r="C92" s="14"/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 x14ac:dyDescent="0.2">
      <c r="A93" s="5" t="s">
        <v>98</v>
      </c>
      <c r="B93" s="19" t="s">
        <v>599</v>
      </c>
      <c r="C93" s="14" t="s">
        <v>663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</sheetData>
  <sheetProtection password="C06F" sheet="1" objects="1" scenarios="1"/>
  <dataConsolidate/>
  <phoneticPr fontId="4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406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T12" sqref="T12"/>
    </sheetView>
  </sheetViews>
  <sheetFormatPr defaultRowHeight="12.75" x14ac:dyDescent="0.2"/>
  <cols>
    <col min="1" max="1" width="9.140625" style="5" customWidth="1"/>
    <col min="2" max="2" width="9.140625" style="17" customWidth="1"/>
    <col min="3" max="62" width="2.7109375" customWidth="1"/>
  </cols>
  <sheetData>
    <row r="1" spans="1:62" s="10" customFormat="1" ht="39.950000000000003" customHeight="1" thickBot="1" x14ac:dyDescent="0.25">
      <c r="A1" s="21" t="s">
        <v>515</v>
      </c>
      <c r="B1" s="20" t="s">
        <v>514</v>
      </c>
      <c r="C1" s="16" t="s">
        <v>601</v>
      </c>
      <c r="D1" s="16" t="s">
        <v>602</v>
      </c>
      <c r="E1" s="16" t="s">
        <v>603</v>
      </c>
      <c r="F1" s="16" t="s">
        <v>604</v>
      </c>
      <c r="G1" s="16" t="s">
        <v>605</v>
      </c>
      <c r="H1" s="16" t="s">
        <v>606</v>
      </c>
      <c r="I1" s="16" t="s">
        <v>607</v>
      </c>
      <c r="J1" s="16" t="s">
        <v>608</v>
      </c>
      <c r="K1" s="16" t="s">
        <v>609</v>
      </c>
      <c r="L1" s="16" t="s">
        <v>610</v>
      </c>
      <c r="M1" s="16" t="s">
        <v>611</v>
      </c>
      <c r="N1" s="16" t="s">
        <v>612</v>
      </c>
      <c r="O1" s="16" t="s">
        <v>613</v>
      </c>
      <c r="P1" s="16" t="s">
        <v>614</v>
      </c>
      <c r="Q1" s="16" t="s">
        <v>615</v>
      </c>
      <c r="R1" s="16" t="s">
        <v>616</v>
      </c>
      <c r="S1" s="16" t="s">
        <v>617</v>
      </c>
      <c r="T1" s="16" t="s">
        <v>618</v>
      </c>
      <c r="U1" s="16" t="s">
        <v>619</v>
      </c>
      <c r="V1" s="16" t="s">
        <v>620</v>
      </c>
      <c r="W1" s="16" t="s">
        <v>621</v>
      </c>
      <c r="X1" s="16" t="s">
        <v>622</v>
      </c>
      <c r="Y1" s="16" t="s">
        <v>623</v>
      </c>
      <c r="Z1" s="16" t="s">
        <v>624</v>
      </c>
      <c r="AA1" s="16" t="s">
        <v>625</v>
      </c>
      <c r="AB1" s="16" t="s">
        <v>626</v>
      </c>
      <c r="AC1" s="16" t="s">
        <v>627</v>
      </c>
      <c r="AD1" s="16" t="s">
        <v>628</v>
      </c>
      <c r="AE1" s="16" t="s">
        <v>629</v>
      </c>
      <c r="AF1" s="16" t="s">
        <v>630</v>
      </c>
      <c r="AG1" s="16" t="s">
        <v>631</v>
      </c>
      <c r="AH1" s="16" t="s">
        <v>632</v>
      </c>
      <c r="AI1" s="16" t="s">
        <v>633</v>
      </c>
      <c r="AJ1" s="16" t="s">
        <v>634</v>
      </c>
      <c r="AK1" s="16" t="s">
        <v>635</v>
      </c>
      <c r="AL1" s="16" t="s">
        <v>636</v>
      </c>
      <c r="AM1" s="16" t="s">
        <v>637</v>
      </c>
      <c r="AN1" s="16" t="s">
        <v>638</v>
      </c>
      <c r="AO1" s="16" t="s">
        <v>639</v>
      </c>
      <c r="AP1" s="16" t="s">
        <v>640</v>
      </c>
      <c r="AQ1" s="16" t="s">
        <v>641</v>
      </c>
      <c r="AR1" s="16" t="s">
        <v>642</v>
      </c>
      <c r="AS1" s="16" t="s">
        <v>643</v>
      </c>
      <c r="AT1" s="16" t="s">
        <v>644</v>
      </c>
      <c r="AU1" s="16" t="s">
        <v>645</v>
      </c>
      <c r="AV1" s="16" t="s">
        <v>646</v>
      </c>
      <c r="AW1" s="16" t="s">
        <v>647</v>
      </c>
      <c r="AX1" s="16" t="s">
        <v>648</v>
      </c>
      <c r="AY1" s="16" t="s">
        <v>649</v>
      </c>
      <c r="AZ1" s="16" t="s">
        <v>650</v>
      </c>
      <c r="BA1" s="16" t="s">
        <v>651</v>
      </c>
      <c r="BB1" s="16" t="s">
        <v>652</v>
      </c>
      <c r="BC1" s="16" t="s">
        <v>653</v>
      </c>
      <c r="BD1" s="16" t="s">
        <v>654</v>
      </c>
      <c r="BE1" s="16" t="s">
        <v>655</v>
      </c>
      <c r="BF1" s="16" t="s">
        <v>660</v>
      </c>
      <c r="BG1" s="16" t="s">
        <v>656</v>
      </c>
      <c r="BH1" s="16" t="s">
        <v>657</v>
      </c>
      <c r="BI1" s="16" t="s">
        <v>658</v>
      </c>
      <c r="BJ1" s="16" t="s">
        <v>659</v>
      </c>
    </row>
    <row r="2" spans="1:62" x14ac:dyDescent="0.2">
      <c r="A2" s="5" t="s">
        <v>99</v>
      </c>
      <c r="B2" s="22" t="s">
        <v>555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 s="5" t="s">
        <v>100</v>
      </c>
      <c r="B3" s="22" t="s">
        <v>589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 s="5" t="s">
        <v>101</v>
      </c>
      <c r="B4" s="22" t="s">
        <v>683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</row>
    <row r="5" spans="1:62" x14ac:dyDescent="0.2">
      <c r="A5" s="5" t="s">
        <v>102</v>
      </c>
      <c r="B5" s="22" t="s">
        <v>770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</row>
    <row r="6" spans="1:62" x14ac:dyDescent="0.2">
      <c r="A6" s="5" t="s">
        <v>103</v>
      </c>
      <c r="B6" s="22" t="s">
        <v>720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 s="5" t="s">
        <v>104</v>
      </c>
      <c r="B7" s="22" t="s">
        <v>801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 s="5" t="s">
        <v>105</v>
      </c>
      <c r="B8" s="22" t="s">
        <v>767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 x14ac:dyDescent="0.2">
      <c r="A9" s="5" t="s">
        <v>106</v>
      </c>
      <c r="B9" s="22" t="s">
        <v>782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 x14ac:dyDescent="0.2">
      <c r="A10" s="5" t="s">
        <v>107</v>
      </c>
      <c r="B10" s="22" t="s">
        <v>739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 s="5" t="s">
        <v>108</v>
      </c>
      <c r="B11" s="22" t="s">
        <v>680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</row>
    <row r="12" spans="1:62" x14ac:dyDescent="0.2">
      <c r="A12" s="5" t="s">
        <v>109</v>
      </c>
      <c r="B12" s="22" t="s">
        <v>684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</row>
    <row r="13" spans="1:62" x14ac:dyDescent="0.2">
      <c r="A13" s="5" t="s">
        <v>110</v>
      </c>
      <c r="B13" s="22" t="s">
        <v>752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 s="5" t="s">
        <v>111</v>
      </c>
      <c r="B14" s="22" t="s">
        <v>547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 s="5" t="s">
        <v>112</v>
      </c>
      <c r="B15" s="22" t="s">
        <v>573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 s="5" t="s">
        <v>113</v>
      </c>
      <c r="B16" s="22" t="s">
        <v>537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1</v>
      </c>
      <c r="BJ16">
        <v>0</v>
      </c>
    </row>
    <row r="17" spans="1:62" x14ac:dyDescent="0.2">
      <c r="A17" s="5" t="s">
        <v>114</v>
      </c>
      <c r="B17" s="22" t="s">
        <v>754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</row>
    <row r="18" spans="1:62" x14ac:dyDescent="0.2">
      <c r="A18" s="5" t="s">
        <v>115</v>
      </c>
      <c r="B18" s="22" t="s">
        <v>786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 s="5" t="s">
        <v>116</v>
      </c>
      <c r="B19" s="22" t="s">
        <v>548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 s="5" t="s">
        <v>117</v>
      </c>
      <c r="B20" s="22" t="s">
        <v>768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 s="5" t="s">
        <v>118</v>
      </c>
      <c r="B21" s="22" t="s">
        <v>700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 s="5" t="s">
        <v>119</v>
      </c>
      <c r="B22" s="22" t="s">
        <v>799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</row>
    <row r="23" spans="1:62" x14ac:dyDescent="0.2">
      <c r="A23" s="5" t="s">
        <v>120</v>
      </c>
      <c r="B23" s="22" t="s">
        <v>716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 s="5" t="s">
        <v>121</v>
      </c>
      <c r="B24" s="22" t="s">
        <v>763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</row>
    <row r="25" spans="1:62" x14ac:dyDescent="0.2">
      <c r="A25" s="5" t="s">
        <v>122</v>
      </c>
      <c r="B25" s="22" t="s">
        <v>776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</row>
    <row r="26" spans="1:62" x14ac:dyDescent="0.2">
      <c r="A26" s="5" t="s">
        <v>123</v>
      </c>
      <c r="B26" s="22" t="s">
        <v>729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</row>
    <row r="27" spans="1:62" x14ac:dyDescent="0.2">
      <c r="A27" s="5" t="s">
        <v>124</v>
      </c>
      <c r="B27" s="22" t="s">
        <v>758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</row>
    <row r="28" spans="1:62" x14ac:dyDescent="0.2">
      <c r="A28" s="5" t="s">
        <v>125</v>
      </c>
      <c r="B28" s="22" t="s">
        <v>538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 s="5" t="s">
        <v>126</v>
      </c>
      <c r="B29" s="22" t="s">
        <v>741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 s="5" t="s">
        <v>127</v>
      </c>
      <c r="B30" s="22" t="s">
        <v>591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 s="5" t="s">
        <v>128</v>
      </c>
      <c r="B31" s="22" t="s">
        <v>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 s="5" t="s">
        <v>129</v>
      </c>
      <c r="B32" s="22" t="s">
        <v>677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0</v>
      </c>
    </row>
    <row r="33" spans="1:62" x14ac:dyDescent="0.2">
      <c r="A33" s="5" t="s">
        <v>130</v>
      </c>
      <c r="B33" s="22" t="s">
        <v>697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 s="5" t="s">
        <v>131</v>
      </c>
      <c r="B34" s="22" t="s">
        <v>726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 s="5" t="s">
        <v>132</v>
      </c>
      <c r="B35" s="22" t="s">
        <v>788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</row>
    <row r="36" spans="1:62" x14ac:dyDescent="0.2">
      <c r="A36" s="5" t="s">
        <v>133</v>
      </c>
      <c r="B36" s="22" t="s">
        <v>790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</row>
    <row r="37" spans="1:62" x14ac:dyDescent="0.2">
      <c r="A37" s="5" t="s">
        <v>134</v>
      </c>
      <c r="B37" s="22" t="s">
        <v>712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 s="5" t="s">
        <v>135</v>
      </c>
      <c r="B38" s="22" t="s">
        <v>542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 s="5" t="s">
        <v>136</v>
      </c>
      <c r="B39" s="22" t="s">
        <v>588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 s="5" t="s">
        <v>137</v>
      </c>
      <c r="B40" s="22" t="s">
        <v>755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</row>
    <row r="41" spans="1:62" x14ac:dyDescent="0.2">
      <c r="A41" s="5" t="s">
        <v>138</v>
      </c>
      <c r="B41" s="22" t="s">
        <v>527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 s="5" t="s">
        <v>139</v>
      </c>
      <c r="B42" s="22" t="s">
        <v>773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</row>
    <row r="43" spans="1:62" x14ac:dyDescent="0.2">
      <c r="A43" s="5" t="s">
        <v>140</v>
      </c>
      <c r="B43" s="22" t="s">
        <v>592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 s="5" t="s">
        <v>141</v>
      </c>
      <c r="B44" s="22" t="s">
        <v>686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0</v>
      </c>
    </row>
    <row r="45" spans="1:62" x14ac:dyDescent="0.2">
      <c r="A45" s="5" t="s">
        <v>142</v>
      </c>
      <c r="B45" s="22" t="s">
        <v>722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 s="5" t="s">
        <v>143</v>
      </c>
      <c r="B46" s="22" t="s">
        <v>549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 s="5" t="s">
        <v>144</v>
      </c>
      <c r="B47" s="22" t="s">
        <v>521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 s="5" t="s">
        <v>145</v>
      </c>
      <c r="B48" s="22" t="s">
        <v>518</v>
      </c>
      <c r="C48">
        <v>0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</row>
    <row r="49" spans="1:62" x14ac:dyDescent="0.2">
      <c r="A49" s="5" t="s">
        <v>146</v>
      </c>
      <c r="B49" s="22" t="s">
        <v>585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</row>
    <row r="50" spans="1:62" x14ac:dyDescent="0.2">
      <c r="A50" s="5" t="s">
        <v>147</v>
      </c>
      <c r="B50" s="22" t="s">
        <v>735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 s="5" t="s">
        <v>148</v>
      </c>
      <c r="B51" s="22" t="s">
        <v>682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</row>
    <row r="52" spans="1:62" x14ac:dyDescent="0.2">
      <c r="A52" s="5" t="s">
        <v>149</v>
      </c>
      <c r="B52" s="22" t="s">
        <v>598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 s="5" t="s">
        <v>150</v>
      </c>
      <c r="B53" s="22" t="s">
        <v>760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</row>
    <row r="54" spans="1:62" x14ac:dyDescent="0.2">
      <c r="A54" s="5" t="s">
        <v>151</v>
      </c>
      <c r="B54" s="22" t="s">
        <v>570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 s="5" t="s">
        <v>152</v>
      </c>
      <c r="B55" s="22" t="s">
        <v>789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</row>
    <row r="56" spans="1:62" x14ac:dyDescent="0.2">
      <c r="A56" s="5" t="s">
        <v>153</v>
      </c>
      <c r="B56" s="22" t="s">
        <v>694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 s="5" t="s">
        <v>154</v>
      </c>
      <c r="B57" s="22" t="s">
        <v>553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 x14ac:dyDescent="0.2">
      <c r="A58" s="5" t="s">
        <v>155</v>
      </c>
      <c r="B58" s="22" t="s">
        <v>721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 s="5" t="s">
        <v>156</v>
      </c>
      <c r="B59" s="22" t="s">
        <v>708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 s="5" t="s">
        <v>157</v>
      </c>
      <c r="B60" s="22" t="s">
        <v>572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 s="5" t="s">
        <v>158</v>
      </c>
      <c r="B61" s="22" t="s">
        <v>753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</row>
    <row r="62" spans="1:62" x14ac:dyDescent="0.2">
      <c r="A62" s="5" t="s">
        <v>159</v>
      </c>
      <c r="B62" s="22" t="s">
        <v>759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</row>
    <row r="63" spans="1:62" x14ac:dyDescent="0.2">
      <c r="A63" s="5" t="s">
        <v>160</v>
      </c>
      <c r="B63" s="22" t="s">
        <v>728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</row>
    <row r="64" spans="1:62" x14ac:dyDescent="0.2">
      <c r="A64" s="5" t="s">
        <v>161</v>
      </c>
      <c r="B64" s="22" t="s">
        <v>704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 s="5" t="s">
        <v>162</v>
      </c>
      <c r="B65" s="22" t="s">
        <v>802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 s="5" t="s">
        <v>163</v>
      </c>
      <c r="B66" s="22" t="s">
        <v>740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 s="5" t="s">
        <v>164</v>
      </c>
      <c r="B67" s="22" t="s">
        <v>772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</row>
    <row r="68" spans="1:62" x14ac:dyDescent="0.2">
      <c r="A68" s="5" t="s">
        <v>165</v>
      </c>
      <c r="B68" s="22" t="s">
        <v>674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 s="5" t="s">
        <v>166</v>
      </c>
      <c r="B69" s="22" t="s">
        <v>703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 s="5" t="s">
        <v>167</v>
      </c>
      <c r="B70" s="22" t="s">
        <v>677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</row>
    <row r="71" spans="1:62" x14ac:dyDescent="0.2">
      <c r="A71" s="5" t="s">
        <v>168</v>
      </c>
      <c r="B71" s="22" t="s">
        <v>791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</row>
    <row r="72" spans="1:62" x14ac:dyDescent="0.2">
      <c r="A72" s="5" t="s">
        <v>169</v>
      </c>
      <c r="B72" s="22" t="s">
        <v>737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 s="5" t="s">
        <v>170</v>
      </c>
      <c r="B73" s="22" t="s">
        <v>732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 s="5" t="s">
        <v>171</v>
      </c>
      <c r="B74" s="22" t="s">
        <v>723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 s="5" t="s">
        <v>172</v>
      </c>
      <c r="B75" s="22" t="s">
        <v>785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 s="5" t="s">
        <v>173</v>
      </c>
      <c r="B76" s="22" t="s">
        <v>706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 s="5" t="s">
        <v>174</v>
      </c>
      <c r="B77" s="22" t="s">
        <v>719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 s="5" t="s">
        <v>175</v>
      </c>
      <c r="B78" s="22" t="s">
        <v>593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 s="5" t="s">
        <v>176</v>
      </c>
      <c r="B79" s="22" t="s">
        <v>783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 s="5" t="s">
        <v>177</v>
      </c>
      <c r="B80" s="22" t="s">
        <v>774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</row>
    <row r="81" spans="1:62" x14ac:dyDescent="0.2">
      <c r="A81" s="5" t="s">
        <v>178</v>
      </c>
      <c r="B81" s="22" t="s">
        <v>569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 s="5" t="s">
        <v>179</v>
      </c>
      <c r="B82" s="22" t="s">
        <v>599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 s="5" t="s">
        <v>180</v>
      </c>
      <c r="B83" s="22" t="s">
        <v>803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 s="5" t="s">
        <v>181</v>
      </c>
      <c r="B84" s="22" t="s">
        <v>687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 x14ac:dyDescent="0.2">
      <c r="A85" s="5" t="s">
        <v>182</v>
      </c>
      <c r="B85" s="22" t="s">
        <v>800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0</v>
      </c>
    </row>
    <row r="86" spans="1:62" x14ac:dyDescent="0.2">
      <c r="A86" s="5" t="s">
        <v>183</v>
      </c>
      <c r="B86" s="22" t="s">
        <v>528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 s="5" t="s">
        <v>184</v>
      </c>
      <c r="B87" s="22" t="s">
        <v>692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 s="5" t="s">
        <v>185</v>
      </c>
      <c r="B88" s="22" t="s">
        <v>764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</row>
    <row r="89" spans="1:62" x14ac:dyDescent="0.2">
      <c r="A89" s="5" t="s">
        <v>186</v>
      </c>
      <c r="B89" s="22" t="s">
        <v>711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 s="5" t="s">
        <v>187</v>
      </c>
      <c r="B90" s="22" t="s">
        <v>780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</row>
    <row r="91" spans="1:62" x14ac:dyDescent="0.2">
      <c r="A91" s="5" t="s">
        <v>188</v>
      </c>
      <c r="B91" s="22" t="s">
        <v>564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 s="5" t="s">
        <v>189</v>
      </c>
      <c r="B92" s="22" t="s">
        <v>751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 s="5" t="s">
        <v>190</v>
      </c>
      <c r="B93" s="22" t="s">
        <v>734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 s="5" t="s">
        <v>191</v>
      </c>
      <c r="B94" s="22" t="s">
        <v>709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 s="5" t="s">
        <v>192</v>
      </c>
      <c r="B95" s="22" t="s">
        <v>587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 s="5" t="s">
        <v>193</v>
      </c>
      <c r="B96" s="22" t="s">
        <v>777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 x14ac:dyDescent="0.2">
      <c r="A97" s="5" t="s">
        <v>194</v>
      </c>
      <c r="B97" s="22" t="s">
        <v>539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</row>
    <row r="98" spans="1:62" x14ac:dyDescent="0.2">
      <c r="A98" s="5" t="s">
        <v>195</v>
      </c>
      <c r="B98" s="22" t="s">
        <v>707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 s="5" t="s">
        <v>196</v>
      </c>
      <c r="B99" s="22" t="s">
        <v>717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 s="5" t="s">
        <v>197</v>
      </c>
      <c r="B100" s="22" t="s">
        <v>675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 s="5" t="s">
        <v>198</v>
      </c>
      <c r="B101" s="22" t="s">
        <v>675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 s="5" t="s">
        <v>199</v>
      </c>
      <c r="B102" s="22" t="s">
        <v>675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 s="5" t="s">
        <v>200</v>
      </c>
      <c r="B103" s="22" t="s">
        <v>731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 s="5" t="s">
        <v>201</v>
      </c>
      <c r="B104" s="22" t="s">
        <v>750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 s="5" t="s">
        <v>202</v>
      </c>
      <c r="B105" s="22" t="s">
        <v>677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1</v>
      </c>
      <c r="BJ105">
        <v>0</v>
      </c>
    </row>
    <row r="106" spans="1:62" x14ac:dyDescent="0.2">
      <c r="A106" s="5" t="s">
        <v>203</v>
      </c>
      <c r="B106" s="22" t="s">
        <v>728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</row>
    <row r="107" spans="1:62" x14ac:dyDescent="0.2">
      <c r="A107" s="5" t="s">
        <v>204</v>
      </c>
      <c r="B107" s="22" t="s">
        <v>574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0</v>
      </c>
      <c r="BJ107">
        <v>0</v>
      </c>
    </row>
    <row r="108" spans="1:62" x14ac:dyDescent="0.2">
      <c r="A108" s="5" t="s">
        <v>205</v>
      </c>
      <c r="B108" s="22" t="s">
        <v>764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</row>
    <row r="109" spans="1:62" x14ac:dyDescent="0.2">
      <c r="A109" s="5" t="s">
        <v>206</v>
      </c>
      <c r="B109" s="22" t="s">
        <v>589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 s="5" t="s">
        <v>207</v>
      </c>
      <c r="B110" s="22" t="s">
        <v>760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</row>
    <row r="111" spans="1:62" x14ac:dyDescent="0.2">
      <c r="A111" s="5" t="s">
        <v>208</v>
      </c>
      <c r="B111" s="22" t="s">
        <v>713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 s="5" t="s">
        <v>209</v>
      </c>
      <c r="B112" s="22" t="s">
        <v>558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1</v>
      </c>
      <c r="BJ112">
        <v>1</v>
      </c>
    </row>
    <row r="113" spans="1:62" x14ac:dyDescent="0.2">
      <c r="A113" s="5" t="s">
        <v>210</v>
      </c>
      <c r="B113" s="22" t="s">
        <v>746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 s="5" t="s">
        <v>211</v>
      </c>
      <c r="B114" s="22" t="s">
        <v>554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0</v>
      </c>
    </row>
    <row r="115" spans="1:62" x14ac:dyDescent="0.2">
      <c r="A115" s="5" t="s">
        <v>212</v>
      </c>
      <c r="B115" s="22" t="s">
        <v>772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</row>
    <row r="116" spans="1:62" x14ac:dyDescent="0.2">
      <c r="A116" s="5" t="s">
        <v>213</v>
      </c>
      <c r="B116" s="22" t="s">
        <v>766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</row>
    <row r="117" spans="1:62" x14ac:dyDescent="0.2">
      <c r="A117" s="5" t="s">
        <v>214</v>
      </c>
      <c r="B117" s="22" t="s">
        <v>701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 s="5" t="s">
        <v>215</v>
      </c>
      <c r="B118" s="22" t="s">
        <v>791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</row>
    <row r="119" spans="1:62" x14ac:dyDescent="0.2">
      <c r="A119" s="5" t="s">
        <v>216</v>
      </c>
      <c r="B119" s="22" t="s">
        <v>525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 s="5" t="s">
        <v>217</v>
      </c>
      <c r="B120" s="22" t="s">
        <v>526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 s="5" t="s">
        <v>218</v>
      </c>
      <c r="B121" s="22" t="s">
        <v>761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</row>
    <row r="122" spans="1:62" x14ac:dyDescent="0.2">
      <c r="A122" s="5" t="s">
        <v>219</v>
      </c>
      <c r="B122" s="22" t="s">
        <v>744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 s="5" t="s">
        <v>220</v>
      </c>
      <c r="B123" s="22" t="s">
        <v>729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</row>
    <row r="124" spans="1:62" x14ac:dyDescent="0.2">
      <c r="A124" s="5" t="s">
        <v>221</v>
      </c>
      <c r="B124" s="22" t="s">
        <v>534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 s="5" t="s">
        <v>222</v>
      </c>
      <c r="B125" s="22" t="s">
        <v>727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 s="5" t="s">
        <v>223</v>
      </c>
      <c r="B126" s="22" t="s">
        <v>779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</row>
    <row r="127" spans="1:62" x14ac:dyDescent="0.2">
      <c r="A127" s="5" t="s">
        <v>224</v>
      </c>
      <c r="B127" s="22" t="s">
        <v>780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</row>
    <row r="128" spans="1:62" x14ac:dyDescent="0.2">
      <c r="A128" s="5" t="s">
        <v>225</v>
      </c>
      <c r="B128" s="22" t="s">
        <v>762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</row>
    <row r="129" spans="1:62" x14ac:dyDescent="0.2">
      <c r="A129" s="5" t="s">
        <v>226</v>
      </c>
      <c r="B129" s="22" t="s">
        <v>747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 s="5" t="s">
        <v>227</v>
      </c>
      <c r="B130" s="22" t="s">
        <v>798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0</v>
      </c>
    </row>
    <row r="131" spans="1:62" x14ac:dyDescent="0.2">
      <c r="A131" s="5" t="s">
        <v>228</v>
      </c>
      <c r="B131" s="22" t="s">
        <v>559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 s="5" t="s">
        <v>229</v>
      </c>
      <c r="B132" s="22" t="s">
        <v>708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 s="5" t="s">
        <v>230</v>
      </c>
      <c r="B133" s="22" t="s">
        <v>676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 s="5" t="s">
        <v>231</v>
      </c>
      <c r="B134" s="22" t="s">
        <v>598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 s="5" t="s">
        <v>232</v>
      </c>
      <c r="B135" s="22" t="s">
        <v>808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 s="5" t="s">
        <v>233</v>
      </c>
      <c r="B136" s="22" t="s">
        <v>599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 s="5" t="s">
        <v>234</v>
      </c>
      <c r="B137" s="22" t="s">
        <v>556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 s="5" t="s">
        <v>235</v>
      </c>
      <c r="B138" s="22" t="s">
        <v>748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 s="5" t="s">
        <v>236</v>
      </c>
      <c r="B139" s="22" t="s">
        <v>688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0</v>
      </c>
    </row>
    <row r="140" spans="1:62" x14ac:dyDescent="0.2">
      <c r="A140" s="5" t="s">
        <v>237</v>
      </c>
      <c r="B140" s="22" t="s">
        <v>717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 s="5" t="s">
        <v>238</v>
      </c>
      <c r="B141" s="22" t="s">
        <v>707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 s="5" t="s">
        <v>239</v>
      </c>
      <c r="B142" s="22" t="s">
        <v>810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 s="5" t="s">
        <v>240</v>
      </c>
      <c r="B143" s="22" t="s">
        <v>794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</row>
    <row r="144" spans="1:62" x14ac:dyDescent="0.2">
      <c r="A144" s="5" t="s">
        <v>241</v>
      </c>
      <c r="B144" s="22" t="s">
        <v>580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 s="5" t="s">
        <v>242</v>
      </c>
      <c r="B145" s="22" t="s">
        <v>565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 s="5" t="s">
        <v>243</v>
      </c>
      <c r="B146" s="22" t="s">
        <v>716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 s="5" t="s">
        <v>244</v>
      </c>
      <c r="B147" s="22" t="s">
        <v>775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</row>
    <row r="148" spans="1:62" x14ac:dyDescent="0.2">
      <c r="A148" s="5" t="s">
        <v>245</v>
      </c>
      <c r="B148" s="22" t="s">
        <v>721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 s="5" t="s">
        <v>246</v>
      </c>
      <c r="B149" s="22" t="s">
        <v>778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</row>
    <row r="150" spans="1:62" x14ac:dyDescent="0.2">
      <c r="A150" s="5" t="s">
        <v>247</v>
      </c>
      <c r="B150" s="22" t="s">
        <v>712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 s="5" t="s">
        <v>248</v>
      </c>
      <c r="B151" s="22" t="s">
        <v>536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 s="5" t="s">
        <v>249</v>
      </c>
      <c r="B152" s="22" t="s">
        <v>586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 s="5" t="s">
        <v>250</v>
      </c>
      <c r="B153" s="22" t="s">
        <v>577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 s="5" t="s">
        <v>251</v>
      </c>
      <c r="B154" s="22" t="s">
        <v>768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 s="5" t="s">
        <v>252</v>
      </c>
      <c r="B155" s="22" t="s">
        <v>671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 s="5" t="s">
        <v>253</v>
      </c>
      <c r="B156" s="22" t="s">
        <v>745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 s="5" t="s">
        <v>254</v>
      </c>
      <c r="B157" s="22" t="s">
        <v>787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 s="5" t="s">
        <v>255</v>
      </c>
      <c r="B158" s="22" t="s">
        <v>679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</row>
    <row r="159" spans="1:62" x14ac:dyDescent="0.2">
      <c r="A159" s="5" t="s">
        <v>256</v>
      </c>
      <c r="B159" s="22" t="s">
        <v>575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</row>
    <row r="160" spans="1:62" x14ac:dyDescent="0.2">
      <c r="A160" s="5" t="s">
        <v>257</v>
      </c>
      <c r="B160" s="22" t="s">
        <v>704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 s="5" t="s">
        <v>258</v>
      </c>
      <c r="B161" s="22" t="s">
        <v>697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 s="5" t="s">
        <v>259</v>
      </c>
      <c r="B162" s="22" t="s">
        <v>539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</row>
    <row r="163" spans="1:62" x14ac:dyDescent="0.2">
      <c r="A163" s="5" t="s">
        <v>260</v>
      </c>
      <c r="B163" s="22" t="s">
        <v>785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 s="5" t="s">
        <v>261</v>
      </c>
      <c r="B164" s="22" t="s">
        <v>699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 s="5" t="s">
        <v>262</v>
      </c>
      <c r="B165" s="22" t="s">
        <v>696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 s="5" t="s">
        <v>263</v>
      </c>
      <c r="B166" s="22" t="s">
        <v>742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 s="5" t="s">
        <v>264</v>
      </c>
      <c r="B167" s="22" t="s">
        <v>680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</row>
    <row r="168" spans="1:62" x14ac:dyDescent="0.2">
      <c r="A168" s="5" t="s">
        <v>265</v>
      </c>
      <c r="B168" s="22" t="s">
        <v>678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 s="5" t="s">
        <v>266</v>
      </c>
      <c r="B169" s="22" t="s">
        <v>715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 s="5" t="s">
        <v>267</v>
      </c>
      <c r="B170" s="22" t="s">
        <v>789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</row>
    <row r="171" spans="1:62" x14ac:dyDescent="0.2">
      <c r="A171" s="5" t="s">
        <v>268</v>
      </c>
      <c r="B171" s="22" t="s">
        <v>807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 s="5" t="s">
        <v>269</v>
      </c>
      <c r="B172" s="22" t="s">
        <v>759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</row>
    <row r="173" spans="1:62" x14ac:dyDescent="0.2">
      <c r="A173" s="5" t="s">
        <v>270</v>
      </c>
      <c r="B173" s="22" t="s">
        <v>568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 s="5" t="s">
        <v>271</v>
      </c>
      <c r="B174" s="22" t="s">
        <v>597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 s="5" t="s">
        <v>272</v>
      </c>
      <c r="B175" s="22" t="s">
        <v>799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1</v>
      </c>
      <c r="BJ175">
        <v>0</v>
      </c>
    </row>
    <row r="176" spans="1:62" x14ac:dyDescent="0.2">
      <c r="A176" s="5" t="s">
        <v>273</v>
      </c>
      <c r="B176" s="22" t="s">
        <v>693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 s="5" t="s">
        <v>274</v>
      </c>
      <c r="B177" s="22" t="s">
        <v>529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0</v>
      </c>
      <c r="BG177">
        <v>1</v>
      </c>
      <c r="BH177">
        <v>1</v>
      </c>
      <c r="BI177">
        <v>0</v>
      </c>
      <c r="BJ177">
        <v>0</v>
      </c>
    </row>
    <row r="178" spans="1:62" x14ac:dyDescent="0.2">
      <c r="A178" s="5" t="s">
        <v>275</v>
      </c>
      <c r="B178" s="22" t="s">
        <v>703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 s="5" t="s">
        <v>276</v>
      </c>
      <c r="B179" s="22" t="s">
        <v>725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 s="5" t="s">
        <v>277</v>
      </c>
      <c r="B180" s="22" t="s">
        <v>551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 s="5" t="s">
        <v>278</v>
      </c>
      <c r="B181" s="22" t="s">
        <v>527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 s="5" t="s">
        <v>279</v>
      </c>
      <c r="B182" s="22" t="s">
        <v>809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 s="5" t="s">
        <v>280</v>
      </c>
      <c r="B183" s="22" t="s">
        <v>749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 s="5" t="s">
        <v>281</v>
      </c>
      <c r="B184" s="22" t="s">
        <v>806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 s="5" t="s">
        <v>282</v>
      </c>
      <c r="B185" s="22" t="s">
        <v>758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</row>
    <row r="186" spans="1:62" x14ac:dyDescent="0.2">
      <c r="A186" s="5" t="s">
        <v>283</v>
      </c>
      <c r="B186" s="22" t="s">
        <v>797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</row>
    <row r="187" spans="1:62" x14ac:dyDescent="0.2">
      <c r="A187" s="5" t="s">
        <v>284</v>
      </c>
      <c r="B187" s="22" t="s">
        <v>543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 s="5" t="s">
        <v>285</v>
      </c>
      <c r="B188" s="22" t="s">
        <v>751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 s="5" t="s">
        <v>286</v>
      </c>
      <c r="B189" s="22" t="s">
        <v>690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 s="5" t="s">
        <v>287</v>
      </c>
      <c r="B190" s="22" t="s">
        <v>595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</row>
    <row r="191" spans="1:62" x14ac:dyDescent="0.2">
      <c r="A191" s="5" t="s">
        <v>288</v>
      </c>
      <c r="B191" s="22" t="s">
        <v>782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</row>
    <row r="192" spans="1:62" x14ac:dyDescent="0.2">
      <c r="A192" s="5" t="s">
        <v>289</v>
      </c>
      <c r="B192" s="22" t="s">
        <v>535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 s="5" t="s">
        <v>290</v>
      </c>
      <c r="B193" s="22" t="s">
        <v>686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1</v>
      </c>
      <c r="BJ193">
        <v>0</v>
      </c>
    </row>
    <row r="194" spans="1:62" x14ac:dyDescent="0.2">
      <c r="A194" s="5" t="s">
        <v>291</v>
      </c>
      <c r="B194" s="22" t="s">
        <v>792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</row>
    <row r="195" spans="1:62" x14ac:dyDescent="0.2">
      <c r="A195" s="5" t="s">
        <v>292</v>
      </c>
      <c r="B195" s="22" t="s">
        <v>689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1</v>
      </c>
      <c r="BJ195">
        <v>0</v>
      </c>
    </row>
    <row r="196" spans="1:62" x14ac:dyDescent="0.2">
      <c r="A196" s="5" t="s">
        <v>293</v>
      </c>
      <c r="B196" s="22" t="s">
        <v>743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 s="5" t="s">
        <v>294</v>
      </c>
      <c r="B197" s="22" t="s">
        <v>710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 s="5" t="s">
        <v>295</v>
      </c>
      <c r="B198" s="22" t="s">
        <v>705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 s="5" t="s">
        <v>296</v>
      </c>
      <c r="B199" s="22" t="s">
        <v>566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 s="5" t="s">
        <v>297</v>
      </c>
      <c r="B200" s="22" t="s">
        <v>733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 s="5" t="s">
        <v>298</v>
      </c>
      <c r="B201" s="22" t="s">
        <v>677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1</v>
      </c>
      <c r="BJ201">
        <v>0</v>
      </c>
    </row>
    <row r="202" spans="1:62" x14ac:dyDescent="0.2">
      <c r="A202" s="5" t="s">
        <v>299</v>
      </c>
      <c r="B202" s="22" t="s">
        <v>675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 s="5" t="s">
        <v>300</v>
      </c>
      <c r="B203" s="22" t="s">
        <v>675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 s="5" t="s">
        <v>301</v>
      </c>
      <c r="B204" s="22" t="s">
        <v>675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 s="5" t="s">
        <v>302</v>
      </c>
      <c r="B205" s="22" t="s">
        <v>754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</row>
    <row r="206" spans="1:62" x14ac:dyDescent="0.2">
      <c r="A206" s="5" t="s">
        <v>303</v>
      </c>
      <c r="B206" s="22" t="s">
        <v>673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 s="5" t="s">
        <v>304</v>
      </c>
      <c r="B207" s="22" t="s">
        <v>708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 s="5" t="s">
        <v>305</v>
      </c>
      <c r="B208" s="22" t="s">
        <v>749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 s="5" t="s">
        <v>306</v>
      </c>
      <c r="B209" s="22" t="s">
        <v>695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 s="5" t="s">
        <v>307</v>
      </c>
      <c r="B210" s="22" t="s">
        <v>599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 s="5" t="s">
        <v>308</v>
      </c>
      <c r="B211" s="22" t="s">
        <v>582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 s="5" t="s">
        <v>309</v>
      </c>
      <c r="B212" s="22" t="s">
        <v>698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 s="5" t="s">
        <v>310</v>
      </c>
      <c r="B213" s="22" t="s">
        <v>743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 s="5" t="s">
        <v>311</v>
      </c>
      <c r="B214" s="22" t="s">
        <v>692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 s="5" t="s">
        <v>312</v>
      </c>
      <c r="B215" s="22" t="s">
        <v>713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 s="5" t="s">
        <v>313</v>
      </c>
      <c r="B216" s="22" t="s">
        <v>525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 s="5" t="s">
        <v>314</v>
      </c>
      <c r="B217" s="22" t="s">
        <v>519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 s="5" t="s">
        <v>315</v>
      </c>
      <c r="B218" s="22" t="s">
        <v>542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 s="5" t="s">
        <v>316</v>
      </c>
      <c r="B219" s="22" t="s">
        <v>684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</row>
    <row r="220" spans="1:62" x14ac:dyDescent="0.2">
      <c r="A220" s="5" t="s">
        <v>317</v>
      </c>
      <c r="B220" s="22" t="s">
        <v>763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</row>
    <row r="221" spans="1:62" x14ac:dyDescent="0.2">
      <c r="A221" s="5" t="s">
        <v>318</v>
      </c>
      <c r="B221" s="22" t="s">
        <v>683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</row>
    <row r="222" spans="1:62" x14ac:dyDescent="0.2">
      <c r="A222" s="5" t="s">
        <v>319</v>
      </c>
      <c r="B222" s="22" t="s">
        <v>583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</row>
    <row r="223" spans="1:62" x14ac:dyDescent="0.2">
      <c r="A223" s="5" t="s">
        <v>320</v>
      </c>
      <c r="B223" s="22" t="s">
        <v>800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0</v>
      </c>
    </row>
    <row r="224" spans="1:62" x14ac:dyDescent="0.2">
      <c r="A224" s="5" t="s">
        <v>321</v>
      </c>
      <c r="B224" s="22" t="s">
        <v>795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</row>
    <row r="225" spans="1:62" x14ac:dyDescent="0.2">
      <c r="A225" s="5" t="s">
        <v>322</v>
      </c>
      <c r="B225" s="22" t="s">
        <v>778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</row>
    <row r="226" spans="1:62" x14ac:dyDescent="0.2">
      <c r="A226" s="5" t="s">
        <v>323</v>
      </c>
      <c r="B226" s="22" t="s">
        <v>750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 s="5" t="s">
        <v>324</v>
      </c>
      <c r="B227" s="22" t="s">
        <v>541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 s="5" t="s">
        <v>325</v>
      </c>
      <c r="B228" s="22" t="s">
        <v>688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0</v>
      </c>
    </row>
    <row r="229" spans="1:62" x14ac:dyDescent="0.2">
      <c r="A229" s="5" t="s">
        <v>326</v>
      </c>
      <c r="B229" s="22" t="s">
        <v>552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</row>
    <row r="230" spans="1:62" x14ac:dyDescent="0.2">
      <c r="A230" s="5" t="s">
        <v>327</v>
      </c>
      <c r="B230" s="22" t="s">
        <v>720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 s="5" t="s">
        <v>328</v>
      </c>
      <c r="B231" s="22" t="s">
        <v>796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</row>
    <row r="232" spans="1:62" x14ac:dyDescent="0.2">
      <c r="A232" s="5" t="s">
        <v>329</v>
      </c>
      <c r="B232" s="22" t="s">
        <v>757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</row>
    <row r="233" spans="1:62" x14ac:dyDescent="0.2">
      <c r="A233" s="5" t="s">
        <v>330</v>
      </c>
      <c r="B233" s="22" t="s">
        <v>685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0</v>
      </c>
    </row>
    <row r="234" spans="1:62" x14ac:dyDescent="0.2">
      <c r="A234" s="5" t="s">
        <v>331</v>
      </c>
      <c r="B234" s="22" t="s">
        <v>677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1</v>
      </c>
      <c r="BJ234">
        <v>0</v>
      </c>
    </row>
    <row r="235" spans="1:62" x14ac:dyDescent="0.2">
      <c r="A235" s="5" t="s">
        <v>332</v>
      </c>
      <c r="B235" s="22" t="s">
        <v>804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 s="5" t="s">
        <v>333</v>
      </c>
      <c r="B236" s="22" t="s">
        <v>718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 s="5" t="s">
        <v>334</v>
      </c>
      <c r="B237" s="22" t="s">
        <v>746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 s="5" t="s">
        <v>335</v>
      </c>
      <c r="B238" s="22" t="s">
        <v>730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</row>
    <row r="239" spans="1:62" x14ac:dyDescent="0.2">
      <c r="A239" s="5" t="s">
        <v>336</v>
      </c>
      <c r="B239" s="22" t="s">
        <v>724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 s="5" t="s">
        <v>337</v>
      </c>
      <c r="B240" s="22" t="s">
        <v>792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</row>
    <row r="241" spans="1:62" x14ac:dyDescent="0.2">
      <c r="A241" s="5" t="s">
        <v>338</v>
      </c>
      <c r="B241" s="22" t="s">
        <v>531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 s="5" t="s">
        <v>339</v>
      </c>
      <c r="B242" s="22" t="s">
        <v>701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 s="5" t="s">
        <v>340</v>
      </c>
      <c r="B243" s="22" t="s">
        <v>722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 s="5" t="s">
        <v>341</v>
      </c>
      <c r="B244" s="22" t="s">
        <v>715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 s="5" t="s">
        <v>342</v>
      </c>
      <c r="B245" s="22" t="s">
        <v>776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</row>
    <row r="246" spans="1:62" x14ac:dyDescent="0.2">
      <c r="A246" s="5" t="s">
        <v>343</v>
      </c>
      <c r="B246" s="22" t="s">
        <v>672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 s="5" t="s">
        <v>344</v>
      </c>
      <c r="B247" s="22" t="s">
        <v>781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1</v>
      </c>
      <c r="BJ247">
        <v>0</v>
      </c>
    </row>
    <row r="248" spans="1:62" x14ac:dyDescent="0.2">
      <c r="A248" s="5" t="s">
        <v>345</v>
      </c>
      <c r="B248" s="22" t="s">
        <v>523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1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 s="5" t="s">
        <v>346</v>
      </c>
      <c r="B249" s="22" t="s">
        <v>710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 s="5" t="s">
        <v>347</v>
      </c>
      <c r="B250" s="22" t="s">
        <v>765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</row>
    <row r="251" spans="1:62" x14ac:dyDescent="0.2">
      <c r="A251" s="5" t="s">
        <v>348</v>
      </c>
      <c r="B251" s="22" t="s">
        <v>725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 s="5" t="s">
        <v>349</v>
      </c>
      <c r="B252" s="22" t="s">
        <v>732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 s="5" t="s">
        <v>350</v>
      </c>
      <c r="B253" s="22" t="s">
        <v>540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</row>
    <row r="254" spans="1:62" x14ac:dyDescent="0.2">
      <c r="A254" s="5" t="s">
        <v>351</v>
      </c>
      <c r="B254" s="22" t="s">
        <v>524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 s="5" t="s">
        <v>352</v>
      </c>
      <c r="B255" s="22" t="s">
        <v>793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</row>
    <row r="256" spans="1:62" x14ac:dyDescent="0.2">
      <c r="A256" s="5" t="s">
        <v>353</v>
      </c>
      <c r="B256" s="22" t="s">
        <v>580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 s="5" t="s">
        <v>354</v>
      </c>
      <c r="B257" s="22" t="s">
        <v>588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 s="5" t="s">
        <v>355</v>
      </c>
      <c r="B258" s="22" t="s">
        <v>737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 s="5" t="s">
        <v>356</v>
      </c>
      <c r="B259" s="22" t="s">
        <v>742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 s="5" t="s">
        <v>357</v>
      </c>
      <c r="B260" s="22" t="s">
        <v>726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 s="5" t="s">
        <v>358</v>
      </c>
      <c r="B261" s="22" t="s">
        <v>691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 s="5" t="s">
        <v>359</v>
      </c>
      <c r="B262" s="22" t="s">
        <v>702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 s="5" t="s">
        <v>360</v>
      </c>
      <c r="B263" s="22" t="s">
        <v>579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1</v>
      </c>
      <c r="AQ263">
        <v>1</v>
      </c>
      <c r="AR263">
        <v>0</v>
      </c>
      <c r="AS263">
        <v>1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 s="5" t="s">
        <v>361</v>
      </c>
      <c r="B264" s="22" t="s">
        <v>567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 s="5" t="s">
        <v>362</v>
      </c>
      <c r="B265" s="22" t="s">
        <v>700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 s="5" t="s">
        <v>363</v>
      </c>
      <c r="B266" s="22" t="s">
        <v>808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 s="5" t="s">
        <v>364</v>
      </c>
      <c r="B267" s="22" t="s">
        <v>533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 s="5" t="s">
        <v>365</v>
      </c>
      <c r="B268" s="22" t="s">
        <v>681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</row>
    <row r="269" spans="1:62" x14ac:dyDescent="0.2">
      <c r="A269" s="5" t="s">
        <v>366</v>
      </c>
      <c r="B269" s="22" t="s">
        <v>530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</v>
      </c>
      <c r="BB269">
        <v>1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 s="5" t="s">
        <v>367</v>
      </c>
      <c r="B270" s="22" t="s">
        <v>752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 s="5" t="s">
        <v>368</v>
      </c>
      <c r="B271" s="22" t="s">
        <v>551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 s="5" t="s">
        <v>369</v>
      </c>
      <c r="B272" s="22" t="s">
        <v>794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</row>
    <row r="273" spans="1:62" x14ac:dyDescent="0.2">
      <c r="A273" s="5" t="s">
        <v>370</v>
      </c>
      <c r="B273" s="22" t="s">
        <v>539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</row>
    <row r="274" spans="1:62" x14ac:dyDescent="0.2">
      <c r="A274" s="5" t="s">
        <v>371</v>
      </c>
      <c r="B274" s="18" t="s">
        <v>527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 s="5" t="s">
        <v>372</v>
      </c>
      <c r="B275" s="22" t="s">
        <v>736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 s="5" t="s">
        <v>373</v>
      </c>
      <c r="B276" s="22" t="s">
        <v>738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 s="5" t="s">
        <v>374</v>
      </c>
      <c r="B277" s="22" t="s">
        <v>709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 s="5" t="s">
        <v>375</v>
      </c>
      <c r="B278" s="22" t="s">
        <v>545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 s="5" t="s">
        <v>376</v>
      </c>
      <c r="B279" s="22" t="s">
        <v>805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 s="5" t="s">
        <v>377</v>
      </c>
      <c r="B280" s="22" t="s">
        <v>598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 s="5" t="s">
        <v>378</v>
      </c>
      <c r="B281" s="22" t="s">
        <v>790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</row>
    <row r="282" spans="1:62" x14ac:dyDescent="0.2">
      <c r="A282" s="5" t="s">
        <v>379</v>
      </c>
      <c r="B282" s="22" t="s">
        <v>535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 s="5" t="s">
        <v>380</v>
      </c>
      <c r="B283" s="22" t="s">
        <v>803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 s="5" t="s">
        <v>381</v>
      </c>
      <c r="B284" s="22" t="s">
        <v>714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 s="5" t="s">
        <v>382</v>
      </c>
      <c r="B285" s="22" t="s">
        <v>801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 s="5" t="s">
        <v>383</v>
      </c>
      <c r="B286" s="22" t="s">
        <v>784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 s="5" t="s">
        <v>384</v>
      </c>
      <c r="B287" s="22" t="s">
        <v>526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 s="5" t="s">
        <v>385</v>
      </c>
      <c r="B288" s="22" t="s">
        <v>788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</row>
    <row r="289" spans="1:62" x14ac:dyDescent="0.2">
      <c r="A289" s="5" t="s">
        <v>386</v>
      </c>
      <c r="B289" s="22" t="s">
        <v>756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</row>
    <row r="290" spans="1:62" x14ac:dyDescent="0.2">
      <c r="A290" s="5" t="s">
        <v>387</v>
      </c>
      <c r="B290" s="22" t="s">
        <v>520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 s="5" t="s">
        <v>388</v>
      </c>
      <c r="B291" s="22" t="s">
        <v>771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</row>
    <row r="292" spans="1:62" x14ac:dyDescent="0.2">
      <c r="A292" s="5" t="s">
        <v>389</v>
      </c>
      <c r="B292" s="22" t="s">
        <v>576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</row>
    <row r="293" spans="1:62" x14ac:dyDescent="0.2">
      <c r="A293" s="5" t="s">
        <v>390</v>
      </c>
      <c r="B293" s="22" t="s">
        <v>777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0</v>
      </c>
    </row>
    <row r="294" spans="1:62" x14ac:dyDescent="0.2">
      <c r="A294" s="5" t="s">
        <v>391</v>
      </c>
      <c r="B294" s="22" t="s">
        <v>744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 s="5" t="s">
        <v>392</v>
      </c>
      <c r="B295" s="22" t="s">
        <v>677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1</v>
      </c>
      <c r="BJ295">
        <v>0</v>
      </c>
    </row>
    <row r="296" spans="1:62" x14ac:dyDescent="0.2">
      <c r="A296" s="5" t="s">
        <v>393</v>
      </c>
      <c r="B296" s="22" t="s">
        <v>671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 s="5" t="s">
        <v>394</v>
      </c>
      <c r="B297" s="22" t="s">
        <v>761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</row>
    <row r="298" spans="1:62" x14ac:dyDescent="0.2">
      <c r="A298" s="5" t="s">
        <v>395</v>
      </c>
      <c r="B298" s="22" t="s">
        <v>807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 s="5" t="s">
        <v>396</v>
      </c>
      <c r="B299" s="22" t="s">
        <v>532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 s="5" t="s">
        <v>397</v>
      </c>
      <c r="B300" s="22" t="s">
        <v>682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</row>
    <row r="301" spans="1:62" x14ac:dyDescent="0.2">
      <c r="A301" s="5" t="s">
        <v>398</v>
      </c>
      <c r="B301" s="22" t="s">
        <v>748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 s="5" t="s">
        <v>399</v>
      </c>
      <c r="B302" s="22" t="s">
        <v>769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</row>
    <row r="303" spans="1:62" x14ac:dyDescent="0.2">
      <c r="A303" s="5" t="s">
        <v>400</v>
      </c>
      <c r="B303" s="22" t="s">
        <v>675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 s="5" t="s">
        <v>401</v>
      </c>
      <c r="B304" s="22" t="s">
        <v>675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 s="5" t="s">
        <v>402</v>
      </c>
      <c r="B305" s="22" t="s">
        <v>675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 s="5" t="s">
        <v>403</v>
      </c>
      <c r="B306" s="22" t="s">
        <v>731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 s="5" t="s">
        <v>404</v>
      </c>
      <c r="B307" s="22" t="s">
        <v>696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 s="5" t="s">
        <v>405</v>
      </c>
      <c r="B308" s="22" t="s">
        <v>753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0</v>
      </c>
    </row>
    <row r="309" spans="1:62" x14ac:dyDescent="0.2">
      <c r="A309" s="5" t="s">
        <v>406</v>
      </c>
      <c r="B309" s="22" t="s">
        <v>757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</row>
    <row r="310" spans="1:62" x14ac:dyDescent="0.2">
      <c r="A310" s="5" t="s">
        <v>407</v>
      </c>
      <c r="B310" s="22" t="s">
        <v>543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 s="5" t="s">
        <v>408</v>
      </c>
      <c r="B311" s="22" t="s">
        <v>806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 s="5" t="s">
        <v>409</v>
      </c>
      <c r="B312" s="22" t="s">
        <v>755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</row>
    <row r="313" spans="1:62" x14ac:dyDescent="0.2">
      <c r="A313" s="5" t="s">
        <v>410</v>
      </c>
      <c r="B313" s="22" t="s">
        <v>561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1</v>
      </c>
    </row>
    <row r="314" spans="1:62" x14ac:dyDescent="0.2">
      <c r="A314" s="5" t="s">
        <v>411</v>
      </c>
      <c r="B314" s="22" t="s">
        <v>736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2">
      <c r="A315" s="5" t="s">
        <v>412</v>
      </c>
      <c r="B315" s="22" t="s">
        <v>522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">
      <c r="A316" s="5" t="s">
        <v>413</v>
      </c>
      <c r="B316" s="22" t="s">
        <v>598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2">
      <c r="A317" s="5" t="s">
        <v>414</v>
      </c>
      <c r="B317" s="22" t="s">
        <v>569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 x14ac:dyDescent="0.2">
      <c r="A318" s="5" t="s">
        <v>415</v>
      </c>
      <c r="B318" s="22" t="s">
        <v>677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1</v>
      </c>
      <c r="BJ318">
        <v>0</v>
      </c>
    </row>
    <row r="319" spans="1:62" x14ac:dyDescent="0.2">
      <c r="A319" s="5" t="s">
        <v>416</v>
      </c>
      <c r="B319" s="22" t="s">
        <v>564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">
      <c r="A320" s="5" t="s">
        <v>417</v>
      </c>
      <c r="B320" s="22" t="s">
        <v>571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1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1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1</v>
      </c>
      <c r="BJ320">
        <v>1</v>
      </c>
    </row>
    <row r="321" spans="1:62" x14ac:dyDescent="0.2">
      <c r="A321" s="5" t="s">
        <v>418</v>
      </c>
      <c r="B321" s="22" t="s">
        <v>594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</row>
    <row r="322" spans="1:62" x14ac:dyDescent="0.2">
      <c r="A322" s="5" t="s">
        <v>419</v>
      </c>
      <c r="B322" s="22" t="s">
        <v>739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 x14ac:dyDescent="0.2">
      <c r="A323" s="5" t="s">
        <v>420</v>
      </c>
      <c r="B323" s="22" t="s">
        <v>694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 x14ac:dyDescent="0.2">
      <c r="A324" s="5" t="s">
        <v>421</v>
      </c>
      <c r="B324" s="22" t="s">
        <v>550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1</v>
      </c>
      <c r="BH324">
        <v>0</v>
      </c>
      <c r="BI324">
        <v>0</v>
      </c>
      <c r="BJ324">
        <v>0</v>
      </c>
    </row>
    <row r="325" spans="1:62" x14ac:dyDescent="0.2">
      <c r="A325" s="5" t="s">
        <v>422</v>
      </c>
      <c r="B325" s="22" t="s">
        <v>765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</row>
    <row r="326" spans="1:62" x14ac:dyDescent="0.2">
      <c r="A326" s="5" t="s">
        <v>423</v>
      </c>
      <c r="B326" s="22" t="s">
        <v>734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 x14ac:dyDescent="0.2">
      <c r="A327" s="5" t="s">
        <v>424</v>
      </c>
      <c r="B327" s="22" t="s">
        <v>708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 x14ac:dyDescent="0.2">
      <c r="A328" s="5" t="s">
        <v>425</v>
      </c>
      <c r="B328" s="22" t="s">
        <v>747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 x14ac:dyDescent="0.2">
      <c r="A329" s="5" t="s">
        <v>426</v>
      </c>
      <c r="B329" s="22" t="s">
        <v>738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 x14ac:dyDescent="0.2">
      <c r="A330" s="5" t="s">
        <v>427</v>
      </c>
      <c r="B330" s="22" t="s">
        <v>733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 x14ac:dyDescent="0.2">
      <c r="A331" s="5" t="s">
        <v>428</v>
      </c>
      <c r="B331" s="22" t="s">
        <v>702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 x14ac:dyDescent="0.2">
      <c r="A332" s="5" t="s">
        <v>429</v>
      </c>
      <c r="B332" s="22" t="s">
        <v>809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</row>
    <row r="333" spans="1:62" x14ac:dyDescent="0.2">
      <c r="A333" s="5" t="s">
        <v>430</v>
      </c>
      <c r="B333" s="22" t="s">
        <v>724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</row>
    <row r="334" spans="1:62" x14ac:dyDescent="0.2">
      <c r="A334" s="5" t="s">
        <v>431</v>
      </c>
      <c r="B334" s="22" t="s">
        <v>695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</row>
    <row r="335" spans="1:62" x14ac:dyDescent="0.2">
      <c r="A335" s="5" t="s">
        <v>432</v>
      </c>
      <c r="B335" s="22" t="s">
        <v>672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x14ac:dyDescent="0.2">
      <c r="A336" s="5" t="s">
        <v>433</v>
      </c>
      <c r="B336" s="22" t="s">
        <v>718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 x14ac:dyDescent="0.2">
      <c r="A337" s="5" t="s">
        <v>434</v>
      </c>
      <c r="B337" s="22" t="s">
        <v>797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</row>
    <row r="338" spans="1:62" x14ac:dyDescent="0.2">
      <c r="A338" s="5" t="s">
        <v>435</v>
      </c>
      <c r="B338" s="22" t="s">
        <v>756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</row>
    <row r="339" spans="1:62" x14ac:dyDescent="0.2">
      <c r="A339" s="5" t="s">
        <v>436</v>
      </c>
      <c r="B339" s="22" t="s">
        <v>584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 x14ac:dyDescent="0.2">
      <c r="A340" s="5" t="s">
        <v>437</v>
      </c>
      <c r="B340" s="22" t="s">
        <v>766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0</v>
      </c>
    </row>
    <row r="341" spans="1:62" x14ac:dyDescent="0.2">
      <c r="A341" s="5" t="s">
        <v>438</v>
      </c>
      <c r="B341" s="22" t="s">
        <v>774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</row>
    <row r="342" spans="1:62" x14ac:dyDescent="0.2">
      <c r="A342" s="5" t="s">
        <v>439</v>
      </c>
      <c r="B342" s="22" t="s">
        <v>795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1</v>
      </c>
      <c r="BJ342">
        <v>0</v>
      </c>
    </row>
    <row r="343" spans="1:62" x14ac:dyDescent="0.2">
      <c r="A343" s="5" t="s">
        <v>440</v>
      </c>
      <c r="B343" s="22" t="s">
        <v>596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 x14ac:dyDescent="0.2">
      <c r="A344" s="5" t="s">
        <v>441</v>
      </c>
      <c r="B344" s="22" t="s">
        <v>681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</row>
    <row r="345" spans="1:62" x14ac:dyDescent="0.2">
      <c r="A345" s="5" t="s">
        <v>442</v>
      </c>
      <c r="B345" s="22" t="s">
        <v>563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</row>
    <row r="346" spans="1:62" x14ac:dyDescent="0.2">
      <c r="A346" s="5" t="s">
        <v>443</v>
      </c>
      <c r="B346" s="22" t="s">
        <v>711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 x14ac:dyDescent="0.2">
      <c r="A347" s="5" t="s">
        <v>444</v>
      </c>
      <c r="B347" s="22" t="s">
        <v>706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</row>
    <row r="348" spans="1:62" x14ac:dyDescent="0.2">
      <c r="A348" s="5" t="s">
        <v>445</v>
      </c>
      <c r="B348" s="22" t="s">
        <v>783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</row>
    <row r="349" spans="1:62" x14ac:dyDescent="0.2">
      <c r="A349" s="5" t="s">
        <v>446</v>
      </c>
      <c r="B349" s="22" t="s">
        <v>779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</row>
    <row r="350" spans="1:62" x14ac:dyDescent="0.2">
      <c r="A350" s="5" t="s">
        <v>447</v>
      </c>
      <c r="B350" s="22" t="s">
        <v>735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</row>
    <row r="351" spans="1:62" x14ac:dyDescent="0.2">
      <c r="A351" s="5" t="s">
        <v>448</v>
      </c>
      <c r="B351" s="22" t="s">
        <v>527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</row>
    <row r="352" spans="1:62" x14ac:dyDescent="0.2">
      <c r="A352" s="5" t="s">
        <v>449</v>
      </c>
      <c r="B352" s="22" t="s">
        <v>590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</row>
    <row r="353" spans="1:62" x14ac:dyDescent="0.2">
      <c r="A353" s="5" t="s">
        <v>450</v>
      </c>
      <c r="B353" s="22" t="s">
        <v>578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1</v>
      </c>
      <c r="BJ353">
        <v>1</v>
      </c>
    </row>
    <row r="354" spans="1:62" x14ac:dyDescent="0.2">
      <c r="A354" s="5" t="s">
        <v>451</v>
      </c>
      <c r="B354" s="22" t="s">
        <v>691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 x14ac:dyDescent="0.2">
      <c r="A355" s="5" t="s">
        <v>452</v>
      </c>
      <c r="B355" s="22" t="s">
        <v>723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 x14ac:dyDescent="0.2">
      <c r="A356" s="5" t="s">
        <v>453</v>
      </c>
      <c r="B356" s="22" t="s">
        <v>773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</row>
    <row r="357" spans="1:62" x14ac:dyDescent="0.2">
      <c r="A357" s="5" t="s">
        <v>454</v>
      </c>
      <c r="B357" s="22" t="s">
        <v>674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</row>
    <row r="358" spans="1:62" x14ac:dyDescent="0.2">
      <c r="A358" s="5" t="s">
        <v>455</v>
      </c>
      <c r="B358" s="22" t="s">
        <v>762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</row>
    <row r="359" spans="1:62" x14ac:dyDescent="0.2">
      <c r="A359" s="5" t="s">
        <v>456</v>
      </c>
      <c r="B359" s="22" t="s">
        <v>781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1</v>
      </c>
      <c r="BJ359">
        <v>0</v>
      </c>
    </row>
    <row r="360" spans="1:62" x14ac:dyDescent="0.2">
      <c r="A360" s="5" t="s">
        <v>457</v>
      </c>
      <c r="B360" s="22" t="s">
        <v>740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</row>
    <row r="361" spans="1:62" x14ac:dyDescent="0.2">
      <c r="A361" s="5" t="s">
        <v>458</v>
      </c>
      <c r="B361" s="19" t="s">
        <v>599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</row>
    <row r="362" spans="1:62" x14ac:dyDescent="0.2">
      <c r="A362" s="5" t="s">
        <v>459</v>
      </c>
      <c r="B362" s="22" t="s">
        <v>771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</row>
    <row r="363" spans="1:62" x14ac:dyDescent="0.2">
      <c r="A363" s="5" t="s">
        <v>460</v>
      </c>
      <c r="B363" s="22" t="s">
        <v>549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</row>
    <row r="364" spans="1:62" x14ac:dyDescent="0.2">
      <c r="A364" s="5" t="s">
        <v>461</v>
      </c>
      <c r="B364" s="22" t="s">
        <v>705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</row>
    <row r="365" spans="1:62" x14ac:dyDescent="0.2">
      <c r="A365" s="5" t="s">
        <v>462</v>
      </c>
      <c r="B365" s="22" t="s">
        <v>719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</row>
    <row r="366" spans="1:62" x14ac:dyDescent="0.2">
      <c r="A366" s="5" t="s">
        <v>463</v>
      </c>
      <c r="B366" s="22" t="s">
        <v>585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</row>
    <row r="367" spans="1:62" x14ac:dyDescent="0.2">
      <c r="A367" s="5" t="s">
        <v>464</v>
      </c>
      <c r="B367" s="22" t="s">
        <v>741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</row>
    <row r="368" spans="1:62" x14ac:dyDescent="0.2">
      <c r="A368" s="5" t="s">
        <v>465</v>
      </c>
      <c r="B368" s="22" t="s">
        <v>690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</row>
    <row r="369" spans="1:62" x14ac:dyDescent="0.2">
      <c r="A369" s="5" t="s">
        <v>466</v>
      </c>
      <c r="B369" s="22" t="s">
        <v>730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</row>
    <row r="370" spans="1:62" x14ac:dyDescent="0.2">
      <c r="A370" s="5" t="s">
        <v>467</v>
      </c>
      <c r="B370" s="22" t="s">
        <v>685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1</v>
      </c>
      <c r="BJ370">
        <v>0</v>
      </c>
    </row>
    <row r="371" spans="1:62" x14ac:dyDescent="0.2">
      <c r="A371" s="5" t="s">
        <v>468</v>
      </c>
      <c r="B371" s="22" t="s">
        <v>805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</row>
    <row r="372" spans="1:62" x14ac:dyDescent="0.2">
      <c r="A372" s="5" t="s">
        <v>469</v>
      </c>
      <c r="B372" s="22" t="s">
        <v>699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</row>
    <row r="373" spans="1:62" x14ac:dyDescent="0.2">
      <c r="A373" s="5" t="s">
        <v>470</v>
      </c>
      <c r="B373" s="22" t="s">
        <v>745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</row>
    <row r="374" spans="1:62" x14ac:dyDescent="0.2">
      <c r="A374" s="5" t="s">
        <v>471</v>
      </c>
      <c r="B374" s="22" t="s">
        <v>804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</row>
    <row r="375" spans="1:62" x14ac:dyDescent="0.2">
      <c r="A375" s="5" t="s">
        <v>472</v>
      </c>
      <c r="B375" s="22" t="s">
        <v>798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1</v>
      </c>
      <c r="BJ375">
        <v>0</v>
      </c>
    </row>
    <row r="376" spans="1:62" x14ac:dyDescent="0.2">
      <c r="A376" s="5" t="s">
        <v>473</v>
      </c>
      <c r="B376" s="22" t="s">
        <v>559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 x14ac:dyDescent="0.2">
      <c r="A377" s="5" t="s">
        <v>474</v>
      </c>
      <c r="B377" s="22" t="s">
        <v>714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</row>
    <row r="378" spans="1:62" x14ac:dyDescent="0.2">
      <c r="A378" s="5" t="s">
        <v>475</v>
      </c>
      <c r="B378" s="22" t="s">
        <v>786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</row>
    <row r="379" spans="1:62" x14ac:dyDescent="0.2">
      <c r="A379" s="5" t="s">
        <v>476</v>
      </c>
      <c r="B379" s="22" t="s">
        <v>539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</row>
    <row r="380" spans="1:62" x14ac:dyDescent="0.2">
      <c r="A380" s="5" t="s">
        <v>477</v>
      </c>
      <c r="B380" s="22" t="s">
        <v>784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</row>
    <row r="381" spans="1:62" x14ac:dyDescent="0.2">
      <c r="A381" s="5" t="s">
        <v>478</v>
      </c>
      <c r="B381" s="22" t="s">
        <v>693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 x14ac:dyDescent="0.2">
      <c r="A382" s="5" t="s">
        <v>479</v>
      </c>
      <c r="B382" s="22" t="s">
        <v>767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1</v>
      </c>
      <c r="BJ382">
        <v>0</v>
      </c>
    </row>
    <row r="383" spans="1:62" x14ac:dyDescent="0.2">
      <c r="A383" s="5" t="s">
        <v>480</v>
      </c>
      <c r="B383" s="22" t="s">
        <v>796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0</v>
      </c>
    </row>
    <row r="384" spans="1:62" x14ac:dyDescent="0.2">
      <c r="A384" s="5" t="s">
        <v>481</v>
      </c>
      <c r="B384" s="22" t="s">
        <v>793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0</v>
      </c>
    </row>
    <row r="385" spans="1:62" x14ac:dyDescent="0.2">
      <c r="A385" s="5" t="s">
        <v>482</v>
      </c>
      <c r="B385" s="22" t="s">
        <v>544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</row>
    <row r="386" spans="1:62" x14ac:dyDescent="0.2">
      <c r="A386" s="5" t="s">
        <v>483</v>
      </c>
      <c r="B386" s="22" t="s">
        <v>677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1</v>
      </c>
      <c r="BI386">
        <v>1</v>
      </c>
      <c r="BJ386">
        <v>0</v>
      </c>
    </row>
    <row r="387" spans="1:62" x14ac:dyDescent="0.2">
      <c r="A387" s="5" t="s">
        <v>484</v>
      </c>
      <c r="B387" s="22" t="s">
        <v>581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</row>
    <row r="388" spans="1:62" x14ac:dyDescent="0.2">
      <c r="A388" s="5" t="s">
        <v>485</v>
      </c>
      <c r="B388" s="22" t="s">
        <v>679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</row>
    <row r="389" spans="1:62" x14ac:dyDescent="0.2">
      <c r="A389" s="5" t="s">
        <v>486</v>
      </c>
      <c r="B389" s="22" t="s">
        <v>560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</row>
    <row r="390" spans="1:62" x14ac:dyDescent="0.2">
      <c r="A390" s="5" t="s">
        <v>487</v>
      </c>
      <c r="B390" s="22" t="s">
        <v>546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</row>
    <row r="391" spans="1:62" x14ac:dyDescent="0.2">
      <c r="A391" s="5" t="s">
        <v>488</v>
      </c>
      <c r="B391" s="22" t="s">
        <v>769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</v>
      </c>
    </row>
    <row r="392" spans="1:62" x14ac:dyDescent="0.2">
      <c r="A392" s="5" t="s">
        <v>489</v>
      </c>
      <c r="B392" s="22" t="s">
        <v>727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</row>
    <row r="393" spans="1:62" x14ac:dyDescent="0.2">
      <c r="A393" s="5" t="s">
        <v>490</v>
      </c>
      <c r="B393" s="22" t="s">
        <v>698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</row>
    <row r="394" spans="1:62" x14ac:dyDescent="0.2">
      <c r="A394" s="5" t="s">
        <v>491</v>
      </c>
      <c r="B394" s="22" t="s">
        <v>687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1</v>
      </c>
      <c r="BJ394">
        <v>0</v>
      </c>
    </row>
    <row r="395" spans="1:62" x14ac:dyDescent="0.2">
      <c r="A395" s="5" t="s">
        <v>492</v>
      </c>
      <c r="B395" s="22" t="s">
        <v>572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</row>
    <row r="396" spans="1:62" x14ac:dyDescent="0.2">
      <c r="A396" s="5" t="s">
        <v>493</v>
      </c>
      <c r="B396" s="22" t="s">
        <v>770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</row>
    <row r="397" spans="1:62" x14ac:dyDescent="0.2">
      <c r="A397" s="5" t="s">
        <v>494</v>
      </c>
      <c r="B397" s="22" t="s">
        <v>673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 x14ac:dyDescent="0.2">
      <c r="A398" s="5" t="s">
        <v>495</v>
      </c>
      <c r="B398" s="22" t="s">
        <v>775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</row>
    <row r="399" spans="1:62" x14ac:dyDescent="0.2">
      <c r="A399" s="5" t="s">
        <v>496</v>
      </c>
      <c r="B399" s="22" t="s">
        <v>678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 x14ac:dyDescent="0.2">
      <c r="A400" s="5" t="s">
        <v>497</v>
      </c>
      <c r="B400" s="22" t="s">
        <v>562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</row>
    <row r="401" spans="1:62" x14ac:dyDescent="0.2">
      <c r="A401" s="5" t="s">
        <v>498</v>
      </c>
      <c r="B401" s="22" t="s">
        <v>787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</row>
    <row r="402" spans="1:62" x14ac:dyDescent="0.2">
      <c r="A402" s="5" t="s">
        <v>499</v>
      </c>
      <c r="B402" s="22" t="s">
        <v>532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</row>
    <row r="403" spans="1:62" x14ac:dyDescent="0.2">
      <c r="A403" s="5" t="s">
        <v>500</v>
      </c>
      <c r="B403" s="22" t="s">
        <v>689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1</v>
      </c>
      <c r="BJ403">
        <v>0</v>
      </c>
    </row>
    <row r="404" spans="1:62" x14ac:dyDescent="0.2">
      <c r="A404" s="5" t="s">
        <v>501</v>
      </c>
      <c r="B404" s="22" t="s">
        <v>675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 x14ac:dyDescent="0.2">
      <c r="A405" s="5" t="s">
        <v>502</v>
      </c>
      <c r="B405" s="22" t="s">
        <v>675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</row>
    <row r="406" spans="1:62" x14ac:dyDescent="0.2">
      <c r="A406" s="5" t="s">
        <v>503</v>
      </c>
      <c r="B406" s="22" t="s">
        <v>675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</row>
  </sheetData>
  <sheetProtection password="C06F" sheet="1" objects="1" scenarios="1"/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3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RowHeight="12.75" x14ac:dyDescent="0.2"/>
  <cols>
    <col min="1" max="1" width="9.140625" style="5" customWidth="1"/>
    <col min="2" max="2" width="9.140625" style="17" customWidth="1"/>
    <col min="3" max="4" width="5.7109375" customWidth="1"/>
    <col min="5" max="7" width="9.140625" style="4" customWidth="1"/>
    <col min="8" max="8" width="9.5703125" style="4" customWidth="1"/>
    <col min="9" max="10" width="9.140625" style="4" customWidth="1"/>
    <col min="11" max="14" width="5.7109375" style="4" customWidth="1"/>
  </cols>
  <sheetData>
    <row r="1" spans="1:14" s="5" customFormat="1" ht="13.5" thickBot="1" x14ac:dyDescent="0.25">
      <c r="A1" s="10" t="s">
        <v>515</v>
      </c>
      <c r="B1" s="20" t="s">
        <v>514</v>
      </c>
      <c r="C1" s="10" t="s">
        <v>516</v>
      </c>
      <c r="D1" s="10" t="s">
        <v>517</v>
      </c>
      <c r="E1" s="25" t="s">
        <v>504</v>
      </c>
      <c r="F1" s="25" t="s">
        <v>505</v>
      </c>
      <c r="G1" s="25" t="s">
        <v>506</v>
      </c>
      <c r="H1" s="25" t="s">
        <v>507</v>
      </c>
      <c r="I1" s="25" t="s">
        <v>508</v>
      </c>
      <c r="J1" s="25" t="s">
        <v>509</v>
      </c>
      <c r="K1" s="25" t="s">
        <v>510</v>
      </c>
      <c r="L1" s="25" t="s">
        <v>511</v>
      </c>
      <c r="M1" s="25" t="s">
        <v>512</v>
      </c>
      <c r="N1" s="25" t="s">
        <v>513</v>
      </c>
    </row>
    <row r="2" spans="1:14" x14ac:dyDescent="0.2">
      <c r="A2" s="5" t="s">
        <v>7</v>
      </c>
      <c r="B2" s="22" t="s">
        <v>518</v>
      </c>
      <c r="C2" s="4" t="s">
        <v>665</v>
      </c>
      <c r="D2" s="4" t="str">
        <f>RIGHT(A2,3)</f>
        <v>A01</v>
      </c>
      <c r="E2" s="4">
        <v>16</v>
      </c>
      <c r="F2" s="4">
        <f>SUM(K2:N2)</f>
        <v>4</v>
      </c>
      <c r="G2" s="4">
        <v>4</v>
      </c>
      <c r="H2" s="4">
        <v>4</v>
      </c>
      <c r="I2" s="4">
        <v>4</v>
      </c>
      <c r="J2" s="4">
        <v>4</v>
      </c>
      <c r="K2" s="4">
        <v>1</v>
      </c>
      <c r="L2" s="4">
        <v>1</v>
      </c>
      <c r="M2" s="4">
        <v>1</v>
      </c>
      <c r="N2" s="4">
        <v>1</v>
      </c>
    </row>
    <row r="3" spans="1:14" x14ac:dyDescent="0.2">
      <c r="A3" s="5" t="s">
        <v>8</v>
      </c>
      <c r="B3" s="22" t="s">
        <v>519</v>
      </c>
      <c r="C3" s="4" t="s">
        <v>665</v>
      </c>
      <c r="D3" s="4" t="str">
        <f t="shared" ref="D3:D66" si="0">RIGHT(A3,3)</f>
        <v>A02</v>
      </c>
      <c r="E3" s="4">
        <v>8</v>
      </c>
      <c r="F3" s="4">
        <f t="shared" ref="F3:F66" si="1">SUM(K3:N3)</f>
        <v>2</v>
      </c>
      <c r="G3" s="4">
        <v>4</v>
      </c>
      <c r="H3" s="4">
        <v>0</v>
      </c>
      <c r="I3" s="4">
        <v>4</v>
      </c>
      <c r="J3" s="4">
        <v>0</v>
      </c>
      <c r="K3" s="4">
        <v>1</v>
      </c>
      <c r="L3" s="4">
        <v>0</v>
      </c>
      <c r="M3" s="4">
        <v>1</v>
      </c>
      <c r="N3" s="4">
        <v>0</v>
      </c>
    </row>
    <row r="4" spans="1:14" x14ac:dyDescent="0.2">
      <c r="A4" s="5" t="s">
        <v>9</v>
      </c>
      <c r="B4" s="22" t="s">
        <v>520</v>
      </c>
      <c r="C4" s="4" t="s">
        <v>665</v>
      </c>
      <c r="D4" s="4" t="str">
        <f t="shared" si="0"/>
        <v>A03</v>
      </c>
      <c r="E4" s="4">
        <v>8</v>
      </c>
      <c r="F4" s="4">
        <f t="shared" si="1"/>
        <v>3</v>
      </c>
      <c r="G4" s="4">
        <v>3</v>
      </c>
      <c r="H4" s="4">
        <v>3</v>
      </c>
      <c r="I4" s="4">
        <v>0</v>
      </c>
      <c r="J4" s="4">
        <v>2</v>
      </c>
      <c r="K4" s="4">
        <v>1</v>
      </c>
      <c r="L4" s="4">
        <v>1</v>
      </c>
      <c r="M4" s="4">
        <v>0</v>
      </c>
      <c r="N4" s="4">
        <v>1</v>
      </c>
    </row>
    <row r="5" spans="1:14" x14ac:dyDescent="0.2">
      <c r="A5" s="5" t="s">
        <v>10</v>
      </c>
      <c r="B5" s="22" t="s">
        <v>521</v>
      </c>
      <c r="C5" s="4" t="s">
        <v>665</v>
      </c>
      <c r="D5" s="4" t="str">
        <f t="shared" si="0"/>
        <v>A04</v>
      </c>
      <c r="E5" s="4">
        <v>4</v>
      </c>
      <c r="F5" s="4">
        <f t="shared" si="1"/>
        <v>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</row>
    <row r="6" spans="1:14" x14ac:dyDescent="0.2">
      <c r="A6" s="5" t="s">
        <v>11</v>
      </c>
      <c r="B6" s="22" t="s">
        <v>522</v>
      </c>
      <c r="C6" s="4" t="s">
        <v>665</v>
      </c>
      <c r="D6" s="4" t="str">
        <f t="shared" si="0"/>
        <v>A05</v>
      </c>
      <c r="E6" s="4">
        <v>2</v>
      </c>
      <c r="F6" s="4">
        <f t="shared" si="1"/>
        <v>1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4">
        <v>0</v>
      </c>
      <c r="M6" s="4">
        <v>0</v>
      </c>
      <c r="N6" s="4">
        <v>1</v>
      </c>
    </row>
    <row r="7" spans="1:14" x14ac:dyDescent="0.2">
      <c r="A7" s="5" t="s">
        <v>12</v>
      </c>
      <c r="B7" s="22" t="s">
        <v>523</v>
      </c>
      <c r="C7" s="4" t="s">
        <v>665</v>
      </c>
      <c r="D7" s="4" t="str">
        <f t="shared" si="0"/>
        <v>A06</v>
      </c>
      <c r="E7" s="4">
        <v>16</v>
      </c>
      <c r="F7" s="4">
        <f t="shared" si="1"/>
        <v>2</v>
      </c>
      <c r="G7" s="4">
        <v>8</v>
      </c>
      <c r="H7" s="4">
        <v>0</v>
      </c>
      <c r="I7" s="4">
        <v>8</v>
      </c>
      <c r="J7" s="4">
        <v>0</v>
      </c>
      <c r="K7" s="4">
        <v>1</v>
      </c>
      <c r="L7" s="4">
        <v>0</v>
      </c>
      <c r="M7" s="4">
        <v>1</v>
      </c>
      <c r="N7" s="4">
        <v>0</v>
      </c>
    </row>
    <row r="8" spans="1:14" x14ac:dyDescent="0.2">
      <c r="A8" s="5" t="s">
        <v>13</v>
      </c>
      <c r="B8" s="22" t="s">
        <v>524</v>
      </c>
      <c r="C8" s="4" t="s">
        <v>665</v>
      </c>
      <c r="D8" s="4" t="str">
        <f t="shared" si="0"/>
        <v>A07</v>
      </c>
      <c r="E8" s="4">
        <v>2</v>
      </c>
      <c r="F8" s="4">
        <f t="shared" si="1"/>
        <v>1</v>
      </c>
      <c r="G8" s="4">
        <v>0</v>
      </c>
      <c r="H8" s="4">
        <v>0</v>
      </c>
      <c r="I8" s="4">
        <v>2</v>
      </c>
      <c r="J8" s="4">
        <v>0</v>
      </c>
      <c r="K8" s="4">
        <v>0</v>
      </c>
      <c r="L8" s="4">
        <v>0</v>
      </c>
      <c r="M8" s="4">
        <v>1</v>
      </c>
      <c r="N8" s="4">
        <v>0</v>
      </c>
    </row>
    <row r="9" spans="1:14" x14ac:dyDescent="0.2">
      <c r="A9" s="5" t="s">
        <v>14</v>
      </c>
      <c r="B9" s="22" t="s">
        <v>525</v>
      </c>
      <c r="C9" s="4" t="s">
        <v>665</v>
      </c>
      <c r="D9" s="4" t="str">
        <f t="shared" si="0"/>
        <v>A08</v>
      </c>
      <c r="E9" s="4">
        <v>1</v>
      </c>
      <c r="F9" s="4">
        <f t="shared" si="1"/>
        <v>1</v>
      </c>
      <c r="G9" s="4">
        <v>0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1</v>
      </c>
    </row>
    <row r="10" spans="1:14" x14ac:dyDescent="0.2">
      <c r="A10" s="5" t="s">
        <v>15</v>
      </c>
      <c r="B10" s="22" t="s">
        <v>526</v>
      </c>
      <c r="C10" s="4" t="s">
        <v>665</v>
      </c>
      <c r="D10" s="4" t="str">
        <f t="shared" si="0"/>
        <v>A09</v>
      </c>
      <c r="E10" s="4">
        <v>1</v>
      </c>
      <c r="F10" s="4">
        <f t="shared" si="1"/>
        <v>1</v>
      </c>
      <c r="G10" s="4">
        <v>1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</row>
    <row r="11" spans="1:14" x14ac:dyDescent="0.2">
      <c r="A11" s="5" t="s">
        <v>16</v>
      </c>
      <c r="B11" s="22" t="s">
        <v>527</v>
      </c>
      <c r="C11" s="4" t="s">
        <v>665</v>
      </c>
      <c r="D11" s="4" t="str">
        <f t="shared" si="0"/>
        <v>A10</v>
      </c>
      <c r="E11" s="4">
        <v>0</v>
      </c>
      <c r="F11" s="4">
        <f t="shared" si="1"/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">
      <c r="A12" s="5" t="s">
        <v>17</v>
      </c>
      <c r="B12" s="22" t="s">
        <v>528</v>
      </c>
      <c r="C12" s="4" t="s">
        <v>665</v>
      </c>
      <c r="D12" s="4" t="str">
        <f t="shared" si="0"/>
        <v>A11</v>
      </c>
      <c r="E12" s="4">
        <v>16</v>
      </c>
      <c r="F12" s="4">
        <f t="shared" si="1"/>
        <v>1</v>
      </c>
      <c r="G12" s="4">
        <v>0</v>
      </c>
      <c r="H12" s="4">
        <v>0</v>
      </c>
      <c r="I12" s="4">
        <v>16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</row>
    <row r="13" spans="1:14" x14ac:dyDescent="0.2">
      <c r="A13" s="5" t="s">
        <v>18</v>
      </c>
      <c r="B13" s="22" t="s">
        <v>529</v>
      </c>
      <c r="C13" s="4" t="s">
        <v>665</v>
      </c>
      <c r="D13" s="4" t="str">
        <f t="shared" si="0"/>
        <v>A12</v>
      </c>
      <c r="E13" s="4">
        <v>8</v>
      </c>
      <c r="F13" s="4">
        <f t="shared" si="1"/>
        <v>1</v>
      </c>
      <c r="G13" s="4">
        <v>0</v>
      </c>
      <c r="H13" s="4">
        <v>0</v>
      </c>
      <c r="I13" s="4">
        <v>0</v>
      </c>
      <c r="J13" s="4">
        <v>8</v>
      </c>
      <c r="K13" s="4">
        <v>0</v>
      </c>
      <c r="L13" s="4">
        <v>0</v>
      </c>
      <c r="M13" s="4">
        <v>0</v>
      </c>
      <c r="N13" s="4">
        <v>1</v>
      </c>
    </row>
    <row r="14" spans="1:14" x14ac:dyDescent="0.2">
      <c r="A14" s="5" t="s">
        <v>19</v>
      </c>
      <c r="B14" s="22" t="s">
        <v>530</v>
      </c>
      <c r="C14" s="4" t="s">
        <v>665</v>
      </c>
      <c r="D14" s="4" t="str">
        <f t="shared" si="0"/>
        <v>A13</v>
      </c>
      <c r="E14" s="4">
        <v>4</v>
      </c>
      <c r="F14" s="4">
        <f t="shared" si="1"/>
        <v>1</v>
      </c>
      <c r="G14" s="4">
        <v>0</v>
      </c>
      <c r="H14" s="4">
        <v>0</v>
      </c>
      <c r="I14" s="4">
        <v>0</v>
      </c>
      <c r="J14" s="4">
        <v>4</v>
      </c>
      <c r="K14" s="4">
        <v>0</v>
      </c>
      <c r="L14" s="4">
        <v>0</v>
      </c>
      <c r="M14" s="4">
        <v>0</v>
      </c>
      <c r="N14" s="4">
        <v>1</v>
      </c>
    </row>
    <row r="15" spans="1:14" x14ac:dyDescent="0.2">
      <c r="A15" s="5" t="s">
        <v>20</v>
      </c>
      <c r="B15" s="22" t="s">
        <v>531</v>
      </c>
      <c r="C15" s="4" t="s">
        <v>665</v>
      </c>
      <c r="D15" s="4" t="str">
        <f t="shared" si="0"/>
        <v>A14</v>
      </c>
      <c r="E15" s="4">
        <v>8</v>
      </c>
      <c r="F15" s="4">
        <f t="shared" si="1"/>
        <v>4</v>
      </c>
      <c r="G15" s="4">
        <v>2</v>
      </c>
      <c r="H15" s="4">
        <v>2</v>
      </c>
      <c r="I15" s="4">
        <v>2</v>
      </c>
      <c r="J15" s="4">
        <v>2</v>
      </c>
      <c r="K15" s="4">
        <v>1</v>
      </c>
      <c r="L15" s="4">
        <v>1</v>
      </c>
      <c r="M15" s="4">
        <v>1</v>
      </c>
      <c r="N15" s="4">
        <v>1</v>
      </c>
    </row>
    <row r="16" spans="1:14" x14ac:dyDescent="0.2">
      <c r="A16" s="5" t="s">
        <v>21</v>
      </c>
      <c r="B16" s="22" t="s">
        <v>532</v>
      </c>
      <c r="C16" s="4" t="s">
        <v>665</v>
      </c>
      <c r="D16" s="4" t="str">
        <f t="shared" si="0"/>
        <v>A15</v>
      </c>
      <c r="E16" s="4">
        <v>1</v>
      </c>
      <c r="F16" s="4">
        <f t="shared" si="1"/>
        <v>1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</row>
    <row r="17" spans="1:14" x14ac:dyDescent="0.2">
      <c r="A17" s="5" t="s">
        <v>22</v>
      </c>
      <c r="B17" s="22" t="s">
        <v>533</v>
      </c>
      <c r="C17" s="4" t="s">
        <v>665</v>
      </c>
      <c r="D17" s="4" t="str">
        <f t="shared" si="0"/>
        <v>A16</v>
      </c>
      <c r="E17" s="4">
        <v>2</v>
      </c>
      <c r="F17" s="4">
        <f t="shared" si="1"/>
        <v>2</v>
      </c>
      <c r="G17" s="4">
        <v>1</v>
      </c>
      <c r="H17" s="4">
        <v>1</v>
      </c>
      <c r="I17" s="4">
        <v>0</v>
      </c>
      <c r="J17" s="4">
        <v>0</v>
      </c>
      <c r="K17" s="4">
        <v>1</v>
      </c>
      <c r="L17" s="4">
        <v>1</v>
      </c>
      <c r="M17" s="4">
        <v>0</v>
      </c>
      <c r="N17" s="4">
        <v>0</v>
      </c>
    </row>
    <row r="18" spans="1:14" x14ac:dyDescent="0.2">
      <c r="A18" s="5" t="s">
        <v>23</v>
      </c>
      <c r="B18" s="22" t="s">
        <v>534</v>
      </c>
      <c r="C18" s="4" t="s">
        <v>665</v>
      </c>
      <c r="D18" s="4" t="str">
        <f t="shared" si="0"/>
        <v>A17</v>
      </c>
      <c r="E18" s="4">
        <v>2</v>
      </c>
      <c r="F18" s="4">
        <f t="shared" si="1"/>
        <v>2</v>
      </c>
      <c r="G18" s="4">
        <v>1</v>
      </c>
      <c r="H18" s="4">
        <v>0</v>
      </c>
      <c r="I18" s="4">
        <v>1</v>
      </c>
      <c r="J18" s="4">
        <v>0</v>
      </c>
      <c r="K18" s="4">
        <v>1</v>
      </c>
      <c r="L18" s="4">
        <v>0</v>
      </c>
      <c r="M18" s="4">
        <v>1</v>
      </c>
      <c r="N18" s="4">
        <v>0</v>
      </c>
    </row>
    <row r="19" spans="1:14" x14ac:dyDescent="0.2">
      <c r="A19" s="5" t="s">
        <v>24</v>
      </c>
      <c r="B19" s="22" t="s">
        <v>535</v>
      </c>
      <c r="C19" s="4" t="s">
        <v>665</v>
      </c>
      <c r="D19" s="4" t="str">
        <f t="shared" si="0"/>
        <v>A18</v>
      </c>
      <c r="E19" s="4">
        <v>1</v>
      </c>
      <c r="F19" s="4">
        <f t="shared" si="1"/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</row>
    <row r="20" spans="1:14" x14ac:dyDescent="0.2">
      <c r="A20" s="5" t="s">
        <v>25</v>
      </c>
      <c r="B20" s="22" t="s">
        <v>536</v>
      </c>
      <c r="C20" s="4" t="s">
        <v>665</v>
      </c>
      <c r="D20" s="4" t="str">
        <f t="shared" si="0"/>
        <v>A19</v>
      </c>
      <c r="E20" s="4">
        <v>4</v>
      </c>
      <c r="F20" s="4">
        <f t="shared" si="1"/>
        <v>3</v>
      </c>
      <c r="G20" s="4">
        <v>2</v>
      </c>
      <c r="H20" s="4">
        <v>1</v>
      </c>
      <c r="I20" s="4">
        <v>1</v>
      </c>
      <c r="J20" s="4">
        <v>0</v>
      </c>
      <c r="K20" s="4">
        <v>1</v>
      </c>
      <c r="L20" s="4">
        <v>1</v>
      </c>
      <c r="M20" s="4">
        <v>1</v>
      </c>
      <c r="N20" s="4">
        <v>0</v>
      </c>
    </row>
    <row r="21" spans="1:14" x14ac:dyDescent="0.2">
      <c r="A21" s="5" t="s">
        <v>26</v>
      </c>
      <c r="B21" s="22" t="s">
        <v>537</v>
      </c>
      <c r="C21" s="4" t="s">
        <v>665</v>
      </c>
      <c r="D21" s="4" t="str">
        <f t="shared" si="0"/>
        <v>A20</v>
      </c>
      <c r="E21" s="4">
        <v>16</v>
      </c>
      <c r="F21" s="4">
        <f t="shared" si="1"/>
        <v>3</v>
      </c>
      <c r="G21" s="4">
        <v>0</v>
      </c>
      <c r="H21" s="4">
        <v>6</v>
      </c>
      <c r="I21" s="4">
        <v>5</v>
      </c>
      <c r="J21" s="4">
        <v>5</v>
      </c>
      <c r="K21" s="4">
        <v>0</v>
      </c>
      <c r="L21" s="4">
        <v>1</v>
      </c>
      <c r="M21" s="4">
        <v>1</v>
      </c>
      <c r="N21" s="4">
        <v>1</v>
      </c>
    </row>
    <row r="22" spans="1:14" x14ac:dyDescent="0.2">
      <c r="A22" s="5" t="s">
        <v>27</v>
      </c>
      <c r="B22" s="22" t="s">
        <v>538</v>
      </c>
      <c r="C22" s="4" t="s">
        <v>665</v>
      </c>
      <c r="D22" s="4" t="str">
        <f t="shared" si="0"/>
        <v>A21</v>
      </c>
      <c r="E22" s="4">
        <v>4</v>
      </c>
      <c r="F22" s="4">
        <f t="shared" si="1"/>
        <v>2</v>
      </c>
      <c r="G22" s="4">
        <v>2</v>
      </c>
      <c r="H22" s="4">
        <v>0</v>
      </c>
      <c r="I22" s="4">
        <v>2</v>
      </c>
      <c r="J22" s="4">
        <v>0</v>
      </c>
      <c r="K22" s="4">
        <v>1</v>
      </c>
      <c r="L22" s="4">
        <v>0</v>
      </c>
      <c r="M22" s="4">
        <v>1</v>
      </c>
      <c r="N22" s="4">
        <v>0</v>
      </c>
    </row>
    <row r="23" spans="1:14" x14ac:dyDescent="0.2">
      <c r="A23" s="5" t="s">
        <v>28</v>
      </c>
      <c r="B23" s="22" t="s">
        <v>539</v>
      </c>
      <c r="C23" s="4" t="s">
        <v>665</v>
      </c>
      <c r="D23" s="4" t="str">
        <f t="shared" si="0"/>
        <v>A22</v>
      </c>
      <c r="E23" s="4">
        <v>60</v>
      </c>
      <c r="F23" s="4">
        <f t="shared" si="1"/>
        <v>4</v>
      </c>
      <c r="G23" s="4">
        <v>16</v>
      </c>
      <c r="H23" s="4">
        <v>12</v>
      </c>
      <c r="I23" s="4">
        <v>20</v>
      </c>
      <c r="J23" s="4">
        <v>12</v>
      </c>
      <c r="K23" s="4">
        <v>1</v>
      </c>
      <c r="L23" s="4">
        <v>1</v>
      </c>
      <c r="M23" s="4">
        <v>1</v>
      </c>
      <c r="N23" s="4">
        <v>1</v>
      </c>
    </row>
    <row r="24" spans="1:14" x14ac:dyDescent="0.2">
      <c r="A24" s="5" t="s">
        <v>29</v>
      </c>
      <c r="B24" s="22" t="s">
        <v>540</v>
      </c>
      <c r="C24" s="4" t="s">
        <v>666</v>
      </c>
      <c r="D24" s="4" t="str">
        <f t="shared" si="0"/>
        <v>A01</v>
      </c>
      <c r="E24" s="4">
        <v>4</v>
      </c>
      <c r="F24" s="4">
        <f t="shared" si="1"/>
        <v>4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</row>
    <row r="25" spans="1:14" x14ac:dyDescent="0.2">
      <c r="A25" s="5" t="s">
        <v>30</v>
      </c>
      <c r="B25" s="22" t="s">
        <v>541</v>
      </c>
      <c r="C25" s="4" t="s">
        <v>666</v>
      </c>
      <c r="D25" s="4" t="str">
        <f t="shared" si="0"/>
        <v>A02</v>
      </c>
      <c r="E25" s="4">
        <v>2</v>
      </c>
      <c r="F25" s="4">
        <f t="shared" si="1"/>
        <v>1</v>
      </c>
      <c r="G25" s="4">
        <v>2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</row>
    <row r="26" spans="1:14" x14ac:dyDescent="0.2">
      <c r="A26" s="5" t="s">
        <v>31</v>
      </c>
      <c r="B26" s="22" t="s">
        <v>539</v>
      </c>
      <c r="C26" s="4" t="s">
        <v>666</v>
      </c>
      <c r="D26" s="4" t="str">
        <f t="shared" si="0"/>
        <v>A03</v>
      </c>
      <c r="E26" s="4">
        <v>60</v>
      </c>
      <c r="F26" s="4">
        <f t="shared" si="1"/>
        <v>4</v>
      </c>
      <c r="G26" s="4">
        <v>16</v>
      </c>
      <c r="H26" s="4">
        <v>12</v>
      </c>
      <c r="I26" s="4">
        <v>20</v>
      </c>
      <c r="J26" s="4">
        <v>12</v>
      </c>
      <c r="K26" s="4">
        <v>1</v>
      </c>
      <c r="L26" s="4">
        <v>1</v>
      </c>
      <c r="M26" s="4">
        <v>1</v>
      </c>
      <c r="N26" s="4">
        <v>1</v>
      </c>
    </row>
    <row r="27" spans="1:14" x14ac:dyDescent="0.2">
      <c r="A27" s="5" t="s">
        <v>32</v>
      </c>
      <c r="B27" s="22" t="s">
        <v>542</v>
      </c>
      <c r="C27" s="4" t="s">
        <v>666</v>
      </c>
      <c r="D27" s="4" t="str">
        <f t="shared" si="0"/>
        <v>A04</v>
      </c>
      <c r="E27" s="4">
        <v>1</v>
      </c>
      <c r="F27" s="4">
        <f t="shared" si="1"/>
        <v>1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</row>
    <row r="28" spans="1:14" x14ac:dyDescent="0.2">
      <c r="A28" s="5" t="s">
        <v>33</v>
      </c>
      <c r="B28" s="22" t="s">
        <v>543</v>
      </c>
      <c r="C28" s="4" t="s">
        <v>666</v>
      </c>
      <c r="D28" s="4" t="str">
        <f t="shared" si="0"/>
        <v>A05</v>
      </c>
      <c r="E28" s="4">
        <v>1</v>
      </c>
      <c r="F28" s="4">
        <f t="shared" si="1"/>
        <v>1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</row>
    <row r="29" spans="1:14" x14ac:dyDescent="0.2">
      <c r="A29" s="5" t="s">
        <v>34</v>
      </c>
      <c r="B29" s="22" t="s">
        <v>544</v>
      </c>
      <c r="C29" s="4" t="s">
        <v>666</v>
      </c>
      <c r="D29" s="4" t="str">
        <f t="shared" si="0"/>
        <v>A06</v>
      </c>
      <c r="E29" s="4">
        <v>4</v>
      </c>
      <c r="F29" s="4">
        <f t="shared" si="1"/>
        <v>2</v>
      </c>
      <c r="G29" s="4">
        <v>0</v>
      </c>
      <c r="H29" s="4">
        <v>2</v>
      </c>
      <c r="I29" s="4">
        <v>0</v>
      </c>
      <c r="J29" s="4">
        <v>2</v>
      </c>
      <c r="K29" s="4">
        <v>0</v>
      </c>
      <c r="L29" s="4">
        <v>1</v>
      </c>
      <c r="M29" s="4">
        <v>0</v>
      </c>
      <c r="N29" s="4">
        <v>1</v>
      </c>
    </row>
    <row r="30" spans="1:14" x14ac:dyDescent="0.2">
      <c r="A30" s="5" t="s">
        <v>35</v>
      </c>
      <c r="B30" s="18" t="s">
        <v>527</v>
      </c>
      <c r="C30" s="4" t="s">
        <v>666</v>
      </c>
      <c r="D30" s="4" t="str">
        <f t="shared" si="0"/>
        <v>A07</v>
      </c>
      <c r="E30" s="4">
        <v>0</v>
      </c>
      <c r="F30" s="4">
        <f t="shared" si="1"/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">
      <c r="A31" s="5" t="s">
        <v>36</v>
      </c>
      <c r="B31" s="22" t="s">
        <v>545</v>
      </c>
      <c r="C31" s="4" t="s">
        <v>666</v>
      </c>
      <c r="D31" s="4" t="str">
        <f t="shared" si="0"/>
        <v>A08</v>
      </c>
      <c r="E31" s="4">
        <v>2</v>
      </c>
      <c r="F31" s="4">
        <f t="shared" si="1"/>
        <v>2</v>
      </c>
      <c r="G31" s="4">
        <v>0</v>
      </c>
      <c r="H31" s="4">
        <v>0</v>
      </c>
      <c r="I31" s="4">
        <v>1</v>
      </c>
      <c r="J31" s="4">
        <v>1</v>
      </c>
      <c r="K31" s="4">
        <v>0</v>
      </c>
      <c r="L31" s="4">
        <v>0</v>
      </c>
      <c r="M31" s="4">
        <v>1</v>
      </c>
      <c r="N31" s="4">
        <v>1</v>
      </c>
    </row>
    <row r="32" spans="1:14" x14ac:dyDescent="0.2">
      <c r="A32" s="5" t="s">
        <v>37</v>
      </c>
      <c r="B32" s="22" t="s">
        <v>546</v>
      </c>
      <c r="C32" s="4" t="s">
        <v>666</v>
      </c>
      <c r="D32" s="4" t="str">
        <f t="shared" si="0"/>
        <v>A09</v>
      </c>
      <c r="E32" s="4">
        <v>4</v>
      </c>
      <c r="F32" s="4">
        <f t="shared" si="1"/>
        <v>1</v>
      </c>
      <c r="G32" s="4">
        <v>0</v>
      </c>
      <c r="H32" s="4">
        <v>4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0</v>
      </c>
    </row>
    <row r="33" spans="1:14" x14ac:dyDescent="0.2">
      <c r="A33" s="5" t="s">
        <v>38</v>
      </c>
      <c r="B33" s="22" t="s">
        <v>547</v>
      </c>
      <c r="C33" s="4" t="s">
        <v>666</v>
      </c>
      <c r="D33" s="4" t="str">
        <f t="shared" si="0"/>
        <v>A10</v>
      </c>
      <c r="E33" s="4">
        <v>16</v>
      </c>
      <c r="F33" s="4">
        <f t="shared" si="1"/>
        <v>2</v>
      </c>
      <c r="G33" s="4">
        <v>8</v>
      </c>
      <c r="H33" s="4">
        <v>8</v>
      </c>
      <c r="I33" s="4">
        <v>0</v>
      </c>
      <c r="J33" s="4">
        <v>0</v>
      </c>
      <c r="K33" s="4">
        <v>1</v>
      </c>
      <c r="L33" s="4">
        <v>1</v>
      </c>
      <c r="M33" s="4">
        <v>0</v>
      </c>
      <c r="N33" s="4">
        <v>0</v>
      </c>
    </row>
    <row r="34" spans="1:14" x14ac:dyDescent="0.2">
      <c r="A34" s="5" t="s">
        <v>39</v>
      </c>
      <c r="B34" s="22" t="s">
        <v>598</v>
      </c>
      <c r="C34" s="4" t="s">
        <v>666</v>
      </c>
      <c r="D34" s="4" t="str">
        <f t="shared" si="0"/>
        <v>A11</v>
      </c>
      <c r="E34" s="4">
        <v>0</v>
      </c>
      <c r="F34" s="4">
        <f t="shared" si="1"/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">
      <c r="A35" s="5" t="s">
        <v>40</v>
      </c>
      <c r="B35" s="22" t="s">
        <v>548</v>
      </c>
      <c r="C35" s="4" t="s">
        <v>666</v>
      </c>
      <c r="D35" s="4" t="str">
        <f t="shared" si="0"/>
        <v>A12</v>
      </c>
      <c r="E35" s="4">
        <v>8</v>
      </c>
      <c r="F35" s="4">
        <f t="shared" si="1"/>
        <v>1</v>
      </c>
      <c r="G35" s="4">
        <v>0</v>
      </c>
      <c r="H35" s="4">
        <v>0</v>
      </c>
      <c r="I35" s="4">
        <v>8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</row>
    <row r="36" spans="1:14" x14ac:dyDescent="0.2">
      <c r="A36" s="5" t="s">
        <v>41</v>
      </c>
      <c r="B36" s="22" t="s">
        <v>549</v>
      </c>
      <c r="C36" s="4" t="s">
        <v>666</v>
      </c>
      <c r="D36" s="4" t="str">
        <f t="shared" si="0"/>
        <v>A13</v>
      </c>
      <c r="E36" s="4">
        <v>1</v>
      </c>
      <c r="F36" s="4">
        <f t="shared" si="1"/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</row>
    <row r="37" spans="1:14" x14ac:dyDescent="0.2">
      <c r="A37" s="5" t="s">
        <v>42</v>
      </c>
      <c r="B37" s="22" t="s">
        <v>550</v>
      </c>
      <c r="C37" s="4" t="s">
        <v>666</v>
      </c>
      <c r="D37" s="4" t="str">
        <f t="shared" si="0"/>
        <v>A14</v>
      </c>
      <c r="E37" s="4">
        <v>8</v>
      </c>
      <c r="F37" s="4">
        <f t="shared" si="1"/>
        <v>4</v>
      </c>
      <c r="G37" s="4">
        <v>2</v>
      </c>
      <c r="H37" s="4">
        <v>2</v>
      </c>
      <c r="I37" s="4">
        <v>2</v>
      </c>
      <c r="J37" s="4">
        <v>2</v>
      </c>
      <c r="K37" s="4">
        <v>1</v>
      </c>
      <c r="L37" s="4">
        <v>1</v>
      </c>
      <c r="M37" s="4">
        <v>1</v>
      </c>
      <c r="N37" s="4">
        <v>1</v>
      </c>
    </row>
    <row r="38" spans="1:14" x14ac:dyDescent="0.2">
      <c r="A38" s="5" t="s">
        <v>43</v>
      </c>
      <c r="B38" s="22" t="s">
        <v>551</v>
      </c>
      <c r="C38" s="4" t="s">
        <v>666</v>
      </c>
      <c r="D38" s="4" t="str">
        <f t="shared" si="0"/>
        <v>A15</v>
      </c>
      <c r="E38" s="4">
        <v>1</v>
      </c>
      <c r="F38" s="4">
        <f t="shared" si="1"/>
        <v>1</v>
      </c>
      <c r="G38" s="4">
        <v>0</v>
      </c>
      <c r="H38" s="4">
        <v>0</v>
      </c>
      <c r="I38" s="4">
        <v>0</v>
      </c>
      <c r="J38" s="4">
        <v>1</v>
      </c>
      <c r="K38" s="4">
        <v>0</v>
      </c>
      <c r="L38" s="4">
        <v>0</v>
      </c>
      <c r="M38" s="4">
        <v>0</v>
      </c>
      <c r="N38" s="4">
        <v>1</v>
      </c>
    </row>
    <row r="39" spans="1:14" x14ac:dyDescent="0.2">
      <c r="A39" s="5" t="s">
        <v>44</v>
      </c>
      <c r="B39" s="22" t="s">
        <v>552</v>
      </c>
      <c r="C39" s="4" t="s">
        <v>666</v>
      </c>
      <c r="D39" s="4" t="str">
        <f t="shared" si="0"/>
        <v>A16</v>
      </c>
      <c r="E39" s="4">
        <v>4</v>
      </c>
      <c r="F39" s="4">
        <f t="shared" si="1"/>
        <v>3</v>
      </c>
      <c r="G39" s="4">
        <v>0</v>
      </c>
      <c r="H39" s="4">
        <v>2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s="4">
        <v>1</v>
      </c>
    </row>
    <row r="40" spans="1:14" x14ac:dyDescent="0.2">
      <c r="A40" s="5" t="s">
        <v>45</v>
      </c>
      <c r="B40" s="22" t="s">
        <v>553</v>
      </c>
      <c r="C40" s="4" t="s">
        <v>666</v>
      </c>
      <c r="D40" s="4" t="str">
        <f t="shared" si="0"/>
        <v>A17</v>
      </c>
      <c r="E40" s="4">
        <v>8</v>
      </c>
      <c r="F40" s="4">
        <f t="shared" si="1"/>
        <v>2</v>
      </c>
      <c r="G40" s="4">
        <v>0</v>
      </c>
      <c r="H40" s="4">
        <v>4</v>
      </c>
      <c r="I40" s="4">
        <v>0</v>
      </c>
      <c r="J40" s="4">
        <v>4</v>
      </c>
      <c r="K40" s="4">
        <v>0</v>
      </c>
      <c r="L40" s="4">
        <v>1</v>
      </c>
      <c r="M40" s="4">
        <v>0</v>
      </c>
      <c r="N40" s="4">
        <v>1</v>
      </c>
    </row>
    <row r="41" spans="1:14" x14ac:dyDescent="0.2">
      <c r="A41" s="5" t="s">
        <v>46</v>
      </c>
      <c r="B41" s="22" t="s">
        <v>554</v>
      </c>
      <c r="C41" s="4" t="s">
        <v>666</v>
      </c>
      <c r="D41" s="4" t="str">
        <f t="shared" si="0"/>
        <v>A18</v>
      </c>
      <c r="E41" s="4">
        <v>16</v>
      </c>
      <c r="F41" s="4">
        <f t="shared" si="1"/>
        <v>4</v>
      </c>
      <c r="G41" s="4">
        <v>4</v>
      </c>
      <c r="H41" s="4">
        <v>4</v>
      </c>
      <c r="I41" s="4">
        <v>4</v>
      </c>
      <c r="J41" s="4">
        <v>4</v>
      </c>
      <c r="K41" s="4">
        <v>1</v>
      </c>
      <c r="L41" s="4">
        <v>1</v>
      </c>
      <c r="M41" s="4">
        <v>1</v>
      </c>
      <c r="N41" s="4">
        <v>1</v>
      </c>
    </row>
    <row r="42" spans="1:14" x14ac:dyDescent="0.2">
      <c r="A42" s="5" t="s">
        <v>47</v>
      </c>
      <c r="B42" s="22" t="s">
        <v>555</v>
      </c>
      <c r="C42" s="4" t="s">
        <v>666</v>
      </c>
      <c r="D42" s="4" t="str">
        <f t="shared" si="0"/>
        <v>A19</v>
      </c>
      <c r="E42" s="4">
        <v>2</v>
      </c>
      <c r="F42" s="4">
        <f t="shared" si="1"/>
        <v>1</v>
      </c>
      <c r="G42" s="4">
        <v>0</v>
      </c>
      <c r="H42" s="4">
        <v>2</v>
      </c>
      <c r="I42" s="4">
        <v>0</v>
      </c>
      <c r="J42" s="4">
        <v>0</v>
      </c>
      <c r="K42" s="4">
        <v>0</v>
      </c>
      <c r="L42" s="4">
        <v>1</v>
      </c>
      <c r="M42" s="4">
        <v>0</v>
      </c>
      <c r="N42" s="4">
        <v>0</v>
      </c>
    </row>
    <row r="43" spans="1:14" x14ac:dyDescent="0.2">
      <c r="A43" s="5" t="s">
        <v>48</v>
      </c>
      <c r="B43" s="22" t="s">
        <v>556</v>
      </c>
      <c r="C43" s="4" t="s">
        <v>666</v>
      </c>
      <c r="D43" s="4" t="str">
        <f t="shared" si="0"/>
        <v>A20</v>
      </c>
      <c r="E43" s="4">
        <v>2</v>
      </c>
      <c r="F43" s="4">
        <f t="shared" si="1"/>
        <v>2</v>
      </c>
      <c r="G43" s="4">
        <v>0</v>
      </c>
      <c r="H43" s="4">
        <v>1</v>
      </c>
      <c r="I43" s="4">
        <v>0</v>
      </c>
      <c r="J43" s="4">
        <v>1</v>
      </c>
      <c r="K43" s="4">
        <v>0</v>
      </c>
      <c r="L43" s="4">
        <v>1</v>
      </c>
      <c r="M43" s="4">
        <v>0</v>
      </c>
      <c r="N43" s="4">
        <v>1</v>
      </c>
    </row>
    <row r="44" spans="1:14" x14ac:dyDescent="0.2">
      <c r="A44" s="5" t="s">
        <v>49</v>
      </c>
      <c r="B44" s="22" t="s">
        <v>557</v>
      </c>
      <c r="C44" s="4" t="s">
        <v>666</v>
      </c>
      <c r="D44" s="4" t="str">
        <f t="shared" si="0"/>
        <v>A21</v>
      </c>
      <c r="E44" s="4">
        <v>8</v>
      </c>
      <c r="F44" s="4">
        <f t="shared" si="1"/>
        <v>3</v>
      </c>
      <c r="G44" s="4">
        <v>0</v>
      </c>
      <c r="H44" s="4">
        <v>2</v>
      </c>
      <c r="I44" s="4">
        <v>3</v>
      </c>
      <c r="J44" s="4">
        <v>3</v>
      </c>
      <c r="K44" s="4">
        <v>0</v>
      </c>
      <c r="L44" s="4">
        <v>1</v>
      </c>
      <c r="M44" s="4">
        <v>1</v>
      </c>
      <c r="N44" s="4">
        <v>1</v>
      </c>
    </row>
    <row r="45" spans="1:14" x14ac:dyDescent="0.2">
      <c r="A45" s="5" t="s">
        <v>50</v>
      </c>
      <c r="B45" s="22" t="s">
        <v>558</v>
      </c>
      <c r="C45" s="4" t="s">
        <v>666</v>
      </c>
      <c r="D45" s="4" t="str">
        <f t="shared" si="0"/>
        <v>A22</v>
      </c>
      <c r="E45" s="4">
        <v>16</v>
      </c>
      <c r="F45" s="4">
        <f t="shared" si="1"/>
        <v>3</v>
      </c>
      <c r="G45" s="4">
        <v>5</v>
      </c>
      <c r="H45" s="4">
        <v>0</v>
      </c>
      <c r="I45" s="4">
        <v>5</v>
      </c>
      <c r="J45" s="4">
        <v>6</v>
      </c>
      <c r="K45" s="4">
        <v>1</v>
      </c>
      <c r="L45" s="4">
        <v>0</v>
      </c>
      <c r="M45" s="4">
        <v>1</v>
      </c>
      <c r="N45" s="4">
        <v>1</v>
      </c>
    </row>
    <row r="46" spans="1:14" x14ac:dyDescent="0.2">
      <c r="A46" s="5" t="s">
        <v>51</v>
      </c>
      <c r="B46" s="22" t="s">
        <v>600</v>
      </c>
      <c r="C46" s="4" t="s">
        <v>666</v>
      </c>
      <c r="D46" s="4" t="str">
        <f t="shared" si="0"/>
        <v>A23</v>
      </c>
      <c r="E46" s="4">
        <v>0</v>
      </c>
      <c r="F46" s="4">
        <f t="shared" si="1"/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">
      <c r="A47" s="5" t="s">
        <v>52</v>
      </c>
      <c r="B47" s="22" t="s">
        <v>559</v>
      </c>
      <c r="C47" s="4" t="s">
        <v>667</v>
      </c>
      <c r="D47" s="4" t="str">
        <f t="shared" si="0"/>
        <v>A01</v>
      </c>
      <c r="E47" s="4">
        <v>1</v>
      </c>
      <c r="F47" s="4">
        <f t="shared" si="1"/>
        <v>1</v>
      </c>
      <c r="G47" s="4">
        <v>0</v>
      </c>
      <c r="H47" s="4">
        <v>0</v>
      </c>
      <c r="I47" s="4">
        <v>1</v>
      </c>
      <c r="J47" s="4">
        <v>0</v>
      </c>
      <c r="K47" s="4">
        <v>0</v>
      </c>
      <c r="L47" s="4">
        <v>0</v>
      </c>
      <c r="M47" s="4">
        <v>1</v>
      </c>
      <c r="N47" s="4">
        <v>0</v>
      </c>
    </row>
    <row r="48" spans="1:14" x14ac:dyDescent="0.2">
      <c r="A48" s="5" t="s">
        <v>53</v>
      </c>
      <c r="B48" s="22" t="s">
        <v>560</v>
      </c>
      <c r="C48" s="4" t="s">
        <v>667</v>
      </c>
      <c r="D48" s="4" t="str">
        <f t="shared" si="0"/>
        <v>A02</v>
      </c>
      <c r="E48" s="4">
        <v>2</v>
      </c>
      <c r="F48" s="4">
        <f t="shared" si="1"/>
        <v>2</v>
      </c>
      <c r="G48" s="4">
        <v>1</v>
      </c>
      <c r="H48" s="4">
        <v>0</v>
      </c>
      <c r="I48" s="4">
        <v>1</v>
      </c>
      <c r="J48" s="4">
        <v>0</v>
      </c>
      <c r="K48" s="4">
        <v>1</v>
      </c>
      <c r="L48" s="4">
        <v>0</v>
      </c>
      <c r="M48" s="4">
        <v>1</v>
      </c>
      <c r="N48" s="4">
        <v>0</v>
      </c>
    </row>
    <row r="49" spans="1:14" x14ac:dyDescent="0.2">
      <c r="A49" s="5" t="s">
        <v>54</v>
      </c>
      <c r="B49" s="22" t="s">
        <v>561</v>
      </c>
      <c r="C49" s="4" t="s">
        <v>667</v>
      </c>
      <c r="D49" s="4" t="str">
        <f t="shared" si="0"/>
        <v>A03</v>
      </c>
      <c r="E49" s="4">
        <v>4</v>
      </c>
      <c r="F49" s="4">
        <f t="shared" si="1"/>
        <v>3</v>
      </c>
      <c r="G49" s="4">
        <v>1</v>
      </c>
      <c r="H49" s="4">
        <v>1</v>
      </c>
      <c r="I49" s="4">
        <v>0</v>
      </c>
      <c r="J49" s="4">
        <v>2</v>
      </c>
      <c r="K49" s="4">
        <v>1</v>
      </c>
      <c r="L49" s="4">
        <v>1</v>
      </c>
      <c r="M49" s="4">
        <v>0</v>
      </c>
      <c r="N49" s="4">
        <v>1</v>
      </c>
    </row>
    <row r="50" spans="1:14" x14ac:dyDescent="0.2">
      <c r="A50" s="5" t="s">
        <v>55</v>
      </c>
      <c r="B50" s="22" t="s">
        <v>562</v>
      </c>
      <c r="C50" s="4" t="s">
        <v>667</v>
      </c>
      <c r="D50" s="4" t="str">
        <f t="shared" si="0"/>
        <v>A04</v>
      </c>
      <c r="E50" s="4">
        <v>8</v>
      </c>
      <c r="F50" s="4">
        <f t="shared" si="1"/>
        <v>1</v>
      </c>
      <c r="G50" s="4">
        <v>8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</row>
    <row r="51" spans="1:14" x14ac:dyDescent="0.2">
      <c r="A51" s="5" t="s">
        <v>56</v>
      </c>
      <c r="B51" s="22" t="s">
        <v>563</v>
      </c>
      <c r="C51" s="4" t="s">
        <v>667</v>
      </c>
      <c r="D51" s="4" t="str">
        <f t="shared" si="0"/>
        <v>A05</v>
      </c>
      <c r="E51" s="4">
        <v>8</v>
      </c>
      <c r="F51" s="4">
        <f t="shared" si="1"/>
        <v>3</v>
      </c>
      <c r="G51" s="4">
        <v>3</v>
      </c>
      <c r="H51" s="4">
        <v>0</v>
      </c>
      <c r="I51" s="4">
        <v>2</v>
      </c>
      <c r="J51" s="4">
        <v>3</v>
      </c>
      <c r="K51" s="4">
        <v>1</v>
      </c>
      <c r="L51" s="4">
        <v>0</v>
      </c>
      <c r="M51" s="4">
        <v>1</v>
      </c>
      <c r="N51" s="4">
        <v>1</v>
      </c>
    </row>
    <row r="52" spans="1:14" x14ac:dyDescent="0.2">
      <c r="A52" s="5" t="s">
        <v>57</v>
      </c>
      <c r="B52" s="22" t="s">
        <v>564</v>
      </c>
      <c r="C52" s="4" t="s">
        <v>667</v>
      </c>
      <c r="D52" s="4" t="str">
        <f t="shared" si="0"/>
        <v>A06</v>
      </c>
      <c r="E52" s="4">
        <v>1</v>
      </c>
      <c r="F52" s="4">
        <f t="shared" si="1"/>
        <v>1</v>
      </c>
      <c r="G52" s="4">
        <v>1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</row>
    <row r="53" spans="1:14" x14ac:dyDescent="0.2">
      <c r="A53" s="5" t="s">
        <v>58</v>
      </c>
      <c r="B53" s="22" t="s">
        <v>565</v>
      </c>
      <c r="C53" s="4" t="s">
        <v>667</v>
      </c>
      <c r="D53" s="4" t="str">
        <f t="shared" si="0"/>
        <v>A07</v>
      </c>
      <c r="E53" s="4">
        <v>8</v>
      </c>
      <c r="F53" s="4">
        <f t="shared" si="1"/>
        <v>4</v>
      </c>
      <c r="G53" s="4">
        <v>2</v>
      </c>
      <c r="H53" s="4">
        <v>2</v>
      </c>
      <c r="I53" s="4">
        <v>2</v>
      </c>
      <c r="J53" s="4">
        <v>2</v>
      </c>
      <c r="K53" s="4">
        <v>1</v>
      </c>
      <c r="L53" s="4">
        <v>1</v>
      </c>
      <c r="M53" s="4">
        <v>1</v>
      </c>
      <c r="N53" s="4">
        <v>1</v>
      </c>
    </row>
    <row r="54" spans="1:14" x14ac:dyDescent="0.2">
      <c r="A54" s="5" t="s">
        <v>59</v>
      </c>
      <c r="B54" s="22" t="s">
        <v>566</v>
      </c>
      <c r="C54" s="4" t="s">
        <v>667</v>
      </c>
      <c r="D54" s="4" t="str">
        <f t="shared" si="0"/>
        <v>A08</v>
      </c>
      <c r="E54" s="4">
        <v>2</v>
      </c>
      <c r="F54" s="4">
        <f t="shared" si="1"/>
        <v>1</v>
      </c>
      <c r="G54" s="4">
        <v>2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</row>
    <row r="55" spans="1:14" x14ac:dyDescent="0.2">
      <c r="A55" s="5" t="s">
        <v>60</v>
      </c>
      <c r="B55" s="22" t="s">
        <v>567</v>
      </c>
      <c r="C55" s="4" t="s">
        <v>667</v>
      </c>
      <c r="D55" s="4" t="str">
        <f t="shared" si="0"/>
        <v>A09</v>
      </c>
      <c r="E55" s="4">
        <v>16</v>
      </c>
      <c r="F55" s="4">
        <f t="shared" si="1"/>
        <v>1</v>
      </c>
      <c r="G55" s="4">
        <v>16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</row>
    <row r="56" spans="1:14" x14ac:dyDescent="0.2">
      <c r="A56" s="5" t="s">
        <v>61</v>
      </c>
      <c r="B56" s="22" t="s">
        <v>527</v>
      </c>
      <c r="C56" s="4" t="s">
        <v>667</v>
      </c>
      <c r="D56" s="4" t="str">
        <f t="shared" si="0"/>
        <v>A10</v>
      </c>
      <c r="E56" s="4">
        <v>0</v>
      </c>
      <c r="F56" s="4">
        <f t="shared" si="1"/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">
      <c r="A57" s="5" t="s">
        <v>62</v>
      </c>
      <c r="B57" s="22" t="s">
        <v>568</v>
      </c>
      <c r="C57" s="4" t="s">
        <v>667</v>
      </c>
      <c r="D57" s="4" t="str">
        <f t="shared" si="0"/>
        <v>A11</v>
      </c>
      <c r="E57" s="4">
        <v>4</v>
      </c>
      <c r="F57" s="4">
        <f t="shared" si="1"/>
        <v>2</v>
      </c>
      <c r="G57" s="4">
        <v>2</v>
      </c>
      <c r="H57" s="4">
        <v>2</v>
      </c>
      <c r="I57" s="4">
        <v>0</v>
      </c>
      <c r="J57" s="4">
        <v>0</v>
      </c>
      <c r="K57" s="4">
        <v>1</v>
      </c>
      <c r="L57" s="4">
        <v>1</v>
      </c>
      <c r="M57" s="4">
        <v>0</v>
      </c>
      <c r="N57" s="4">
        <v>0</v>
      </c>
    </row>
    <row r="58" spans="1:14" x14ac:dyDescent="0.2">
      <c r="A58" s="5" t="s">
        <v>63</v>
      </c>
      <c r="B58" s="22" t="s">
        <v>569</v>
      </c>
      <c r="C58" s="4" t="s">
        <v>667</v>
      </c>
      <c r="D58" s="4" t="str">
        <f t="shared" si="0"/>
        <v>A12</v>
      </c>
      <c r="E58" s="4">
        <v>1</v>
      </c>
      <c r="F58" s="4">
        <f t="shared" si="1"/>
        <v>1</v>
      </c>
      <c r="G58" s="4">
        <v>0</v>
      </c>
      <c r="H58" s="4">
        <v>0</v>
      </c>
      <c r="I58" s="4">
        <v>0</v>
      </c>
      <c r="J58" s="4">
        <v>1</v>
      </c>
      <c r="K58" s="4">
        <v>0</v>
      </c>
      <c r="L58" s="4">
        <v>0</v>
      </c>
      <c r="M58" s="4">
        <v>0</v>
      </c>
      <c r="N58" s="4">
        <v>1</v>
      </c>
    </row>
    <row r="59" spans="1:14" x14ac:dyDescent="0.2">
      <c r="A59" s="5" t="s">
        <v>64</v>
      </c>
      <c r="B59" s="22" t="s">
        <v>570</v>
      </c>
      <c r="C59" s="4" t="s">
        <v>667</v>
      </c>
      <c r="D59" s="4" t="str">
        <f t="shared" si="0"/>
        <v>A13</v>
      </c>
      <c r="E59" s="4">
        <v>4</v>
      </c>
      <c r="F59" s="4">
        <f t="shared" si="1"/>
        <v>1</v>
      </c>
      <c r="G59" s="4">
        <v>4</v>
      </c>
      <c r="H59" s="4">
        <v>0</v>
      </c>
      <c r="I59" s="4">
        <v>0</v>
      </c>
      <c r="J59" s="4">
        <v>0</v>
      </c>
      <c r="K59" s="4">
        <v>1</v>
      </c>
      <c r="L59" s="4">
        <v>0</v>
      </c>
      <c r="M59" s="4">
        <v>0</v>
      </c>
      <c r="N59" s="4">
        <v>0</v>
      </c>
    </row>
    <row r="60" spans="1:14" x14ac:dyDescent="0.2">
      <c r="A60" s="5" t="s">
        <v>65</v>
      </c>
      <c r="B60" s="22" t="s">
        <v>539</v>
      </c>
      <c r="C60" s="4" t="s">
        <v>667</v>
      </c>
      <c r="D60" s="4" t="str">
        <f t="shared" si="0"/>
        <v>A14</v>
      </c>
      <c r="E60" s="4">
        <v>60</v>
      </c>
      <c r="F60" s="4">
        <f t="shared" si="1"/>
        <v>4</v>
      </c>
      <c r="G60" s="4">
        <v>16</v>
      </c>
      <c r="H60" s="4">
        <v>12</v>
      </c>
      <c r="I60" s="4">
        <v>20</v>
      </c>
      <c r="J60" s="4">
        <v>12</v>
      </c>
      <c r="K60" s="4">
        <v>1</v>
      </c>
      <c r="L60" s="4">
        <v>1</v>
      </c>
      <c r="M60" s="4">
        <v>1</v>
      </c>
      <c r="N60" s="4">
        <v>1</v>
      </c>
    </row>
    <row r="61" spans="1:14" x14ac:dyDescent="0.2">
      <c r="A61" s="5" t="s">
        <v>66</v>
      </c>
      <c r="B61" s="22" t="s">
        <v>599</v>
      </c>
      <c r="C61" s="4" t="s">
        <v>667</v>
      </c>
      <c r="D61" s="4" t="str">
        <f t="shared" si="0"/>
        <v>A15</v>
      </c>
      <c r="E61" s="4">
        <v>0</v>
      </c>
      <c r="F61" s="4">
        <f t="shared" si="1"/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">
      <c r="A62" s="5" t="s">
        <v>67</v>
      </c>
      <c r="B62" s="22" t="s">
        <v>571</v>
      </c>
      <c r="C62" s="4" t="s">
        <v>667</v>
      </c>
      <c r="D62" s="4" t="str">
        <f t="shared" si="0"/>
        <v>A16</v>
      </c>
      <c r="E62" s="4">
        <v>16</v>
      </c>
      <c r="F62" s="4">
        <f t="shared" si="1"/>
        <v>2</v>
      </c>
      <c r="G62" s="4">
        <v>0</v>
      </c>
      <c r="H62" s="4">
        <v>8</v>
      </c>
      <c r="I62" s="4">
        <v>0</v>
      </c>
      <c r="J62" s="4">
        <v>8</v>
      </c>
      <c r="K62" s="4">
        <v>0</v>
      </c>
      <c r="L62" s="4">
        <v>1</v>
      </c>
      <c r="M62" s="4">
        <v>0</v>
      </c>
      <c r="N62" s="4">
        <v>1</v>
      </c>
    </row>
    <row r="63" spans="1:14" x14ac:dyDescent="0.2">
      <c r="A63" s="5" t="s">
        <v>68</v>
      </c>
      <c r="B63" s="22" t="s">
        <v>572</v>
      </c>
      <c r="C63" s="4" t="s">
        <v>667</v>
      </c>
      <c r="D63" s="4" t="str">
        <f t="shared" si="0"/>
        <v>A17</v>
      </c>
      <c r="E63" s="4">
        <v>1</v>
      </c>
      <c r="F63" s="4">
        <f t="shared" si="1"/>
        <v>1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  <c r="L63" s="4">
        <v>1</v>
      </c>
      <c r="M63" s="4">
        <v>0</v>
      </c>
      <c r="N63" s="4">
        <v>0</v>
      </c>
    </row>
    <row r="64" spans="1:14" x14ac:dyDescent="0.2">
      <c r="A64" s="5" t="s">
        <v>69</v>
      </c>
      <c r="B64" s="18" t="s">
        <v>600</v>
      </c>
      <c r="C64" s="4" t="s">
        <v>667</v>
      </c>
      <c r="D64" s="4" t="str">
        <f t="shared" si="0"/>
        <v>A18</v>
      </c>
      <c r="E64" s="4">
        <v>0</v>
      </c>
      <c r="F64" s="4">
        <f t="shared" si="1"/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">
      <c r="A65" s="5" t="s">
        <v>70</v>
      </c>
      <c r="B65" s="22" t="s">
        <v>573</v>
      </c>
      <c r="C65" s="4" t="s">
        <v>667</v>
      </c>
      <c r="D65" s="4" t="str">
        <f t="shared" si="0"/>
        <v>A19</v>
      </c>
      <c r="E65" s="4">
        <v>2</v>
      </c>
      <c r="F65" s="4">
        <f t="shared" si="1"/>
        <v>2</v>
      </c>
      <c r="G65" s="4">
        <v>1</v>
      </c>
      <c r="H65" s="4">
        <v>1</v>
      </c>
      <c r="I65" s="4">
        <v>0</v>
      </c>
      <c r="J65" s="4">
        <v>0</v>
      </c>
      <c r="K65" s="4">
        <v>1</v>
      </c>
      <c r="L65" s="4">
        <v>1</v>
      </c>
      <c r="M65" s="4">
        <v>0</v>
      </c>
      <c r="N65" s="4">
        <v>0</v>
      </c>
    </row>
    <row r="66" spans="1:14" x14ac:dyDescent="0.2">
      <c r="A66" s="5" t="s">
        <v>71</v>
      </c>
      <c r="B66" s="22" t="s">
        <v>574</v>
      </c>
      <c r="C66" s="4" t="s">
        <v>667</v>
      </c>
      <c r="D66" s="4" t="str">
        <f t="shared" si="0"/>
        <v>A20</v>
      </c>
      <c r="E66" s="4">
        <v>8</v>
      </c>
      <c r="F66" s="4">
        <f t="shared" si="1"/>
        <v>2</v>
      </c>
      <c r="G66" s="4">
        <v>0</v>
      </c>
      <c r="H66" s="4">
        <v>0</v>
      </c>
      <c r="I66" s="4">
        <v>4</v>
      </c>
      <c r="J66" s="4">
        <v>4</v>
      </c>
      <c r="K66" s="4">
        <v>0</v>
      </c>
      <c r="L66" s="4">
        <v>0</v>
      </c>
      <c r="M66" s="4">
        <v>1</v>
      </c>
      <c r="N66" s="4">
        <v>1</v>
      </c>
    </row>
    <row r="67" spans="1:14" x14ac:dyDescent="0.2">
      <c r="A67" s="5" t="s">
        <v>72</v>
      </c>
      <c r="B67" s="22" t="s">
        <v>575</v>
      </c>
      <c r="C67" s="4" t="s">
        <v>667</v>
      </c>
      <c r="D67" s="4" t="str">
        <f t="shared" ref="D67:D93" si="2">RIGHT(A67,3)</f>
        <v>A21</v>
      </c>
      <c r="E67" s="4">
        <v>2</v>
      </c>
      <c r="F67" s="4">
        <f t="shared" ref="F67:F93" si="3">SUM(K67:N67)</f>
        <v>1</v>
      </c>
      <c r="G67" s="4">
        <v>0</v>
      </c>
      <c r="H67" s="4">
        <v>0</v>
      </c>
      <c r="I67" s="4">
        <v>0</v>
      </c>
      <c r="J67" s="4">
        <v>2</v>
      </c>
      <c r="K67" s="4">
        <v>0</v>
      </c>
      <c r="L67" s="4">
        <v>0</v>
      </c>
      <c r="M67" s="4">
        <v>0</v>
      </c>
      <c r="N67" s="4">
        <v>1</v>
      </c>
    </row>
    <row r="68" spans="1:14" x14ac:dyDescent="0.2">
      <c r="A68" s="5" t="s">
        <v>73</v>
      </c>
      <c r="B68" s="22" t="s">
        <v>576</v>
      </c>
      <c r="C68" s="4" t="s">
        <v>667</v>
      </c>
      <c r="D68" s="4" t="str">
        <f t="shared" si="2"/>
        <v>A22</v>
      </c>
      <c r="E68" s="4">
        <v>16</v>
      </c>
      <c r="F68" s="4">
        <f t="shared" si="3"/>
        <v>4</v>
      </c>
      <c r="G68" s="4">
        <v>4</v>
      </c>
      <c r="H68" s="4">
        <v>4</v>
      </c>
      <c r="I68" s="4">
        <v>4</v>
      </c>
      <c r="J68" s="4">
        <v>4</v>
      </c>
      <c r="K68" s="4">
        <v>1</v>
      </c>
      <c r="L68" s="4">
        <v>1</v>
      </c>
      <c r="M68" s="4">
        <v>1</v>
      </c>
      <c r="N68" s="4">
        <v>1</v>
      </c>
    </row>
    <row r="69" spans="1:14" x14ac:dyDescent="0.2">
      <c r="A69" s="5" t="s">
        <v>74</v>
      </c>
      <c r="B69" s="22" t="s">
        <v>577</v>
      </c>
      <c r="C69" s="4" t="s">
        <v>667</v>
      </c>
      <c r="D69" s="4" t="str">
        <f t="shared" si="2"/>
        <v>A23</v>
      </c>
      <c r="E69" s="4">
        <v>4</v>
      </c>
      <c r="F69" s="4">
        <f t="shared" si="3"/>
        <v>4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</row>
    <row r="70" spans="1:14" x14ac:dyDescent="0.2">
      <c r="A70" s="5" t="s">
        <v>75</v>
      </c>
      <c r="B70" s="22" t="s">
        <v>578</v>
      </c>
      <c r="C70" s="4" t="s">
        <v>667</v>
      </c>
      <c r="D70" s="4" t="str">
        <f t="shared" si="2"/>
        <v>A24</v>
      </c>
      <c r="E70" s="4">
        <v>16</v>
      </c>
      <c r="F70" s="4">
        <f t="shared" si="3"/>
        <v>3</v>
      </c>
      <c r="G70" s="4">
        <v>6</v>
      </c>
      <c r="H70" s="4">
        <v>5</v>
      </c>
      <c r="I70" s="4">
        <v>0</v>
      </c>
      <c r="J70" s="4">
        <v>5</v>
      </c>
      <c r="K70" s="4">
        <v>1</v>
      </c>
      <c r="L70" s="4">
        <v>1</v>
      </c>
      <c r="M70" s="4">
        <v>0</v>
      </c>
      <c r="N70" s="4">
        <v>1</v>
      </c>
    </row>
    <row r="71" spans="1:14" x14ac:dyDescent="0.2">
      <c r="A71" s="5" t="s">
        <v>76</v>
      </c>
      <c r="B71" s="22" t="s">
        <v>539</v>
      </c>
      <c r="C71" s="4" t="s">
        <v>668</v>
      </c>
      <c r="D71" s="4" t="str">
        <f t="shared" si="2"/>
        <v>A01</v>
      </c>
      <c r="E71" s="4">
        <v>60</v>
      </c>
      <c r="F71" s="4">
        <f t="shared" si="3"/>
        <v>4</v>
      </c>
      <c r="G71" s="4">
        <v>16</v>
      </c>
      <c r="H71" s="4">
        <v>12</v>
      </c>
      <c r="I71" s="4">
        <v>20</v>
      </c>
      <c r="J71" s="4">
        <v>12</v>
      </c>
      <c r="K71" s="4">
        <v>1</v>
      </c>
      <c r="L71" s="4">
        <v>1</v>
      </c>
      <c r="M71" s="4">
        <v>1</v>
      </c>
      <c r="N71" s="4">
        <v>1</v>
      </c>
    </row>
    <row r="72" spans="1:14" x14ac:dyDescent="0.2">
      <c r="A72" s="5" t="s">
        <v>77</v>
      </c>
      <c r="B72" s="22" t="s">
        <v>579</v>
      </c>
      <c r="C72" s="4" t="s">
        <v>668</v>
      </c>
      <c r="D72" s="4" t="str">
        <f t="shared" si="2"/>
        <v>A02</v>
      </c>
      <c r="E72" s="4">
        <v>16</v>
      </c>
      <c r="F72" s="4">
        <f t="shared" si="3"/>
        <v>3</v>
      </c>
      <c r="G72" s="4">
        <v>5</v>
      </c>
      <c r="H72" s="4">
        <v>5</v>
      </c>
      <c r="I72" s="4">
        <v>6</v>
      </c>
      <c r="J72" s="4">
        <v>0</v>
      </c>
      <c r="K72" s="4">
        <v>1</v>
      </c>
      <c r="L72" s="4">
        <v>1</v>
      </c>
      <c r="M72" s="4">
        <v>1</v>
      </c>
      <c r="N72" s="4">
        <v>0</v>
      </c>
    </row>
    <row r="73" spans="1:14" x14ac:dyDescent="0.2">
      <c r="A73" s="5" t="s">
        <v>78</v>
      </c>
      <c r="B73" s="22" t="s">
        <v>580</v>
      </c>
      <c r="C73" s="4" t="s">
        <v>668</v>
      </c>
      <c r="D73" s="4" t="str">
        <f t="shared" si="2"/>
        <v>A03</v>
      </c>
      <c r="E73" s="4">
        <v>1</v>
      </c>
      <c r="F73" s="4">
        <f t="shared" si="3"/>
        <v>1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</row>
    <row r="74" spans="1:14" x14ac:dyDescent="0.2">
      <c r="A74" s="5" t="s">
        <v>79</v>
      </c>
      <c r="B74" s="22" t="s">
        <v>581</v>
      </c>
      <c r="C74" s="4" t="s">
        <v>668</v>
      </c>
      <c r="D74" s="4" t="str">
        <f t="shared" si="2"/>
        <v>A04</v>
      </c>
      <c r="E74" s="4">
        <v>4</v>
      </c>
      <c r="F74" s="4">
        <f t="shared" si="3"/>
        <v>4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</row>
    <row r="75" spans="1:14" x14ac:dyDescent="0.2">
      <c r="A75" s="5" t="s">
        <v>80</v>
      </c>
      <c r="B75" s="22" t="s">
        <v>527</v>
      </c>
      <c r="C75" s="4" t="s">
        <v>668</v>
      </c>
      <c r="D75" s="4" t="str">
        <f t="shared" si="2"/>
        <v>A05</v>
      </c>
      <c r="E75" s="4">
        <v>0</v>
      </c>
      <c r="F75" s="4">
        <f t="shared" si="3"/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">
      <c r="A76" s="5" t="s">
        <v>81</v>
      </c>
      <c r="B76" s="22" t="s">
        <v>582</v>
      </c>
      <c r="C76" s="4" t="s">
        <v>668</v>
      </c>
      <c r="D76" s="4" t="str">
        <f t="shared" si="2"/>
        <v>A06</v>
      </c>
      <c r="E76" s="4">
        <v>8</v>
      </c>
      <c r="F76" s="4">
        <f t="shared" si="3"/>
        <v>1</v>
      </c>
      <c r="G76" s="4">
        <v>0</v>
      </c>
      <c r="H76" s="4">
        <v>8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</row>
    <row r="77" spans="1:14" x14ac:dyDescent="0.2">
      <c r="A77" s="5" t="s">
        <v>82</v>
      </c>
      <c r="B77" s="22" t="s">
        <v>583</v>
      </c>
      <c r="C77" s="4" t="s">
        <v>668</v>
      </c>
      <c r="D77" s="4" t="str">
        <f t="shared" si="2"/>
        <v>A07</v>
      </c>
      <c r="E77" s="4">
        <v>4</v>
      </c>
      <c r="F77" s="4">
        <f t="shared" si="3"/>
        <v>2</v>
      </c>
      <c r="G77" s="4">
        <v>0</v>
      </c>
      <c r="H77" s="4">
        <v>0</v>
      </c>
      <c r="I77" s="4">
        <v>2</v>
      </c>
      <c r="J77" s="4">
        <v>2</v>
      </c>
      <c r="K77" s="4">
        <v>0</v>
      </c>
      <c r="L77" s="4">
        <v>0</v>
      </c>
      <c r="M77" s="4">
        <v>1</v>
      </c>
      <c r="N77" s="4">
        <v>1</v>
      </c>
    </row>
    <row r="78" spans="1:14" x14ac:dyDescent="0.2">
      <c r="A78" s="5" t="s">
        <v>83</v>
      </c>
      <c r="B78" s="22" t="s">
        <v>584</v>
      </c>
      <c r="C78" s="4" t="s">
        <v>668</v>
      </c>
      <c r="D78" s="4" t="str">
        <f t="shared" si="2"/>
        <v>A08</v>
      </c>
      <c r="E78" s="4">
        <v>8</v>
      </c>
      <c r="F78" s="4">
        <f t="shared" si="3"/>
        <v>2</v>
      </c>
      <c r="G78" s="4">
        <v>4</v>
      </c>
      <c r="H78" s="4">
        <v>4</v>
      </c>
      <c r="I78" s="4">
        <v>0</v>
      </c>
      <c r="J78" s="4">
        <v>0</v>
      </c>
      <c r="K78" s="4">
        <v>1</v>
      </c>
      <c r="L78" s="4">
        <v>1</v>
      </c>
      <c r="M78" s="4">
        <v>0</v>
      </c>
      <c r="N78" s="4">
        <v>0</v>
      </c>
    </row>
    <row r="79" spans="1:14" x14ac:dyDescent="0.2">
      <c r="A79" s="5" t="s">
        <v>84</v>
      </c>
      <c r="B79" s="22" t="s">
        <v>585</v>
      </c>
      <c r="C79" s="4" t="s">
        <v>668</v>
      </c>
      <c r="D79" s="4" t="str">
        <f t="shared" si="2"/>
        <v>A09</v>
      </c>
      <c r="E79" s="4">
        <v>1</v>
      </c>
      <c r="F79" s="4">
        <f t="shared" si="3"/>
        <v>1</v>
      </c>
      <c r="G79" s="4">
        <v>0</v>
      </c>
      <c r="H79" s="4">
        <v>0</v>
      </c>
      <c r="I79" s="4">
        <v>0</v>
      </c>
      <c r="J79" s="4">
        <v>1</v>
      </c>
      <c r="K79" s="4">
        <v>0</v>
      </c>
      <c r="L79" s="4">
        <v>0</v>
      </c>
      <c r="M79" s="4">
        <v>0</v>
      </c>
      <c r="N79" s="4">
        <v>1</v>
      </c>
    </row>
    <row r="80" spans="1:14" x14ac:dyDescent="0.2">
      <c r="A80" s="5" t="s">
        <v>85</v>
      </c>
      <c r="B80" s="22" t="s">
        <v>586</v>
      </c>
      <c r="C80" s="4" t="s">
        <v>668</v>
      </c>
      <c r="D80" s="4" t="str">
        <f t="shared" si="2"/>
        <v>A10</v>
      </c>
      <c r="E80" s="4">
        <v>8</v>
      </c>
      <c r="F80" s="4">
        <f t="shared" si="3"/>
        <v>3</v>
      </c>
      <c r="G80" s="4">
        <v>2</v>
      </c>
      <c r="H80" s="4">
        <v>3</v>
      </c>
      <c r="I80" s="4">
        <v>3</v>
      </c>
      <c r="J80" s="4">
        <v>0</v>
      </c>
      <c r="K80" s="4">
        <v>1</v>
      </c>
      <c r="L80" s="4">
        <v>1</v>
      </c>
      <c r="M80" s="4">
        <v>1</v>
      </c>
      <c r="N80" s="4">
        <v>0</v>
      </c>
    </row>
    <row r="81" spans="1:14" x14ac:dyDescent="0.2">
      <c r="A81" s="5" t="s">
        <v>86</v>
      </c>
      <c r="B81" s="22" t="s">
        <v>587</v>
      </c>
      <c r="C81" s="4" t="s">
        <v>668</v>
      </c>
      <c r="D81" s="4" t="str">
        <f t="shared" si="2"/>
        <v>A11</v>
      </c>
      <c r="E81" s="4">
        <v>4</v>
      </c>
      <c r="F81" s="4">
        <f t="shared" si="3"/>
        <v>3</v>
      </c>
      <c r="G81" s="4">
        <v>1</v>
      </c>
      <c r="H81" s="4">
        <v>0</v>
      </c>
      <c r="I81" s="4">
        <v>2</v>
      </c>
      <c r="J81" s="4">
        <v>1</v>
      </c>
      <c r="K81" s="4">
        <v>1</v>
      </c>
      <c r="L81" s="4">
        <v>0</v>
      </c>
      <c r="M81" s="4">
        <v>1</v>
      </c>
      <c r="N81" s="4">
        <v>1</v>
      </c>
    </row>
    <row r="82" spans="1:14" x14ac:dyDescent="0.2">
      <c r="A82" s="5" t="s">
        <v>87</v>
      </c>
      <c r="B82" s="22" t="s">
        <v>588</v>
      </c>
      <c r="C82" s="4" t="s">
        <v>668</v>
      </c>
      <c r="D82" s="4" t="str">
        <f t="shared" si="2"/>
        <v>A12</v>
      </c>
      <c r="E82" s="4">
        <v>1</v>
      </c>
      <c r="F82" s="4">
        <f t="shared" si="3"/>
        <v>1</v>
      </c>
      <c r="G82" s="4">
        <v>1</v>
      </c>
      <c r="H82" s="4">
        <v>0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>
        <v>0</v>
      </c>
    </row>
    <row r="83" spans="1:14" x14ac:dyDescent="0.2">
      <c r="A83" s="5" t="s">
        <v>88</v>
      </c>
      <c r="B83" s="22" t="s">
        <v>589</v>
      </c>
      <c r="C83" s="4" t="s">
        <v>668</v>
      </c>
      <c r="D83" s="4" t="str">
        <f t="shared" si="2"/>
        <v>A13</v>
      </c>
      <c r="E83" s="4">
        <v>1</v>
      </c>
      <c r="F83" s="4">
        <f t="shared" si="3"/>
        <v>1</v>
      </c>
      <c r="G83" s="4">
        <v>0</v>
      </c>
      <c r="H83" s="4">
        <v>0</v>
      </c>
      <c r="I83" s="4">
        <v>1</v>
      </c>
      <c r="J83" s="4">
        <v>0</v>
      </c>
      <c r="K83" s="4">
        <v>0</v>
      </c>
      <c r="L83" s="4">
        <v>0</v>
      </c>
      <c r="M83" s="4">
        <v>1</v>
      </c>
      <c r="N83" s="4">
        <v>0</v>
      </c>
    </row>
    <row r="84" spans="1:14" x14ac:dyDescent="0.2">
      <c r="A84" s="5" t="s">
        <v>89</v>
      </c>
      <c r="B84" s="22" t="s">
        <v>590</v>
      </c>
      <c r="C84" s="4" t="s">
        <v>668</v>
      </c>
      <c r="D84" s="4" t="str">
        <f t="shared" si="2"/>
        <v>A14</v>
      </c>
      <c r="E84" s="4">
        <v>2</v>
      </c>
      <c r="F84" s="4">
        <f t="shared" si="3"/>
        <v>1</v>
      </c>
      <c r="G84" s="4">
        <v>0</v>
      </c>
      <c r="H84" s="4">
        <v>2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</row>
    <row r="85" spans="1:14" x14ac:dyDescent="0.2">
      <c r="A85" s="5" t="s">
        <v>90</v>
      </c>
      <c r="B85" s="22" t="s">
        <v>591</v>
      </c>
      <c r="C85" s="4" t="s">
        <v>668</v>
      </c>
      <c r="D85" s="4" t="str">
        <f t="shared" si="2"/>
        <v>A15</v>
      </c>
      <c r="E85" s="4">
        <v>2</v>
      </c>
      <c r="F85" s="4">
        <f t="shared" si="3"/>
        <v>2</v>
      </c>
      <c r="G85" s="4">
        <v>0</v>
      </c>
      <c r="H85" s="4">
        <v>1</v>
      </c>
      <c r="I85" s="4">
        <v>0</v>
      </c>
      <c r="J85" s="4">
        <v>1</v>
      </c>
      <c r="K85" s="4">
        <v>0</v>
      </c>
      <c r="L85" s="4">
        <v>1</v>
      </c>
      <c r="M85" s="4">
        <v>0</v>
      </c>
      <c r="N85" s="4">
        <v>1</v>
      </c>
    </row>
    <row r="86" spans="1:14" x14ac:dyDescent="0.2">
      <c r="A86" s="5" t="s">
        <v>91</v>
      </c>
      <c r="B86" s="22" t="s">
        <v>592</v>
      </c>
      <c r="C86" s="4" t="s">
        <v>668</v>
      </c>
      <c r="D86" s="4" t="str">
        <f t="shared" si="2"/>
        <v>A16</v>
      </c>
      <c r="E86" s="4">
        <v>8</v>
      </c>
      <c r="F86" s="4">
        <f t="shared" si="3"/>
        <v>4</v>
      </c>
      <c r="G86" s="4">
        <v>2</v>
      </c>
      <c r="H86" s="4">
        <v>2</v>
      </c>
      <c r="I86" s="4">
        <v>2</v>
      </c>
      <c r="J86" s="4">
        <v>2</v>
      </c>
      <c r="K86" s="4">
        <v>1</v>
      </c>
      <c r="L86" s="4">
        <v>1</v>
      </c>
      <c r="M86" s="4">
        <v>1</v>
      </c>
      <c r="N86" s="4">
        <v>1</v>
      </c>
    </row>
    <row r="87" spans="1:14" x14ac:dyDescent="0.2">
      <c r="A87" s="5" t="s">
        <v>92</v>
      </c>
      <c r="B87" s="22" t="s">
        <v>593</v>
      </c>
      <c r="C87" s="4" t="s">
        <v>668</v>
      </c>
      <c r="D87" s="4" t="str">
        <f t="shared" si="2"/>
        <v>A17</v>
      </c>
      <c r="E87" s="4">
        <v>2</v>
      </c>
      <c r="F87" s="4">
        <f t="shared" si="3"/>
        <v>1</v>
      </c>
      <c r="G87" s="4">
        <v>0</v>
      </c>
      <c r="H87" s="4">
        <v>0</v>
      </c>
      <c r="I87" s="4">
        <v>2</v>
      </c>
      <c r="J87" s="4">
        <v>0</v>
      </c>
      <c r="K87" s="4">
        <v>0</v>
      </c>
      <c r="L87" s="4">
        <v>0</v>
      </c>
      <c r="M87" s="4">
        <v>1</v>
      </c>
      <c r="N87" s="4">
        <v>0</v>
      </c>
    </row>
    <row r="88" spans="1:14" x14ac:dyDescent="0.2">
      <c r="A88" s="5" t="s">
        <v>93</v>
      </c>
      <c r="B88" s="22" t="s">
        <v>594</v>
      </c>
      <c r="C88" s="4" t="s">
        <v>668</v>
      </c>
      <c r="D88" s="4" t="str">
        <f t="shared" si="2"/>
        <v>A18</v>
      </c>
      <c r="E88" s="4">
        <v>16</v>
      </c>
      <c r="F88" s="4">
        <f t="shared" si="3"/>
        <v>4</v>
      </c>
      <c r="G88" s="4">
        <v>4</v>
      </c>
      <c r="H88" s="4">
        <v>4</v>
      </c>
      <c r="I88" s="4">
        <v>4</v>
      </c>
      <c r="J88" s="4">
        <v>4</v>
      </c>
      <c r="K88" s="4">
        <v>1</v>
      </c>
      <c r="L88" s="4">
        <v>1</v>
      </c>
      <c r="M88" s="4">
        <v>1</v>
      </c>
      <c r="N88" s="4">
        <v>1</v>
      </c>
    </row>
    <row r="89" spans="1:14" x14ac:dyDescent="0.2">
      <c r="A89" s="5" t="s">
        <v>94</v>
      </c>
      <c r="B89" s="22" t="s">
        <v>598</v>
      </c>
      <c r="C89" s="4" t="s">
        <v>668</v>
      </c>
      <c r="D89" s="4" t="str">
        <f t="shared" si="2"/>
        <v>A19</v>
      </c>
      <c r="E89" s="4">
        <v>0</v>
      </c>
      <c r="F89" s="4">
        <f t="shared" si="3"/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">
      <c r="A90" s="5" t="s">
        <v>95</v>
      </c>
      <c r="B90" s="22" t="s">
        <v>595</v>
      </c>
      <c r="C90" s="4" t="s">
        <v>668</v>
      </c>
      <c r="D90" s="4" t="str">
        <f t="shared" si="2"/>
        <v>A20</v>
      </c>
      <c r="E90" s="4">
        <v>16</v>
      </c>
      <c r="F90" s="4">
        <f t="shared" si="3"/>
        <v>2</v>
      </c>
      <c r="G90" s="4">
        <v>0</v>
      </c>
      <c r="H90" s="4">
        <v>0</v>
      </c>
      <c r="I90" s="4">
        <v>8</v>
      </c>
      <c r="J90" s="4">
        <v>8</v>
      </c>
      <c r="K90" s="4">
        <v>0</v>
      </c>
      <c r="L90" s="4">
        <v>0</v>
      </c>
      <c r="M90" s="4">
        <v>1</v>
      </c>
      <c r="N90" s="4">
        <v>1</v>
      </c>
    </row>
    <row r="91" spans="1:14" x14ac:dyDescent="0.2">
      <c r="A91" s="5" t="s">
        <v>96</v>
      </c>
      <c r="B91" s="22" t="s">
        <v>596</v>
      </c>
      <c r="C91" s="4" t="s">
        <v>668</v>
      </c>
      <c r="D91" s="4" t="str">
        <f t="shared" si="2"/>
        <v>A21</v>
      </c>
      <c r="E91" s="4">
        <v>2</v>
      </c>
      <c r="F91" s="4">
        <f t="shared" si="3"/>
        <v>2</v>
      </c>
      <c r="G91" s="4">
        <v>0</v>
      </c>
      <c r="H91" s="4">
        <v>0</v>
      </c>
      <c r="I91" s="4">
        <v>1</v>
      </c>
      <c r="J91" s="4">
        <v>1</v>
      </c>
      <c r="K91" s="4">
        <v>0</v>
      </c>
      <c r="L91" s="4">
        <v>0</v>
      </c>
      <c r="M91" s="4">
        <v>1</v>
      </c>
      <c r="N91" s="4">
        <v>1</v>
      </c>
    </row>
    <row r="92" spans="1:14" x14ac:dyDescent="0.2">
      <c r="A92" s="5" t="s">
        <v>97</v>
      </c>
      <c r="B92" s="22" t="s">
        <v>597</v>
      </c>
      <c r="C92" s="4" t="s">
        <v>668</v>
      </c>
      <c r="D92" s="4" t="str">
        <f t="shared" si="2"/>
        <v>A22</v>
      </c>
      <c r="E92" s="4">
        <v>4</v>
      </c>
      <c r="F92" s="4">
        <f t="shared" si="3"/>
        <v>1</v>
      </c>
      <c r="G92" s="4">
        <v>0</v>
      </c>
      <c r="H92" s="4">
        <v>0</v>
      </c>
      <c r="I92" s="4">
        <v>4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</row>
    <row r="93" spans="1:14" x14ac:dyDescent="0.2">
      <c r="A93" s="5" t="s">
        <v>98</v>
      </c>
      <c r="B93" s="19" t="s">
        <v>599</v>
      </c>
      <c r="C93" s="4" t="s">
        <v>668</v>
      </c>
      <c r="D93" s="4" t="str">
        <f t="shared" si="2"/>
        <v>A23</v>
      </c>
      <c r="E93" s="4">
        <v>0</v>
      </c>
      <c r="F93" s="4">
        <f t="shared" si="3"/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</sheetData>
  <sheetProtection password="C06F" sheet="1" objects="1" scenarios="1"/>
  <phoneticPr fontId="4" type="noConversion"/>
  <pageMargins left="0.75" right="0.75" top="1" bottom="1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RowHeight="12.75" x14ac:dyDescent="0.2"/>
  <cols>
    <col min="1" max="1" width="8.85546875" style="5" bestFit="1" customWidth="1"/>
    <col min="2" max="2" width="8" style="17" customWidth="1"/>
    <col min="3" max="3" width="5.85546875" style="4" bestFit="1" customWidth="1"/>
    <col min="4" max="4" width="5.28515625" style="4" bestFit="1" customWidth="1"/>
    <col min="5" max="5" width="12.28515625" style="9" bestFit="1" customWidth="1"/>
    <col min="6" max="6" width="11.28515625" style="9" bestFit="1" customWidth="1"/>
    <col min="7" max="7" width="9.42578125" style="9" bestFit="1" customWidth="1"/>
    <col min="8" max="8" width="10.140625" style="9" bestFit="1" customWidth="1"/>
    <col min="9" max="9" width="8.42578125" style="4" bestFit="1" customWidth="1"/>
    <col min="10" max="10" width="6.7109375" style="4" bestFit="1" customWidth="1"/>
    <col min="11" max="11" width="9.7109375" style="4" bestFit="1" customWidth="1"/>
    <col min="12" max="12" width="10" style="4" bestFit="1" customWidth="1"/>
    <col min="13" max="13" width="9.7109375" style="4" bestFit="1" customWidth="1"/>
    <col min="14" max="14" width="7.85546875" style="4" bestFit="1" customWidth="1"/>
    <col min="15" max="15" width="5.7109375" style="4" bestFit="1" customWidth="1"/>
    <col min="16" max="16" width="6" style="4" bestFit="1" customWidth="1"/>
    <col min="17" max="17" width="5.7109375" style="4" bestFit="1" customWidth="1"/>
    <col min="18" max="18" width="3.85546875" style="4" bestFit="1" customWidth="1"/>
    <col min="19" max="19" width="5.28515625" customWidth="1"/>
    <col min="20" max="20" width="4.5703125" customWidth="1"/>
  </cols>
  <sheetData>
    <row r="1" spans="1:18" s="5" customFormat="1" ht="13.5" thickBot="1" x14ac:dyDescent="0.25">
      <c r="A1" s="10" t="s">
        <v>515</v>
      </c>
      <c r="B1" s="20" t="s">
        <v>514</v>
      </c>
      <c r="C1" s="24" t="s">
        <v>516</v>
      </c>
      <c r="D1" s="24" t="s">
        <v>517</v>
      </c>
      <c r="E1" s="10" t="s">
        <v>811</v>
      </c>
      <c r="F1" s="10" t="s">
        <v>812</v>
      </c>
      <c r="G1" s="10" t="s">
        <v>813</v>
      </c>
      <c r="H1" s="10" t="s">
        <v>670</v>
      </c>
      <c r="I1" s="25" t="s">
        <v>504</v>
      </c>
      <c r="J1" s="25" t="s">
        <v>505</v>
      </c>
      <c r="K1" s="25" t="s">
        <v>506</v>
      </c>
      <c r="L1" s="25" t="s">
        <v>507</v>
      </c>
      <c r="M1" s="25" t="s">
        <v>508</v>
      </c>
      <c r="N1" s="25" t="s">
        <v>509</v>
      </c>
      <c r="O1" s="25" t="s">
        <v>510</v>
      </c>
      <c r="P1" s="25" t="s">
        <v>511</v>
      </c>
      <c r="Q1" s="25" t="s">
        <v>512</v>
      </c>
      <c r="R1" s="25" t="s">
        <v>513</v>
      </c>
    </row>
    <row r="2" spans="1:18" x14ac:dyDescent="0.2">
      <c r="A2" s="5" t="s">
        <v>99</v>
      </c>
      <c r="B2" s="22" t="s">
        <v>555</v>
      </c>
      <c r="C2" s="4" t="str">
        <f t="shared" ref="C2:C65" si="0">LEFT(A2,2)</f>
        <v>B1</v>
      </c>
      <c r="D2" s="4" t="str">
        <f t="shared" ref="D2:D65" si="1">RIGHT(A2,4)</f>
        <v>B001</v>
      </c>
      <c r="E2" s="23">
        <v>0</v>
      </c>
      <c r="F2" s="23">
        <v>1</v>
      </c>
      <c r="G2" s="23">
        <v>1</v>
      </c>
      <c r="H2" s="23">
        <v>0</v>
      </c>
      <c r="I2" s="4">
        <v>2</v>
      </c>
      <c r="J2" s="4">
        <f>P2+Q2+R2+'PresenceAbsence kleine Plots'!C2</f>
        <v>1</v>
      </c>
      <c r="K2" s="4">
        <v>0</v>
      </c>
      <c r="L2" s="4">
        <v>2</v>
      </c>
      <c r="M2" s="4">
        <v>0</v>
      </c>
      <c r="N2" s="4">
        <v>0</v>
      </c>
      <c r="O2" s="4">
        <v>0</v>
      </c>
      <c r="P2" s="4">
        <v>1</v>
      </c>
      <c r="Q2" s="4">
        <v>0</v>
      </c>
      <c r="R2" s="4">
        <v>0</v>
      </c>
    </row>
    <row r="3" spans="1:18" x14ac:dyDescent="0.2">
      <c r="A3" s="5" t="s">
        <v>100</v>
      </c>
      <c r="B3" s="22" t="s">
        <v>589</v>
      </c>
      <c r="C3" s="4" t="str">
        <f t="shared" si="0"/>
        <v>B1</v>
      </c>
      <c r="D3" s="4" t="str">
        <f t="shared" si="1"/>
        <v>B002</v>
      </c>
      <c r="E3" s="23">
        <v>1</v>
      </c>
      <c r="F3" s="23">
        <v>1</v>
      </c>
      <c r="G3" s="23">
        <v>1</v>
      </c>
      <c r="H3" s="23">
        <v>0</v>
      </c>
      <c r="I3" s="4">
        <v>1</v>
      </c>
      <c r="J3" s="4">
        <f>P3+Q3+R3+'PresenceAbsence kleine Plots'!C3</f>
        <v>1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1</v>
      </c>
      <c r="R3" s="4">
        <v>0</v>
      </c>
    </row>
    <row r="4" spans="1:18" x14ac:dyDescent="0.2">
      <c r="A4" s="5" t="s">
        <v>101</v>
      </c>
      <c r="B4" s="22" t="s">
        <v>683</v>
      </c>
      <c r="C4" s="4" t="str">
        <f t="shared" si="0"/>
        <v>B1</v>
      </c>
      <c r="D4" s="4" t="str">
        <f t="shared" si="1"/>
        <v>B003</v>
      </c>
      <c r="E4" s="23">
        <v>0</v>
      </c>
      <c r="F4" s="23">
        <v>0</v>
      </c>
      <c r="G4" s="23">
        <v>0</v>
      </c>
      <c r="H4" s="23">
        <v>1</v>
      </c>
      <c r="I4" s="4">
        <v>6</v>
      </c>
      <c r="J4" s="4">
        <f>P4+Q4+R4+'PresenceAbsence kleine Plots'!C4</f>
        <v>3</v>
      </c>
      <c r="K4" s="4">
        <v>4</v>
      </c>
      <c r="L4" s="4">
        <v>0</v>
      </c>
      <c r="M4" s="4">
        <v>1</v>
      </c>
      <c r="N4" s="4">
        <v>1</v>
      </c>
      <c r="O4" s="4">
        <v>1</v>
      </c>
      <c r="P4" s="4">
        <v>0</v>
      </c>
      <c r="Q4" s="4">
        <v>1</v>
      </c>
      <c r="R4" s="4">
        <v>1</v>
      </c>
    </row>
    <row r="5" spans="1:18" x14ac:dyDescent="0.2">
      <c r="A5" s="5" t="s">
        <v>102</v>
      </c>
      <c r="B5" s="22" t="s">
        <v>770</v>
      </c>
      <c r="C5" s="4" t="str">
        <f t="shared" si="0"/>
        <v>B1</v>
      </c>
      <c r="D5" s="4" t="str">
        <f t="shared" si="1"/>
        <v>B004</v>
      </c>
      <c r="E5" s="23">
        <v>0</v>
      </c>
      <c r="F5" s="23">
        <v>0</v>
      </c>
      <c r="G5" s="23">
        <v>0</v>
      </c>
      <c r="H5" s="23">
        <v>1</v>
      </c>
      <c r="I5" s="4">
        <v>3</v>
      </c>
      <c r="J5" s="4">
        <f>P5+Q5+R5+'PresenceAbsence kleine Plots'!C5</f>
        <v>2</v>
      </c>
      <c r="K5" s="4">
        <v>2</v>
      </c>
      <c r="L5" s="4">
        <v>0</v>
      </c>
      <c r="M5" s="4">
        <v>0</v>
      </c>
      <c r="N5" s="4">
        <v>1</v>
      </c>
      <c r="O5" s="4">
        <v>1</v>
      </c>
      <c r="P5" s="4">
        <v>0</v>
      </c>
      <c r="Q5" s="4">
        <v>0</v>
      </c>
      <c r="R5" s="4">
        <v>1</v>
      </c>
    </row>
    <row r="6" spans="1:18" x14ac:dyDescent="0.2">
      <c r="A6" s="5" t="s">
        <v>103</v>
      </c>
      <c r="B6" s="22" t="s">
        <v>720</v>
      </c>
      <c r="C6" s="4" t="str">
        <f t="shared" si="0"/>
        <v>B1</v>
      </c>
      <c r="D6" s="4" t="str">
        <f t="shared" si="1"/>
        <v>B005</v>
      </c>
      <c r="E6" s="23">
        <v>1</v>
      </c>
      <c r="F6" s="23">
        <v>0</v>
      </c>
      <c r="G6" s="23">
        <v>0</v>
      </c>
      <c r="H6" s="23">
        <v>0</v>
      </c>
      <c r="I6" s="4">
        <v>1</v>
      </c>
      <c r="J6" s="4">
        <f>P6+Q6+R6+'PresenceAbsence kleine Plots'!C6</f>
        <v>1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</row>
    <row r="7" spans="1:18" x14ac:dyDescent="0.2">
      <c r="A7" s="5" t="s">
        <v>104</v>
      </c>
      <c r="B7" s="22" t="s">
        <v>801</v>
      </c>
      <c r="C7" s="4" t="str">
        <f t="shared" si="0"/>
        <v>B1</v>
      </c>
      <c r="D7" s="4" t="str">
        <f t="shared" si="1"/>
        <v>B006</v>
      </c>
      <c r="E7" s="23">
        <v>0</v>
      </c>
      <c r="F7" s="23">
        <v>0</v>
      </c>
      <c r="G7" s="23">
        <v>0</v>
      </c>
      <c r="H7" s="23">
        <v>1</v>
      </c>
      <c r="I7" s="4">
        <v>3</v>
      </c>
      <c r="J7" s="4">
        <v>2</v>
      </c>
      <c r="K7" s="4">
        <v>2</v>
      </c>
      <c r="L7" s="4">
        <v>0</v>
      </c>
      <c r="M7" s="4">
        <v>1</v>
      </c>
      <c r="N7" s="4">
        <v>0</v>
      </c>
      <c r="O7" s="4">
        <v>1</v>
      </c>
      <c r="P7" s="4">
        <v>0</v>
      </c>
      <c r="Q7" s="4">
        <v>1</v>
      </c>
      <c r="R7" s="4">
        <v>0</v>
      </c>
    </row>
    <row r="8" spans="1:18" x14ac:dyDescent="0.2">
      <c r="A8" s="5" t="s">
        <v>105</v>
      </c>
      <c r="B8" s="22" t="s">
        <v>767</v>
      </c>
      <c r="C8" s="4" t="str">
        <f t="shared" si="0"/>
        <v>B1</v>
      </c>
      <c r="D8" s="4" t="str">
        <f t="shared" si="1"/>
        <v>B007</v>
      </c>
      <c r="E8" s="23">
        <v>0</v>
      </c>
      <c r="F8" s="23">
        <v>0</v>
      </c>
      <c r="G8" s="23">
        <v>0</v>
      </c>
      <c r="H8" s="23">
        <v>1</v>
      </c>
      <c r="I8" s="4">
        <v>2</v>
      </c>
      <c r="J8" s="4">
        <f>P8+Q8+R8+'PresenceAbsence kleine Plots'!C8</f>
        <v>1</v>
      </c>
      <c r="K8" s="4">
        <v>0</v>
      </c>
      <c r="L8" s="4">
        <v>0</v>
      </c>
      <c r="M8" s="4">
        <v>0</v>
      </c>
      <c r="N8" s="4">
        <v>2</v>
      </c>
      <c r="O8" s="4">
        <v>0</v>
      </c>
      <c r="P8" s="4">
        <v>0</v>
      </c>
      <c r="Q8" s="4">
        <v>0</v>
      </c>
      <c r="R8" s="4">
        <v>1</v>
      </c>
    </row>
    <row r="9" spans="1:18" x14ac:dyDescent="0.2">
      <c r="A9" s="5" t="s">
        <v>106</v>
      </c>
      <c r="B9" s="22" t="s">
        <v>782</v>
      </c>
      <c r="C9" s="4" t="str">
        <f t="shared" si="0"/>
        <v>B1</v>
      </c>
      <c r="D9" s="4" t="str">
        <f t="shared" si="1"/>
        <v>B008</v>
      </c>
      <c r="E9" s="23">
        <v>0</v>
      </c>
      <c r="F9" s="23">
        <v>0</v>
      </c>
      <c r="G9" s="23">
        <v>0</v>
      </c>
      <c r="H9" s="23">
        <v>1</v>
      </c>
      <c r="I9" s="4">
        <v>3</v>
      </c>
      <c r="J9" s="4">
        <v>2</v>
      </c>
      <c r="K9" s="4">
        <v>1</v>
      </c>
      <c r="L9" s="4">
        <v>0</v>
      </c>
      <c r="M9" s="4">
        <v>0</v>
      </c>
      <c r="N9" s="4">
        <v>2</v>
      </c>
      <c r="O9" s="4">
        <v>1</v>
      </c>
      <c r="P9" s="4">
        <v>0</v>
      </c>
      <c r="Q9" s="4">
        <v>0</v>
      </c>
      <c r="R9" s="4">
        <v>1</v>
      </c>
    </row>
    <row r="10" spans="1:18" x14ac:dyDescent="0.2">
      <c r="A10" s="5" t="s">
        <v>107</v>
      </c>
      <c r="B10" s="22" t="s">
        <v>739</v>
      </c>
      <c r="C10" s="4" t="str">
        <f t="shared" si="0"/>
        <v>B1</v>
      </c>
      <c r="D10" s="4" t="str">
        <f t="shared" si="1"/>
        <v>B009</v>
      </c>
      <c r="E10" s="23">
        <v>0</v>
      </c>
      <c r="F10" s="23">
        <v>0</v>
      </c>
      <c r="G10" s="23">
        <v>0</v>
      </c>
      <c r="H10" s="23">
        <v>1</v>
      </c>
      <c r="I10" s="4">
        <v>2</v>
      </c>
      <c r="J10" s="4">
        <f>P10+Q10+R10+'PresenceAbsence kleine Plots'!C10</f>
        <v>1</v>
      </c>
      <c r="K10" s="4">
        <v>0</v>
      </c>
      <c r="L10" s="4">
        <v>0</v>
      </c>
      <c r="M10" s="4">
        <v>2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</row>
    <row r="11" spans="1:18" x14ac:dyDescent="0.2">
      <c r="A11" s="5" t="s">
        <v>108</v>
      </c>
      <c r="B11" s="22" t="s">
        <v>680</v>
      </c>
      <c r="C11" s="4" t="str">
        <f t="shared" si="0"/>
        <v>B1</v>
      </c>
      <c r="D11" s="4" t="str">
        <f t="shared" si="1"/>
        <v>B010</v>
      </c>
      <c r="E11" s="23">
        <v>0</v>
      </c>
      <c r="F11" s="23">
        <v>0</v>
      </c>
      <c r="G11" s="23">
        <v>0</v>
      </c>
      <c r="H11" s="23">
        <v>1</v>
      </c>
      <c r="I11" s="4">
        <v>6</v>
      </c>
      <c r="J11" s="4">
        <f>P11+Q11+R11+'PresenceAbsence kleine Plots'!C11</f>
        <v>2</v>
      </c>
      <c r="K11" s="4">
        <v>5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</row>
    <row r="12" spans="1:18" x14ac:dyDescent="0.2">
      <c r="A12" s="5" t="s">
        <v>109</v>
      </c>
      <c r="B12" s="22" t="s">
        <v>684</v>
      </c>
      <c r="C12" s="4" t="str">
        <f t="shared" si="0"/>
        <v>B1</v>
      </c>
      <c r="D12" s="4" t="str">
        <f t="shared" si="1"/>
        <v>B011</v>
      </c>
      <c r="E12" s="23">
        <v>0</v>
      </c>
      <c r="F12" s="23">
        <v>0</v>
      </c>
      <c r="G12" s="23">
        <v>0</v>
      </c>
      <c r="H12" s="23">
        <v>1</v>
      </c>
      <c r="I12" s="4">
        <v>6</v>
      </c>
      <c r="J12" s="4">
        <v>3</v>
      </c>
      <c r="K12" s="4">
        <v>3</v>
      </c>
      <c r="L12" s="4">
        <v>0</v>
      </c>
      <c r="M12" s="4">
        <v>2</v>
      </c>
      <c r="N12" s="4">
        <v>1</v>
      </c>
      <c r="O12" s="4">
        <v>1</v>
      </c>
      <c r="P12" s="4">
        <v>0</v>
      </c>
      <c r="Q12" s="4">
        <v>1</v>
      </c>
      <c r="R12" s="4">
        <v>1</v>
      </c>
    </row>
    <row r="13" spans="1:18" x14ac:dyDescent="0.2">
      <c r="A13" s="5" t="s">
        <v>110</v>
      </c>
      <c r="B13" s="22" t="s">
        <v>752</v>
      </c>
      <c r="C13" s="4" t="str">
        <f t="shared" si="0"/>
        <v>B1</v>
      </c>
      <c r="D13" s="4" t="str">
        <f t="shared" si="1"/>
        <v>B012</v>
      </c>
      <c r="E13" s="23">
        <v>0</v>
      </c>
      <c r="F13" s="23">
        <v>0</v>
      </c>
      <c r="G13" s="23">
        <v>0</v>
      </c>
      <c r="H13" s="23">
        <v>1</v>
      </c>
      <c r="I13" s="4">
        <v>2</v>
      </c>
      <c r="J13" s="4">
        <v>1</v>
      </c>
      <c r="K13" s="4">
        <v>2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</row>
    <row r="14" spans="1:18" x14ac:dyDescent="0.2">
      <c r="A14" s="5" t="s">
        <v>111</v>
      </c>
      <c r="B14" s="22" t="s">
        <v>547</v>
      </c>
      <c r="C14" s="4" t="str">
        <f t="shared" si="0"/>
        <v>B1</v>
      </c>
      <c r="D14" s="4" t="str">
        <f t="shared" si="1"/>
        <v>B013</v>
      </c>
      <c r="E14" s="23">
        <v>0</v>
      </c>
      <c r="F14" s="23">
        <v>1</v>
      </c>
      <c r="G14" s="23">
        <v>1</v>
      </c>
      <c r="H14" s="23">
        <v>0</v>
      </c>
      <c r="I14" s="4">
        <v>16</v>
      </c>
      <c r="J14" s="4">
        <f>P14+Q14+R14+'PresenceAbsence kleine Plots'!C14</f>
        <v>2</v>
      </c>
      <c r="K14" s="4">
        <v>8</v>
      </c>
      <c r="L14" s="4">
        <v>8</v>
      </c>
      <c r="M14" s="4">
        <v>0</v>
      </c>
      <c r="N14" s="4">
        <v>0</v>
      </c>
      <c r="O14" s="4">
        <v>1</v>
      </c>
      <c r="P14" s="4">
        <v>1</v>
      </c>
      <c r="Q14" s="4">
        <v>0</v>
      </c>
      <c r="R14" s="4">
        <v>0</v>
      </c>
    </row>
    <row r="15" spans="1:18" x14ac:dyDescent="0.2">
      <c r="A15" s="5" t="s">
        <v>112</v>
      </c>
      <c r="B15" s="22" t="s">
        <v>573</v>
      </c>
      <c r="C15" s="4" t="str">
        <f t="shared" si="0"/>
        <v>B1</v>
      </c>
      <c r="D15" s="4" t="str">
        <f t="shared" si="1"/>
        <v>B014</v>
      </c>
      <c r="E15" s="23">
        <v>0</v>
      </c>
      <c r="F15" s="23">
        <v>1</v>
      </c>
      <c r="G15" s="23">
        <v>1</v>
      </c>
      <c r="H15" s="23">
        <v>0</v>
      </c>
      <c r="I15" s="4">
        <v>2</v>
      </c>
      <c r="J15" s="4">
        <v>2</v>
      </c>
      <c r="K15" s="4">
        <v>1</v>
      </c>
      <c r="L15" s="4">
        <v>1</v>
      </c>
      <c r="M15" s="4">
        <v>0</v>
      </c>
      <c r="N15" s="4">
        <v>0</v>
      </c>
      <c r="O15" s="4">
        <v>1</v>
      </c>
      <c r="P15" s="4">
        <v>1</v>
      </c>
      <c r="Q15" s="4">
        <v>0</v>
      </c>
      <c r="R15" s="4">
        <v>0</v>
      </c>
    </row>
    <row r="16" spans="1:18" x14ac:dyDescent="0.2">
      <c r="A16" s="5" t="s">
        <v>113</v>
      </c>
      <c r="B16" s="22" t="s">
        <v>537</v>
      </c>
      <c r="C16" s="4" t="str">
        <f t="shared" si="0"/>
        <v>B1</v>
      </c>
      <c r="D16" s="4" t="str">
        <f t="shared" si="1"/>
        <v>B015</v>
      </c>
      <c r="E16" s="23">
        <v>0</v>
      </c>
      <c r="F16" s="23">
        <v>1</v>
      </c>
      <c r="G16" s="23">
        <v>1</v>
      </c>
      <c r="H16" s="23">
        <v>0</v>
      </c>
      <c r="I16" s="4">
        <v>16</v>
      </c>
      <c r="J16" s="4">
        <f>P16+Q16+R16+'PresenceAbsence kleine Plots'!C16</f>
        <v>3</v>
      </c>
      <c r="K16" s="4">
        <v>0</v>
      </c>
      <c r="L16" s="4">
        <v>6</v>
      </c>
      <c r="M16" s="4">
        <v>5</v>
      </c>
      <c r="N16" s="4">
        <v>5</v>
      </c>
      <c r="O16" s="4">
        <v>0</v>
      </c>
      <c r="P16" s="4">
        <v>1</v>
      </c>
      <c r="Q16" s="4">
        <v>1</v>
      </c>
      <c r="R16" s="4">
        <v>1</v>
      </c>
    </row>
    <row r="17" spans="1:18" x14ac:dyDescent="0.2">
      <c r="A17" s="5" t="s">
        <v>114</v>
      </c>
      <c r="B17" s="22" t="s">
        <v>754</v>
      </c>
      <c r="C17" s="4" t="str">
        <f t="shared" si="0"/>
        <v>B1</v>
      </c>
      <c r="D17" s="4" t="str">
        <f t="shared" si="1"/>
        <v>B016</v>
      </c>
      <c r="E17" s="23">
        <v>0</v>
      </c>
      <c r="F17" s="23">
        <v>0</v>
      </c>
      <c r="G17" s="23">
        <v>0</v>
      </c>
      <c r="H17" s="23">
        <v>1</v>
      </c>
      <c r="I17" s="4">
        <v>2</v>
      </c>
      <c r="J17" s="4">
        <f>P17+Q17+R17+'PresenceAbsence kleine Plots'!C17</f>
        <v>2</v>
      </c>
      <c r="K17" s="4">
        <v>0</v>
      </c>
      <c r="L17" s="4">
        <v>0</v>
      </c>
      <c r="M17" s="4">
        <v>1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</row>
    <row r="18" spans="1:18" x14ac:dyDescent="0.2">
      <c r="A18" s="5" t="s">
        <v>115</v>
      </c>
      <c r="B18" s="22" t="s">
        <v>786</v>
      </c>
      <c r="C18" s="4" t="str">
        <f t="shared" si="0"/>
        <v>B1</v>
      </c>
      <c r="D18" s="4" t="str">
        <f t="shared" si="1"/>
        <v>B017</v>
      </c>
      <c r="E18" s="23">
        <v>0</v>
      </c>
      <c r="F18" s="23">
        <v>0</v>
      </c>
      <c r="G18" s="23">
        <v>0</v>
      </c>
      <c r="H18" s="23">
        <v>1</v>
      </c>
      <c r="I18" s="4">
        <v>4</v>
      </c>
      <c r="J18" s="4">
        <v>2</v>
      </c>
      <c r="K18" s="4">
        <v>3</v>
      </c>
      <c r="L18" s="4">
        <v>0</v>
      </c>
      <c r="M18" s="4">
        <v>1</v>
      </c>
      <c r="N18" s="4">
        <v>0</v>
      </c>
      <c r="O18" s="4">
        <v>1</v>
      </c>
      <c r="P18" s="4">
        <v>0</v>
      </c>
      <c r="Q18" s="4">
        <v>1</v>
      </c>
      <c r="R18" s="4">
        <v>0</v>
      </c>
    </row>
    <row r="19" spans="1:18" x14ac:dyDescent="0.2">
      <c r="A19" s="5" t="s">
        <v>116</v>
      </c>
      <c r="B19" s="22" t="s">
        <v>548</v>
      </c>
      <c r="C19" s="4" t="str">
        <f t="shared" si="0"/>
        <v>B1</v>
      </c>
      <c r="D19" s="4" t="str">
        <f t="shared" si="1"/>
        <v>B018</v>
      </c>
      <c r="E19" s="23">
        <v>0</v>
      </c>
      <c r="F19" s="23">
        <v>1</v>
      </c>
      <c r="G19" s="23">
        <v>1</v>
      </c>
      <c r="H19" s="23">
        <v>0</v>
      </c>
      <c r="I19" s="4">
        <v>8</v>
      </c>
      <c r="J19" s="4">
        <f>P19+Q19+R19+'PresenceAbsence kleine Plots'!C19</f>
        <v>1</v>
      </c>
      <c r="K19" s="4">
        <v>0</v>
      </c>
      <c r="L19" s="4">
        <v>0</v>
      </c>
      <c r="M19" s="4">
        <v>8</v>
      </c>
      <c r="N19" s="4">
        <v>0</v>
      </c>
      <c r="O19" s="4">
        <v>0</v>
      </c>
      <c r="P19" s="4">
        <v>0</v>
      </c>
      <c r="Q19" s="4">
        <v>1</v>
      </c>
      <c r="R19" s="4">
        <v>0</v>
      </c>
    </row>
    <row r="20" spans="1:18" x14ac:dyDescent="0.2">
      <c r="A20" s="5" t="s">
        <v>117</v>
      </c>
      <c r="B20" s="22" t="s">
        <v>768</v>
      </c>
      <c r="C20" s="4" t="str">
        <f t="shared" si="0"/>
        <v>B1</v>
      </c>
      <c r="D20" s="4" t="str">
        <f t="shared" si="1"/>
        <v>B019</v>
      </c>
      <c r="E20" s="23">
        <v>0</v>
      </c>
      <c r="F20" s="23">
        <v>0</v>
      </c>
      <c r="G20" s="23">
        <v>0</v>
      </c>
      <c r="H20" s="23">
        <v>1</v>
      </c>
      <c r="I20" s="4">
        <v>3</v>
      </c>
      <c r="J20" s="4">
        <v>1</v>
      </c>
      <c r="K20" s="4">
        <v>3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</row>
    <row r="21" spans="1:18" x14ac:dyDescent="0.2">
      <c r="A21" s="5" t="s">
        <v>118</v>
      </c>
      <c r="B21" s="22" t="s">
        <v>700</v>
      </c>
      <c r="C21" s="4" t="str">
        <f t="shared" si="0"/>
        <v>B1</v>
      </c>
      <c r="D21" s="4" t="str">
        <f t="shared" si="1"/>
        <v>B020</v>
      </c>
      <c r="E21" s="23">
        <v>1</v>
      </c>
      <c r="F21" s="23">
        <v>0</v>
      </c>
      <c r="G21" s="23">
        <v>0</v>
      </c>
      <c r="H21" s="23">
        <v>0</v>
      </c>
      <c r="I21" s="4">
        <v>1</v>
      </c>
      <c r="J21" s="4">
        <f>P21+Q21+R21+'PresenceAbsence kleine Plots'!C21</f>
        <v>1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</row>
    <row r="22" spans="1:18" x14ac:dyDescent="0.2">
      <c r="A22" s="5" t="s">
        <v>119</v>
      </c>
      <c r="B22" s="22" t="s">
        <v>799</v>
      </c>
      <c r="C22" s="4" t="str">
        <f t="shared" si="0"/>
        <v>B1</v>
      </c>
      <c r="D22" s="4" t="str">
        <f t="shared" si="1"/>
        <v>B021</v>
      </c>
      <c r="E22" s="23">
        <v>0</v>
      </c>
      <c r="F22" s="23">
        <v>0</v>
      </c>
      <c r="G22" s="23">
        <v>0</v>
      </c>
      <c r="H22" s="23">
        <v>1</v>
      </c>
      <c r="I22" s="4">
        <v>4</v>
      </c>
      <c r="J22" s="4">
        <f>P22+Q22+R22+'PresenceAbsence kleine Plots'!C22</f>
        <v>2</v>
      </c>
      <c r="K22" s="4">
        <v>2</v>
      </c>
      <c r="L22" s="4">
        <v>0</v>
      </c>
      <c r="M22" s="4">
        <v>0</v>
      </c>
      <c r="N22" s="4">
        <v>2</v>
      </c>
      <c r="O22" s="4">
        <v>1</v>
      </c>
      <c r="P22" s="4">
        <v>0</v>
      </c>
      <c r="Q22" s="4">
        <v>0</v>
      </c>
      <c r="R22" s="4">
        <v>1</v>
      </c>
    </row>
    <row r="23" spans="1:18" x14ac:dyDescent="0.2">
      <c r="A23" s="5" t="s">
        <v>120</v>
      </c>
      <c r="B23" s="22" t="s">
        <v>716</v>
      </c>
      <c r="C23" s="4" t="str">
        <f t="shared" si="0"/>
        <v>B1</v>
      </c>
      <c r="D23" s="4" t="str">
        <f t="shared" si="1"/>
        <v>B022</v>
      </c>
      <c r="E23" s="23">
        <v>1</v>
      </c>
      <c r="F23" s="23">
        <v>0</v>
      </c>
      <c r="G23" s="23">
        <v>0</v>
      </c>
      <c r="H23" s="23">
        <v>1</v>
      </c>
      <c r="I23" s="4">
        <v>1</v>
      </c>
      <c r="J23" s="4">
        <v>1</v>
      </c>
      <c r="K23" s="4">
        <v>1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</row>
    <row r="24" spans="1:18" x14ac:dyDescent="0.2">
      <c r="A24" s="5" t="s">
        <v>121</v>
      </c>
      <c r="B24" s="22" t="s">
        <v>763</v>
      </c>
      <c r="C24" s="4" t="str">
        <f t="shared" si="0"/>
        <v>B1</v>
      </c>
      <c r="D24" s="4" t="str">
        <f t="shared" si="1"/>
        <v>B023</v>
      </c>
      <c r="E24" s="23">
        <v>0</v>
      </c>
      <c r="F24" s="23">
        <v>0</v>
      </c>
      <c r="G24" s="23">
        <v>0</v>
      </c>
      <c r="H24" s="23">
        <v>1</v>
      </c>
      <c r="I24" s="4">
        <v>2</v>
      </c>
      <c r="J24" s="4">
        <v>2</v>
      </c>
      <c r="K24" s="4">
        <v>1</v>
      </c>
      <c r="L24" s="4">
        <v>0</v>
      </c>
      <c r="M24" s="4">
        <v>0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</row>
    <row r="25" spans="1:18" x14ac:dyDescent="0.2">
      <c r="A25" s="5" t="s">
        <v>122</v>
      </c>
      <c r="B25" s="22" t="s">
        <v>776</v>
      </c>
      <c r="C25" s="4" t="str">
        <f t="shared" si="0"/>
        <v>B1</v>
      </c>
      <c r="D25" s="4" t="str">
        <f t="shared" si="1"/>
        <v>B024</v>
      </c>
      <c r="E25" s="23">
        <v>0</v>
      </c>
      <c r="F25" s="23">
        <v>0</v>
      </c>
      <c r="G25" s="23">
        <v>0</v>
      </c>
      <c r="H25" s="23">
        <v>1</v>
      </c>
      <c r="I25" s="4">
        <v>3</v>
      </c>
      <c r="J25" s="4">
        <f>P25+Q25+R25+'PresenceAbsence kleine Plots'!C25</f>
        <v>2</v>
      </c>
      <c r="K25" s="4">
        <v>2</v>
      </c>
      <c r="L25" s="4">
        <v>0</v>
      </c>
      <c r="M25" s="4">
        <v>0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</row>
    <row r="26" spans="1:18" x14ac:dyDescent="0.2">
      <c r="A26" s="5" t="s">
        <v>123</v>
      </c>
      <c r="B26" s="22" t="s">
        <v>729</v>
      </c>
      <c r="C26" s="4" t="str">
        <f t="shared" si="0"/>
        <v>B1</v>
      </c>
      <c r="D26" s="4" t="str">
        <f t="shared" si="1"/>
        <v>B025</v>
      </c>
      <c r="E26" s="23">
        <v>1</v>
      </c>
      <c r="F26" s="23">
        <v>0</v>
      </c>
      <c r="G26" s="23">
        <v>0</v>
      </c>
      <c r="H26" s="23">
        <v>1</v>
      </c>
      <c r="I26" s="4">
        <v>1</v>
      </c>
      <c r="J26" s="4">
        <f>P26+Q26+R26+'PresenceAbsence kleine Plots'!C26</f>
        <v>1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1</v>
      </c>
    </row>
    <row r="27" spans="1:18" x14ac:dyDescent="0.2">
      <c r="A27" s="5" t="s">
        <v>124</v>
      </c>
      <c r="B27" s="22" t="s">
        <v>758</v>
      </c>
      <c r="C27" s="4" t="str">
        <f t="shared" si="0"/>
        <v>B1</v>
      </c>
      <c r="D27" s="4" t="str">
        <f t="shared" si="1"/>
        <v>B026</v>
      </c>
      <c r="E27" s="23">
        <v>0</v>
      </c>
      <c r="F27" s="23">
        <v>0</v>
      </c>
      <c r="G27" s="23">
        <v>0</v>
      </c>
      <c r="H27" s="23">
        <v>1</v>
      </c>
      <c r="I27" s="4">
        <v>2</v>
      </c>
      <c r="J27" s="4">
        <v>2</v>
      </c>
      <c r="K27" s="4">
        <v>1</v>
      </c>
      <c r="L27" s="4">
        <v>0</v>
      </c>
      <c r="M27" s="4">
        <v>0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</row>
    <row r="28" spans="1:18" x14ac:dyDescent="0.2">
      <c r="A28" s="5" t="s">
        <v>125</v>
      </c>
      <c r="B28" s="22" t="s">
        <v>538</v>
      </c>
      <c r="C28" s="4" t="str">
        <f t="shared" si="0"/>
        <v>B1</v>
      </c>
      <c r="D28" s="4" t="str">
        <f t="shared" si="1"/>
        <v>B027</v>
      </c>
      <c r="E28" s="23">
        <v>0</v>
      </c>
      <c r="F28" s="23">
        <v>1</v>
      </c>
      <c r="G28" s="23">
        <v>1</v>
      </c>
      <c r="H28" s="23">
        <v>0</v>
      </c>
      <c r="I28" s="4">
        <v>4</v>
      </c>
      <c r="J28" s="4">
        <v>2</v>
      </c>
      <c r="K28" s="4">
        <v>2</v>
      </c>
      <c r="L28" s="4">
        <v>0</v>
      </c>
      <c r="M28" s="4">
        <v>2</v>
      </c>
      <c r="N28" s="4">
        <v>0</v>
      </c>
      <c r="O28" s="4">
        <v>1</v>
      </c>
      <c r="P28" s="4">
        <v>0</v>
      </c>
      <c r="Q28" s="4">
        <v>1</v>
      </c>
      <c r="R28" s="4">
        <v>0</v>
      </c>
    </row>
    <row r="29" spans="1:18" x14ac:dyDescent="0.2">
      <c r="A29" s="5" t="s">
        <v>126</v>
      </c>
      <c r="B29" s="22" t="s">
        <v>741</v>
      </c>
      <c r="C29" s="4" t="str">
        <f t="shared" si="0"/>
        <v>B1</v>
      </c>
      <c r="D29" s="4" t="str">
        <f t="shared" si="1"/>
        <v>B028</v>
      </c>
      <c r="E29" s="23">
        <v>0</v>
      </c>
      <c r="F29" s="23">
        <v>0</v>
      </c>
      <c r="G29" s="23">
        <v>0</v>
      </c>
      <c r="H29" s="23">
        <v>1</v>
      </c>
      <c r="I29" s="4">
        <v>2</v>
      </c>
      <c r="J29" s="4">
        <v>2</v>
      </c>
      <c r="K29" s="4">
        <v>1</v>
      </c>
      <c r="L29" s="4">
        <v>0</v>
      </c>
      <c r="M29" s="4">
        <v>1</v>
      </c>
      <c r="N29" s="4">
        <v>0</v>
      </c>
      <c r="O29" s="4">
        <v>1</v>
      </c>
      <c r="P29" s="4">
        <v>0</v>
      </c>
      <c r="Q29" s="4">
        <v>1</v>
      </c>
      <c r="R29" s="4">
        <v>0</v>
      </c>
    </row>
    <row r="30" spans="1:18" x14ac:dyDescent="0.2">
      <c r="A30" s="5" t="s">
        <v>127</v>
      </c>
      <c r="B30" s="22" t="s">
        <v>591</v>
      </c>
      <c r="C30" s="4" t="str">
        <f t="shared" si="0"/>
        <v>B1</v>
      </c>
      <c r="D30" s="4" t="str">
        <f t="shared" si="1"/>
        <v>B029</v>
      </c>
      <c r="E30" s="23">
        <v>0</v>
      </c>
      <c r="F30" s="23">
        <v>1</v>
      </c>
      <c r="G30" s="23">
        <v>1</v>
      </c>
      <c r="H30" s="23">
        <v>0</v>
      </c>
      <c r="I30" s="4">
        <v>2</v>
      </c>
      <c r="J30" s="4">
        <f>P30+Q30+R30+'PresenceAbsence kleine Plots'!C30</f>
        <v>2</v>
      </c>
      <c r="K30" s="4">
        <v>0</v>
      </c>
      <c r="L30" s="4">
        <v>1</v>
      </c>
      <c r="M30" s="4">
        <v>0</v>
      </c>
      <c r="N30" s="4">
        <v>1</v>
      </c>
      <c r="O30" s="4">
        <v>0</v>
      </c>
      <c r="P30" s="4">
        <v>1</v>
      </c>
      <c r="Q30" s="4">
        <v>0</v>
      </c>
      <c r="R30" s="4">
        <v>1</v>
      </c>
    </row>
    <row r="31" spans="1:18" x14ac:dyDescent="0.2">
      <c r="A31" s="5" t="s">
        <v>128</v>
      </c>
      <c r="B31" s="22" t="s">
        <v>557</v>
      </c>
      <c r="C31" s="4" t="str">
        <f t="shared" si="0"/>
        <v>B1</v>
      </c>
      <c r="D31" s="4" t="str">
        <f t="shared" si="1"/>
        <v>B030</v>
      </c>
      <c r="E31" s="23">
        <v>0</v>
      </c>
      <c r="F31" s="23">
        <v>1</v>
      </c>
      <c r="G31" s="23">
        <v>1</v>
      </c>
      <c r="H31" s="23">
        <v>0</v>
      </c>
      <c r="I31" s="4">
        <v>8</v>
      </c>
      <c r="J31" s="4">
        <f>P31+Q31+R31+'PresenceAbsence kleine Plots'!C31</f>
        <v>3</v>
      </c>
      <c r="K31" s="4">
        <v>0</v>
      </c>
      <c r="L31" s="4">
        <v>2</v>
      </c>
      <c r="M31" s="4">
        <v>3</v>
      </c>
      <c r="N31" s="4">
        <v>3</v>
      </c>
      <c r="O31" s="4">
        <v>0</v>
      </c>
      <c r="P31" s="4">
        <v>1</v>
      </c>
      <c r="Q31" s="4">
        <v>1</v>
      </c>
      <c r="R31" s="4">
        <v>1</v>
      </c>
    </row>
    <row r="32" spans="1:18" x14ac:dyDescent="0.2">
      <c r="A32" s="5" t="s">
        <v>129</v>
      </c>
      <c r="B32" s="22" t="s">
        <v>677</v>
      </c>
      <c r="C32" s="4" t="str">
        <f t="shared" si="0"/>
        <v>B1</v>
      </c>
      <c r="D32" s="4" t="str">
        <f t="shared" si="1"/>
        <v>B031</v>
      </c>
      <c r="E32" s="23">
        <v>0</v>
      </c>
      <c r="F32" s="23">
        <v>0</v>
      </c>
      <c r="G32" s="23">
        <v>0</v>
      </c>
      <c r="H32" s="23">
        <v>1</v>
      </c>
      <c r="I32" s="4">
        <v>9</v>
      </c>
      <c r="J32" s="4">
        <f>P32+Q32+R32+'PresenceAbsence kleine Plots'!C32</f>
        <v>3</v>
      </c>
      <c r="K32" s="4">
        <v>5</v>
      </c>
      <c r="L32" s="4">
        <v>0</v>
      </c>
      <c r="M32" s="4">
        <v>2</v>
      </c>
      <c r="N32" s="4">
        <v>2</v>
      </c>
      <c r="O32" s="4">
        <v>1</v>
      </c>
      <c r="P32" s="4">
        <v>0</v>
      </c>
      <c r="Q32" s="4">
        <v>1</v>
      </c>
      <c r="R32" s="4">
        <v>1</v>
      </c>
    </row>
    <row r="33" spans="1:18" x14ac:dyDescent="0.2">
      <c r="A33" s="5" t="s">
        <v>130</v>
      </c>
      <c r="B33" s="22" t="s">
        <v>697</v>
      </c>
      <c r="C33" s="4" t="str">
        <f t="shared" si="0"/>
        <v>B1</v>
      </c>
      <c r="D33" s="4" t="str">
        <f t="shared" si="1"/>
        <v>B032</v>
      </c>
      <c r="E33" s="23">
        <v>1</v>
      </c>
      <c r="F33" s="23">
        <v>0</v>
      </c>
      <c r="G33" s="23">
        <v>0</v>
      </c>
      <c r="H33" s="23">
        <v>0</v>
      </c>
      <c r="I33" s="4">
        <v>1</v>
      </c>
      <c r="J33" s="4">
        <f>P33+Q33+R33+'PresenceAbsence kleine Plots'!C33</f>
        <v>1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1</v>
      </c>
      <c r="R33" s="4">
        <v>0</v>
      </c>
    </row>
    <row r="34" spans="1:18" x14ac:dyDescent="0.2">
      <c r="A34" s="5" t="s">
        <v>131</v>
      </c>
      <c r="B34" s="22" t="s">
        <v>726</v>
      </c>
      <c r="C34" s="4" t="str">
        <f t="shared" si="0"/>
        <v>B1</v>
      </c>
      <c r="D34" s="4" t="str">
        <f t="shared" si="1"/>
        <v>B033</v>
      </c>
      <c r="E34" s="23">
        <v>1</v>
      </c>
      <c r="F34" s="23">
        <v>0</v>
      </c>
      <c r="G34" s="23">
        <v>0</v>
      </c>
      <c r="H34" s="23">
        <v>0</v>
      </c>
      <c r="I34" s="4">
        <v>1</v>
      </c>
      <c r="J34" s="4">
        <v>1</v>
      </c>
      <c r="K34" s="4">
        <v>1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</row>
    <row r="35" spans="1:18" x14ac:dyDescent="0.2">
      <c r="A35" s="5" t="s">
        <v>132</v>
      </c>
      <c r="B35" s="22" t="s">
        <v>788</v>
      </c>
      <c r="C35" s="4" t="str">
        <f t="shared" si="0"/>
        <v>B1</v>
      </c>
      <c r="D35" s="4" t="str">
        <f t="shared" si="1"/>
        <v>B034</v>
      </c>
      <c r="E35" s="23">
        <v>0</v>
      </c>
      <c r="F35" s="23">
        <v>0</v>
      </c>
      <c r="G35" s="23">
        <v>0</v>
      </c>
      <c r="H35" s="23">
        <v>1</v>
      </c>
      <c r="I35" s="4">
        <v>4</v>
      </c>
      <c r="J35" s="4">
        <f>P35+Q35+R35+'PresenceAbsence kleine Plots'!C35</f>
        <v>3</v>
      </c>
      <c r="K35" s="4">
        <v>2</v>
      </c>
      <c r="L35" s="4">
        <v>0</v>
      </c>
      <c r="M35" s="4">
        <v>1</v>
      </c>
      <c r="N35" s="4">
        <v>1</v>
      </c>
      <c r="O35" s="4">
        <v>1</v>
      </c>
      <c r="P35" s="4">
        <v>0</v>
      </c>
      <c r="Q35" s="4">
        <v>1</v>
      </c>
      <c r="R35" s="4">
        <v>1</v>
      </c>
    </row>
    <row r="36" spans="1:18" x14ac:dyDescent="0.2">
      <c r="A36" s="5" t="s">
        <v>133</v>
      </c>
      <c r="B36" s="22" t="s">
        <v>790</v>
      </c>
      <c r="C36" s="4" t="str">
        <f t="shared" si="0"/>
        <v>B1</v>
      </c>
      <c r="D36" s="4" t="str">
        <f t="shared" si="1"/>
        <v>B035</v>
      </c>
      <c r="E36" s="23">
        <v>0</v>
      </c>
      <c r="F36" s="23">
        <v>0</v>
      </c>
      <c r="G36" s="23">
        <v>0</v>
      </c>
      <c r="H36" s="23">
        <v>1</v>
      </c>
      <c r="I36" s="4">
        <v>4</v>
      </c>
      <c r="J36" s="4">
        <v>2</v>
      </c>
      <c r="K36" s="4">
        <v>3</v>
      </c>
      <c r="L36" s="4">
        <v>0</v>
      </c>
      <c r="M36" s="4">
        <v>0</v>
      </c>
      <c r="N36" s="4">
        <v>1</v>
      </c>
      <c r="O36" s="4">
        <v>1</v>
      </c>
      <c r="P36" s="4">
        <v>0</v>
      </c>
      <c r="Q36" s="4">
        <v>0</v>
      </c>
      <c r="R36" s="4">
        <v>1</v>
      </c>
    </row>
    <row r="37" spans="1:18" x14ac:dyDescent="0.2">
      <c r="A37" s="5" t="s">
        <v>134</v>
      </c>
      <c r="B37" s="22" t="s">
        <v>712</v>
      </c>
      <c r="C37" s="4" t="str">
        <f t="shared" si="0"/>
        <v>B1</v>
      </c>
      <c r="D37" s="4" t="str">
        <f t="shared" si="1"/>
        <v>B036</v>
      </c>
      <c r="E37" s="23">
        <v>1</v>
      </c>
      <c r="F37" s="23">
        <v>0</v>
      </c>
      <c r="G37" s="23">
        <v>0</v>
      </c>
      <c r="H37" s="23">
        <v>0</v>
      </c>
      <c r="I37" s="4">
        <v>1</v>
      </c>
      <c r="J37" s="4">
        <f>P37+Q37+R37+'PresenceAbsence kleine Plots'!C37</f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1</v>
      </c>
      <c r="R37" s="4">
        <v>0</v>
      </c>
    </row>
    <row r="38" spans="1:18" x14ac:dyDescent="0.2">
      <c r="A38" s="5" t="s">
        <v>135</v>
      </c>
      <c r="B38" s="22" t="s">
        <v>542</v>
      </c>
      <c r="C38" s="4" t="str">
        <f t="shared" si="0"/>
        <v>B1</v>
      </c>
      <c r="D38" s="4" t="str">
        <f t="shared" si="1"/>
        <v>B037</v>
      </c>
      <c r="E38" s="23">
        <v>1</v>
      </c>
      <c r="F38" s="23">
        <v>1</v>
      </c>
      <c r="G38" s="23">
        <v>0</v>
      </c>
      <c r="H38" s="23">
        <v>1</v>
      </c>
      <c r="I38" s="4">
        <v>1</v>
      </c>
      <c r="J38" s="4">
        <f>P38+Q38+R38+'PresenceAbsence kleine Plots'!C38</f>
        <v>1</v>
      </c>
      <c r="K38" s="4">
        <v>0</v>
      </c>
      <c r="L38" s="4">
        <v>0</v>
      </c>
      <c r="M38" s="4">
        <v>1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</row>
    <row r="39" spans="1:18" x14ac:dyDescent="0.2">
      <c r="A39" s="5" t="s">
        <v>136</v>
      </c>
      <c r="B39" s="22" t="s">
        <v>588</v>
      </c>
      <c r="C39" s="4" t="str">
        <f t="shared" si="0"/>
        <v>B1</v>
      </c>
      <c r="D39" s="4" t="str">
        <f t="shared" si="1"/>
        <v>B038</v>
      </c>
      <c r="E39" s="23">
        <v>1</v>
      </c>
      <c r="F39" s="23">
        <v>1</v>
      </c>
      <c r="G39" s="23">
        <v>0</v>
      </c>
      <c r="H39" s="23">
        <v>0</v>
      </c>
      <c r="I39" s="4">
        <v>1</v>
      </c>
      <c r="J39" s="4">
        <v>1</v>
      </c>
      <c r="K39" s="4">
        <v>1</v>
      </c>
      <c r="L39" s="4">
        <v>0</v>
      </c>
      <c r="M39" s="4">
        <v>0</v>
      </c>
      <c r="N39" s="4">
        <v>0</v>
      </c>
      <c r="O39" s="4">
        <v>1</v>
      </c>
      <c r="P39" s="4">
        <v>0</v>
      </c>
      <c r="Q39" s="4">
        <v>0</v>
      </c>
      <c r="R39" s="4">
        <v>0</v>
      </c>
    </row>
    <row r="40" spans="1:18" x14ac:dyDescent="0.2">
      <c r="A40" s="5" t="s">
        <v>137</v>
      </c>
      <c r="B40" s="22" t="s">
        <v>755</v>
      </c>
      <c r="C40" s="4" t="str">
        <f t="shared" si="0"/>
        <v>B1</v>
      </c>
      <c r="D40" s="4" t="str">
        <f t="shared" si="1"/>
        <v>B039</v>
      </c>
      <c r="E40" s="23">
        <v>0</v>
      </c>
      <c r="F40" s="23">
        <v>0</v>
      </c>
      <c r="G40" s="23">
        <v>0</v>
      </c>
      <c r="H40" s="23">
        <v>1</v>
      </c>
      <c r="I40" s="4">
        <v>2</v>
      </c>
      <c r="J40" s="4">
        <v>2</v>
      </c>
      <c r="K40" s="4">
        <v>1</v>
      </c>
      <c r="L40" s="4">
        <v>0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</row>
    <row r="41" spans="1:18" x14ac:dyDescent="0.2">
      <c r="A41" s="5" t="s">
        <v>138</v>
      </c>
      <c r="B41" s="22" t="s">
        <v>527</v>
      </c>
      <c r="C41" s="4" t="str">
        <f t="shared" si="0"/>
        <v>B1</v>
      </c>
      <c r="D41" s="4" t="str">
        <f t="shared" si="1"/>
        <v>B040</v>
      </c>
      <c r="E41" s="23">
        <v>0</v>
      </c>
      <c r="F41" s="23">
        <v>1</v>
      </c>
      <c r="G41" s="23">
        <v>0</v>
      </c>
      <c r="H41" s="23">
        <v>0</v>
      </c>
      <c r="I41" s="4">
        <v>0</v>
      </c>
      <c r="J41" s="4">
        <f>P41+Q41+R41+'PresenceAbsence kleine Plots'!C41</f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x14ac:dyDescent="0.2">
      <c r="A42" s="5" t="s">
        <v>139</v>
      </c>
      <c r="B42" s="22" t="s">
        <v>773</v>
      </c>
      <c r="C42" s="4" t="str">
        <f t="shared" si="0"/>
        <v>B1</v>
      </c>
      <c r="D42" s="4" t="str">
        <f t="shared" si="1"/>
        <v>B041</v>
      </c>
      <c r="E42" s="23">
        <v>0</v>
      </c>
      <c r="F42" s="23">
        <v>0</v>
      </c>
      <c r="G42" s="23">
        <v>0</v>
      </c>
      <c r="H42" s="23">
        <v>1</v>
      </c>
      <c r="I42" s="4">
        <v>3</v>
      </c>
      <c r="J42" s="4">
        <v>2</v>
      </c>
      <c r="K42" s="4">
        <v>2</v>
      </c>
      <c r="L42" s="4">
        <v>0</v>
      </c>
      <c r="M42" s="4">
        <v>0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</row>
    <row r="43" spans="1:18" x14ac:dyDescent="0.2">
      <c r="A43" s="5" t="s">
        <v>140</v>
      </c>
      <c r="B43" s="22" t="s">
        <v>592</v>
      </c>
      <c r="C43" s="4" t="str">
        <f t="shared" si="0"/>
        <v>B1</v>
      </c>
      <c r="D43" s="4" t="str">
        <f t="shared" si="1"/>
        <v>B042</v>
      </c>
      <c r="E43" s="23">
        <v>0</v>
      </c>
      <c r="F43" s="23">
        <v>1</v>
      </c>
      <c r="G43" s="23">
        <v>1</v>
      </c>
      <c r="H43" s="23">
        <v>0</v>
      </c>
      <c r="I43" s="4">
        <v>8</v>
      </c>
      <c r="J43" s="4">
        <v>4</v>
      </c>
      <c r="K43" s="4">
        <v>2</v>
      </c>
      <c r="L43" s="4">
        <v>2</v>
      </c>
      <c r="M43" s="4">
        <v>2</v>
      </c>
      <c r="N43" s="4">
        <v>2</v>
      </c>
      <c r="O43" s="4">
        <v>1</v>
      </c>
      <c r="P43" s="4">
        <v>1</v>
      </c>
      <c r="Q43" s="4">
        <v>1</v>
      </c>
      <c r="R43" s="4">
        <v>1</v>
      </c>
    </row>
    <row r="44" spans="1:18" x14ac:dyDescent="0.2">
      <c r="A44" s="5" t="s">
        <v>141</v>
      </c>
      <c r="B44" s="22" t="s">
        <v>686</v>
      </c>
      <c r="C44" s="4" t="str">
        <f t="shared" si="0"/>
        <v>B1</v>
      </c>
      <c r="D44" s="4" t="str">
        <f t="shared" si="1"/>
        <v>B043</v>
      </c>
      <c r="E44" s="23">
        <v>0</v>
      </c>
      <c r="F44" s="23">
        <v>0</v>
      </c>
      <c r="G44" s="23">
        <v>0</v>
      </c>
      <c r="H44" s="23">
        <v>1</v>
      </c>
      <c r="I44" s="4">
        <v>6</v>
      </c>
      <c r="J44" s="4">
        <v>3</v>
      </c>
      <c r="K44" s="4">
        <v>3</v>
      </c>
      <c r="L44" s="4">
        <v>0</v>
      </c>
      <c r="M44" s="4">
        <v>1</v>
      </c>
      <c r="N44" s="4">
        <v>2</v>
      </c>
      <c r="O44" s="4">
        <v>1</v>
      </c>
      <c r="P44" s="4">
        <v>0</v>
      </c>
      <c r="Q44" s="4">
        <v>1</v>
      </c>
      <c r="R44" s="4">
        <v>1</v>
      </c>
    </row>
    <row r="45" spans="1:18" x14ac:dyDescent="0.2">
      <c r="A45" s="5" t="s">
        <v>142</v>
      </c>
      <c r="B45" s="22" t="s">
        <v>722</v>
      </c>
      <c r="C45" s="4" t="str">
        <f t="shared" si="0"/>
        <v>B1</v>
      </c>
      <c r="D45" s="4" t="str">
        <f t="shared" si="1"/>
        <v>B044</v>
      </c>
      <c r="E45" s="23">
        <v>1</v>
      </c>
      <c r="F45" s="23">
        <v>0</v>
      </c>
      <c r="G45" s="23">
        <v>0</v>
      </c>
      <c r="H45" s="23">
        <v>0</v>
      </c>
      <c r="I45" s="4">
        <v>1</v>
      </c>
      <c r="J45" s="4">
        <f>P45+Q45+R45+'PresenceAbsence kleine Plots'!C45</f>
        <v>1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1</v>
      </c>
      <c r="Q45" s="4">
        <v>0</v>
      </c>
      <c r="R45" s="4">
        <v>0</v>
      </c>
    </row>
    <row r="46" spans="1:18" x14ac:dyDescent="0.2">
      <c r="A46" s="5" t="s">
        <v>143</v>
      </c>
      <c r="B46" s="22" t="s">
        <v>549</v>
      </c>
      <c r="C46" s="4" t="str">
        <f t="shared" si="0"/>
        <v>B1</v>
      </c>
      <c r="D46" s="4" t="str">
        <f t="shared" si="1"/>
        <v>B045</v>
      </c>
      <c r="E46" s="23">
        <v>1</v>
      </c>
      <c r="F46" s="23">
        <v>1</v>
      </c>
      <c r="G46" s="23">
        <v>0</v>
      </c>
      <c r="H46" s="23">
        <v>0</v>
      </c>
      <c r="I46" s="4">
        <v>1</v>
      </c>
      <c r="J46" s="4">
        <f>P46+Q46+R46+'PresenceAbsence kleine Plots'!C46</f>
        <v>1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1</v>
      </c>
      <c r="Q46" s="4">
        <v>0</v>
      </c>
      <c r="R46" s="4">
        <v>0</v>
      </c>
    </row>
    <row r="47" spans="1:18" x14ac:dyDescent="0.2">
      <c r="A47" s="5" t="s">
        <v>144</v>
      </c>
      <c r="B47" s="22" t="s">
        <v>521</v>
      </c>
      <c r="C47" s="4" t="str">
        <f t="shared" si="0"/>
        <v>B1</v>
      </c>
      <c r="D47" s="4" t="str">
        <f t="shared" si="1"/>
        <v>B046</v>
      </c>
      <c r="E47" s="23">
        <v>0</v>
      </c>
      <c r="F47" s="23">
        <v>1</v>
      </c>
      <c r="G47" s="23">
        <v>1</v>
      </c>
      <c r="H47" s="23">
        <v>0</v>
      </c>
      <c r="I47" s="4">
        <v>4</v>
      </c>
      <c r="J47" s="4">
        <v>4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</row>
    <row r="48" spans="1:18" x14ac:dyDescent="0.2">
      <c r="A48" s="5" t="s">
        <v>145</v>
      </c>
      <c r="B48" s="22" t="s">
        <v>518</v>
      </c>
      <c r="C48" s="4" t="str">
        <f t="shared" si="0"/>
        <v>B1</v>
      </c>
      <c r="D48" s="4" t="str">
        <f t="shared" si="1"/>
        <v>B047</v>
      </c>
      <c r="E48" s="23">
        <v>0</v>
      </c>
      <c r="F48" s="23">
        <v>1</v>
      </c>
      <c r="G48" s="23">
        <v>1</v>
      </c>
      <c r="H48" s="23">
        <v>0</v>
      </c>
      <c r="I48" s="4">
        <v>16</v>
      </c>
      <c r="J48" s="4">
        <v>4</v>
      </c>
      <c r="K48" s="4">
        <v>4</v>
      </c>
      <c r="L48" s="4">
        <v>4</v>
      </c>
      <c r="M48" s="4">
        <v>4</v>
      </c>
      <c r="N48" s="4">
        <v>4</v>
      </c>
      <c r="O48" s="4">
        <v>1</v>
      </c>
      <c r="P48" s="4">
        <v>1</v>
      </c>
      <c r="Q48" s="4">
        <v>1</v>
      </c>
      <c r="R48" s="4">
        <v>1</v>
      </c>
    </row>
    <row r="49" spans="1:18" x14ac:dyDescent="0.2">
      <c r="A49" s="5" t="s">
        <v>146</v>
      </c>
      <c r="B49" s="22" t="s">
        <v>585</v>
      </c>
      <c r="C49" s="4" t="str">
        <f t="shared" si="0"/>
        <v>B1</v>
      </c>
      <c r="D49" s="4" t="str">
        <f t="shared" si="1"/>
        <v>B048</v>
      </c>
      <c r="E49" s="23">
        <v>1</v>
      </c>
      <c r="F49" s="23">
        <v>1</v>
      </c>
      <c r="G49" s="23">
        <v>0</v>
      </c>
      <c r="H49" s="23">
        <v>1</v>
      </c>
      <c r="I49" s="4">
        <v>1</v>
      </c>
      <c r="J49" s="4">
        <f>P49+Q49+R49+'PresenceAbsence kleine Plots'!C49</f>
        <v>1</v>
      </c>
      <c r="K49" s="4">
        <v>0</v>
      </c>
      <c r="L49" s="4">
        <v>0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1</v>
      </c>
    </row>
    <row r="50" spans="1:18" x14ac:dyDescent="0.2">
      <c r="A50" s="5" t="s">
        <v>147</v>
      </c>
      <c r="B50" s="22" t="s">
        <v>735</v>
      </c>
      <c r="C50" s="4" t="str">
        <f t="shared" si="0"/>
        <v>B1</v>
      </c>
      <c r="D50" s="4" t="str">
        <f t="shared" si="1"/>
        <v>B049</v>
      </c>
      <c r="E50" s="23">
        <v>0</v>
      </c>
      <c r="F50" s="23">
        <v>0</v>
      </c>
      <c r="G50" s="23">
        <v>0</v>
      </c>
      <c r="H50" s="23">
        <v>1</v>
      </c>
      <c r="I50" s="4">
        <v>2</v>
      </c>
      <c r="J50" s="4">
        <f>P50+Q50+R50+'PresenceAbsence kleine Plots'!C50</f>
        <v>1</v>
      </c>
      <c r="K50" s="4">
        <v>2</v>
      </c>
      <c r="L50" s="4">
        <v>0</v>
      </c>
      <c r="M50" s="4">
        <v>0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</row>
    <row r="51" spans="1:18" x14ac:dyDescent="0.2">
      <c r="A51" s="5" t="s">
        <v>148</v>
      </c>
      <c r="B51" s="22" t="s">
        <v>682</v>
      </c>
      <c r="C51" s="4" t="str">
        <f t="shared" si="0"/>
        <v>B1</v>
      </c>
      <c r="D51" s="4" t="str">
        <f t="shared" si="1"/>
        <v>B050</v>
      </c>
      <c r="E51" s="23">
        <v>0</v>
      </c>
      <c r="F51" s="23">
        <v>0</v>
      </c>
      <c r="G51" s="23">
        <v>0</v>
      </c>
      <c r="H51" s="23">
        <v>1</v>
      </c>
      <c r="I51" s="4">
        <v>6</v>
      </c>
      <c r="J51" s="4">
        <f>P51+Q51+R51+'PresenceAbsence kleine Plots'!C51</f>
        <v>3</v>
      </c>
      <c r="K51" s="4">
        <v>4</v>
      </c>
      <c r="L51" s="4">
        <v>0</v>
      </c>
      <c r="M51" s="4">
        <v>1</v>
      </c>
      <c r="N51" s="4">
        <v>1</v>
      </c>
      <c r="O51" s="4">
        <v>1</v>
      </c>
      <c r="P51" s="4">
        <v>0</v>
      </c>
      <c r="Q51" s="4">
        <v>1</v>
      </c>
      <c r="R51" s="4">
        <v>1</v>
      </c>
    </row>
    <row r="52" spans="1:18" x14ac:dyDescent="0.2">
      <c r="A52" s="5" t="s">
        <v>149</v>
      </c>
      <c r="B52" s="22" t="s">
        <v>598</v>
      </c>
      <c r="C52" s="4" t="str">
        <f t="shared" si="0"/>
        <v>B1</v>
      </c>
      <c r="D52" s="4" t="str">
        <f t="shared" si="1"/>
        <v>B051</v>
      </c>
      <c r="E52" s="23">
        <v>0</v>
      </c>
      <c r="F52" s="23">
        <v>1</v>
      </c>
      <c r="G52" s="23">
        <v>0</v>
      </c>
      <c r="H52" s="23">
        <v>0</v>
      </c>
      <c r="I52" s="4">
        <v>0</v>
      </c>
      <c r="J52" s="4">
        <f>P52+Q52+R52+'PresenceAbsence kleine Plots'!C52</f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</row>
    <row r="53" spans="1:18" x14ac:dyDescent="0.2">
      <c r="A53" s="5" t="s">
        <v>150</v>
      </c>
      <c r="B53" s="22" t="s">
        <v>760</v>
      </c>
      <c r="C53" s="4" t="str">
        <f t="shared" si="0"/>
        <v>B1</v>
      </c>
      <c r="D53" s="4" t="str">
        <f t="shared" si="1"/>
        <v>B052</v>
      </c>
      <c r="E53" s="23">
        <v>0</v>
      </c>
      <c r="F53" s="23">
        <v>0</v>
      </c>
      <c r="G53" s="23">
        <v>0</v>
      </c>
      <c r="H53" s="23">
        <v>1</v>
      </c>
      <c r="I53" s="4">
        <v>2</v>
      </c>
      <c r="J53" s="4">
        <f>P53+Q53+R53+'PresenceAbsence kleine Plots'!C53</f>
        <v>2</v>
      </c>
      <c r="K53" s="4">
        <v>1</v>
      </c>
      <c r="L53" s="4">
        <v>0</v>
      </c>
      <c r="M53" s="4">
        <v>0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</row>
    <row r="54" spans="1:18" x14ac:dyDescent="0.2">
      <c r="A54" s="5" t="s">
        <v>151</v>
      </c>
      <c r="B54" s="22" t="s">
        <v>570</v>
      </c>
      <c r="C54" s="4" t="str">
        <f t="shared" si="0"/>
        <v>B1</v>
      </c>
      <c r="D54" s="4" t="str">
        <f t="shared" si="1"/>
        <v>B053</v>
      </c>
      <c r="E54" s="23">
        <v>0</v>
      </c>
      <c r="F54" s="23">
        <v>1</v>
      </c>
      <c r="G54" s="23">
        <v>1</v>
      </c>
      <c r="H54" s="23">
        <v>0</v>
      </c>
      <c r="I54" s="4">
        <v>4</v>
      </c>
      <c r="J54" s="4">
        <f>P54+Q54+R54+'PresenceAbsence kleine Plots'!C54</f>
        <v>1</v>
      </c>
      <c r="K54" s="4">
        <v>4</v>
      </c>
      <c r="L54" s="4">
        <v>0</v>
      </c>
      <c r="M54" s="4">
        <v>0</v>
      </c>
      <c r="N54" s="4">
        <v>0</v>
      </c>
      <c r="O54" s="4">
        <v>1</v>
      </c>
      <c r="P54" s="4">
        <v>0</v>
      </c>
      <c r="Q54" s="4">
        <v>0</v>
      </c>
      <c r="R54" s="4">
        <v>0</v>
      </c>
    </row>
    <row r="55" spans="1:18" x14ac:dyDescent="0.2">
      <c r="A55" s="5" t="s">
        <v>152</v>
      </c>
      <c r="B55" s="22" t="s">
        <v>789</v>
      </c>
      <c r="C55" s="4" t="str">
        <f t="shared" si="0"/>
        <v>B1</v>
      </c>
      <c r="D55" s="4" t="str">
        <f t="shared" si="1"/>
        <v>B054</v>
      </c>
      <c r="E55" s="23">
        <v>0</v>
      </c>
      <c r="F55" s="23">
        <v>0</v>
      </c>
      <c r="G55" s="23">
        <v>0</v>
      </c>
      <c r="H55" s="23">
        <v>1</v>
      </c>
      <c r="I55" s="4">
        <v>4</v>
      </c>
      <c r="J55" s="4">
        <v>3</v>
      </c>
      <c r="K55" s="4">
        <v>1</v>
      </c>
      <c r="L55" s="4">
        <v>0</v>
      </c>
      <c r="M55" s="4">
        <v>2</v>
      </c>
      <c r="N55" s="4">
        <v>1</v>
      </c>
      <c r="O55" s="4">
        <v>1</v>
      </c>
      <c r="P55" s="4">
        <v>0</v>
      </c>
      <c r="Q55" s="4">
        <v>1</v>
      </c>
      <c r="R55" s="4">
        <v>1</v>
      </c>
    </row>
    <row r="56" spans="1:18" x14ac:dyDescent="0.2">
      <c r="A56" s="5" t="s">
        <v>153</v>
      </c>
      <c r="B56" s="22" t="s">
        <v>694</v>
      </c>
      <c r="C56" s="4" t="str">
        <f t="shared" si="0"/>
        <v>B1</v>
      </c>
      <c r="D56" s="4" t="str">
        <f t="shared" si="1"/>
        <v>B055</v>
      </c>
      <c r="E56" s="23">
        <v>1</v>
      </c>
      <c r="F56" s="23">
        <v>0</v>
      </c>
      <c r="G56" s="23">
        <v>0</v>
      </c>
      <c r="H56" s="23">
        <v>0</v>
      </c>
      <c r="I56" s="4">
        <v>1</v>
      </c>
      <c r="J56" s="4">
        <v>1</v>
      </c>
      <c r="K56" s="4">
        <v>1</v>
      </c>
      <c r="L56" s="4">
        <v>0</v>
      </c>
      <c r="M56" s="4">
        <v>0</v>
      </c>
      <c r="N56" s="4">
        <v>0</v>
      </c>
      <c r="O56" s="4">
        <v>1</v>
      </c>
      <c r="P56" s="4">
        <v>0</v>
      </c>
      <c r="Q56" s="4">
        <v>0</v>
      </c>
      <c r="R56" s="4">
        <v>0</v>
      </c>
    </row>
    <row r="57" spans="1:18" x14ac:dyDescent="0.2">
      <c r="A57" s="5" t="s">
        <v>154</v>
      </c>
      <c r="B57" s="22" t="s">
        <v>553</v>
      </c>
      <c r="C57" s="4" t="str">
        <f t="shared" si="0"/>
        <v>B1</v>
      </c>
      <c r="D57" s="4" t="str">
        <f t="shared" si="1"/>
        <v>B056</v>
      </c>
      <c r="E57" s="23">
        <v>0</v>
      </c>
      <c r="F57" s="23">
        <v>1</v>
      </c>
      <c r="G57" s="23">
        <v>1</v>
      </c>
      <c r="H57" s="23">
        <v>0</v>
      </c>
      <c r="I57" s="4">
        <v>8</v>
      </c>
      <c r="J57" s="4">
        <f>P57+Q57+R57+'PresenceAbsence kleine Plots'!C57</f>
        <v>2</v>
      </c>
      <c r="K57" s="4">
        <v>0</v>
      </c>
      <c r="L57" s="4">
        <v>4</v>
      </c>
      <c r="M57" s="4">
        <v>0</v>
      </c>
      <c r="N57" s="4">
        <v>4</v>
      </c>
      <c r="O57" s="4">
        <v>0</v>
      </c>
      <c r="P57" s="4">
        <v>1</v>
      </c>
      <c r="Q57" s="4">
        <v>0</v>
      </c>
      <c r="R57" s="4">
        <v>1</v>
      </c>
    </row>
    <row r="58" spans="1:18" x14ac:dyDescent="0.2">
      <c r="A58" s="5" t="s">
        <v>155</v>
      </c>
      <c r="B58" s="22" t="s">
        <v>721</v>
      </c>
      <c r="C58" s="4" t="str">
        <f t="shared" si="0"/>
        <v>B1</v>
      </c>
      <c r="D58" s="4" t="str">
        <f t="shared" si="1"/>
        <v>B057</v>
      </c>
      <c r="E58" s="23">
        <v>1</v>
      </c>
      <c r="F58" s="23">
        <v>0</v>
      </c>
      <c r="G58" s="23">
        <v>0</v>
      </c>
      <c r="H58" s="23">
        <v>0</v>
      </c>
      <c r="I58" s="4">
        <v>1</v>
      </c>
      <c r="J58" s="4">
        <f>P58+Q58+R58+'PresenceAbsence kleine Plots'!C58</f>
        <v>1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0</v>
      </c>
      <c r="Q58" s="4">
        <v>1</v>
      </c>
      <c r="R58" s="4">
        <v>0</v>
      </c>
    </row>
    <row r="59" spans="1:18" x14ac:dyDescent="0.2">
      <c r="A59" s="5" t="s">
        <v>156</v>
      </c>
      <c r="B59" s="22" t="s">
        <v>708</v>
      </c>
      <c r="C59" s="4" t="str">
        <f t="shared" si="0"/>
        <v>B1</v>
      </c>
      <c r="D59" s="4" t="str">
        <f t="shared" si="1"/>
        <v>B058</v>
      </c>
      <c r="E59" s="23">
        <v>1</v>
      </c>
      <c r="F59" s="23">
        <v>0</v>
      </c>
      <c r="G59" s="23">
        <v>0</v>
      </c>
      <c r="H59" s="23">
        <v>0</v>
      </c>
      <c r="I59" s="4">
        <v>1</v>
      </c>
      <c r="J59" s="4">
        <v>1</v>
      </c>
      <c r="K59" s="4">
        <v>1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>
        <v>0</v>
      </c>
      <c r="R59" s="4">
        <v>0</v>
      </c>
    </row>
    <row r="60" spans="1:18" x14ac:dyDescent="0.2">
      <c r="A60" s="5" t="s">
        <v>157</v>
      </c>
      <c r="B60" s="22" t="s">
        <v>572</v>
      </c>
      <c r="C60" s="4" t="str">
        <f t="shared" si="0"/>
        <v>B1</v>
      </c>
      <c r="D60" s="4" t="str">
        <f t="shared" si="1"/>
        <v>B059</v>
      </c>
      <c r="E60" s="23">
        <v>1</v>
      </c>
      <c r="F60" s="23">
        <v>1</v>
      </c>
      <c r="G60" s="23">
        <v>1</v>
      </c>
      <c r="H60" s="23">
        <v>0</v>
      </c>
      <c r="I60" s="4">
        <v>1</v>
      </c>
      <c r="J60" s="4">
        <f>P60+Q60+R60+'PresenceAbsence kleine Plots'!C60</f>
        <v>1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1</v>
      </c>
      <c r="Q60" s="4">
        <v>0</v>
      </c>
      <c r="R60" s="4">
        <v>0</v>
      </c>
    </row>
    <row r="61" spans="1:18" x14ac:dyDescent="0.2">
      <c r="A61" s="5" t="s">
        <v>158</v>
      </c>
      <c r="B61" s="22" t="s">
        <v>753</v>
      </c>
      <c r="C61" s="4" t="str">
        <f t="shared" si="0"/>
        <v>B1</v>
      </c>
      <c r="D61" s="4" t="str">
        <f t="shared" si="1"/>
        <v>B060</v>
      </c>
      <c r="E61" s="23">
        <v>0</v>
      </c>
      <c r="F61" s="23">
        <v>0</v>
      </c>
      <c r="G61" s="23">
        <v>0</v>
      </c>
      <c r="H61" s="23">
        <v>1</v>
      </c>
      <c r="I61" s="4">
        <v>2</v>
      </c>
      <c r="J61" s="4">
        <f>P61+Q61+R61+'PresenceAbsence kleine Plots'!C61</f>
        <v>2</v>
      </c>
      <c r="K61" s="4">
        <v>1</v>
      </c>
      <c r="L61" s="4">
        <v>0</v>
      </c>
      <c r="M61" s="4">
        <v>0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</row>
    <row r="62" spans="1:18" x14ac:dyDescent="0.2">
      <c r="A62" s="5" t="s">
        <v>159</v>
      </c>
      <c r="B62" s="22" t="s">
        <v>759</v>
      </c>
      <c r="C62" s="4" t="str">
        <f t="shared" si="0"/>
        <v>B1</v>
      </c>
      <c r="D62" s="4" t="str">
        <f t="shared" si="1"/>
        <v>B061</v>
      </c>
      <c r="E62" s="23">
        <v>0</v>
      </c>
      <c r="F62" s="23">
        <v>0</v>
      </c>
      <c r="G62" s="23">
        <v>0</v>
      </c>
      <c r="H62" s="23">
        <v>1</v>
      </c>
      <c r="I62" s="4">
        <v>2</v>
      </c>
      <c r="J62" s="4">
        <v>2</v>
      </c>
      <c r="K62" s="4">
        <v>1</v>
      </c>
      <c r="L62" s="4">
        <v>0</v>
      </c>
      <c r="M62" s="4">
        <v>0</v>
      </c>
      <c r="N62" s="4">
        <v>1</v>
      </c>
      <c r="O62" s="4">
        <v>1</v>
      </c>
      <c r="P62" s="4">
        <v>0</v>
      </c>
      <c r="Q62" s="4">
        <v>0</v>
      </c>
      <c r="R62" s="4">
        <v>1</v>
      </c>
    </row>
    <row r="63" spans="1:18" x14ac:dyDescent="0.2">
      <c r="A63" s="5" t="s">
        <v>160</v>
      </c>
      <c r="B63" s="22" t="s">
        <v>728</v>
      </c>
      <c r="C63" s="4" t="str">
        <f t="shared" si="0"/>
        <v>B1</v>
      </c>
      <c r="D63" s="4" t="str">
        <f t="shared" si="1"/>
        <v>B062</v>
      </c>
      <c r="E63" s="23">
        <v>1</v>
      </c>
      <c r="F63" s="23">
        <v>0</v>
      </c>
      <c r="G63" s="23">
        <v>0</v>
      </c>
      <c r="H63" s="23">
        <v>0</v>
      </c>
      <c r="I63" s="4">
        <v>1</v>
      </c>
      <c r="J63" s="4">
        <f>P63+Q63+R63+'PresenceAbsence kleine Plots'!C63</f>
        <v>1</v>
      </c>
      <c r="K63" s="4">
        <v>0</v>
      </c>
      <c r="L63" s="4">
        <v>0</v>
      </c>
      <c r="M63" s="4">
        <v>0</v>
      </c>
      <c r="N63" s="4">
        <v>1</v>
      </c>
      <c r="O63" s="4">
        <v>0</v>
      </c>
      <c r="P63" s="4">
        <v>0</v>
      </c>
      <c r="Q63" s="4">
        <v>0</v>
      </c>
      <c r="R63" s="4">
        <v>1</v>
      </c>
    </row>
    <row r="64" spans="1:18" x14ac:dyDescent="0.2">
      <c r="A64" s="5" t="s">
        <v>161</v>
      </c>
      <c r="B64" s="22" t="s">
        <v>704</v>
      </c>
      <c r="C64" s="4" t="str">
        <f t="shared" si="0"/>
        <v>B1</v>
      </c>
      <c r="D64" s="4" t="str">
        <f t="shared" si="1"/>
        <v>B063</v>
      </c>
      <c r="E64" s="23">
        <v>1</v>
      </c>
      <c r="F64" s="23">
        <v>0</v>
      </c>
      <c r="G64" s="23">
        <v>0</v>
      </c>
      <c r="H64" s="23">
        <v>0</v>
      </c>
      <c r="I64" s="4">
        <v>1</v>
      </c>
      <c r="J64" s="4">
        <f>P64+Q64+R64+'PresenceAbsence kleine Plots'!C64</f>
        <v>1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</row>
    <row r="65" spans="1:18" x14ac:dyDescent="0.2">
      <c r="A65" s="5" t="s">
        <v>162</v>
      </c>
      <c r="B65" s="22" t="s">
        <v>802</v>
      </c>
      <c r="C65" s="4" t="str">
        <f t="shared" si="0"/>
        <v>B1</v>
      </c>
      <c r="D65" s="4" t="str">
        <f t="shared" si="1"/>
        <v>B064</v>
      </c>
      <c r="E65" s="23">
        <v>0</v>
      </c>
      <c r="F65" s="23">
        <v>0</v>
      </c>
      <c r="G65" s="23">
        <v>0</v>
      </c>
      <c r="H65" s="23">
        <v>1</v>
      </c>
      <c r="I65" s="4">
        <v>3</v>
      </c>
      <c r="J65" s="4">
        <f>P65+Q65+R65+'PresenceAbsence kleine Plots'!C65</f>
        <v>2</v>
      </c>
      <c r="K65" s="4">
        <v>2</v>
      </c>
      <c r="L65" s="4">
        <v>0</v>
      </c>
      <c r="M65" s="4">
        <v>1</v>
      </c>
      <c r="N65" s="4">
        <v>0</v>
      </c>
      <c r="O65" s="4">
        <v>1</v>
      </c>
      <c r="P65" s="4">
        <v>0</v>
      </c>
      <c r="Q65" s="4">
        <v>1</v>
      </c>
      <c r="R65" s="4">
        <v>0</v>
      </c>
    </row>
    <row r="66" spans="1:18" x14ac:dyDescent="0.2">
      <c r="A66" s="5" t="s">
        <v>163</v>
      </c>
      <c r="B66" s="22" t="s">
        <v>740</v>
      </c>
      <c r="C66" s="4" t="str">
        <f t="shared" ref="C66:C129" si="2">LEFT(A66,2)</f>
        <v>B1</v>
      </c>
      <c r="D66" s="4" t="str">
        <f t="shared" ref="D66:D129" si="3">RIGHT(A66,4)</f>
        <v>B065</v>
      </c>
      <c r="E66" s="23">
        <v>0</v>
      </c>
      <c r="F66" s="23">
        <v>0</v>
      </c>
      <c r="G66" s="23">
        <v>0</v>
      </c>
      <c r="H66" s="23">
        <v>1</v>
      </c>
      <c r="I66" s="4">
        <v>2</v>
      </c>
      <c r="J66" s="4">
        <v>2</v>
      </c>
      <c r="K66" s="4">
        <v>1</v>
      </c>
      <c r="L66" s="4">
        <v>0</v>
      </c>
      <c r="M66" s="4">
        <v>1</v>
      </c>
      <c r="N66" s="4">
        <v>0</v>
      </c>
      <c r="O66" s="4">
        <v>1</v>
      </c>
      <c r="P66" s="4">
        <v>0</v>
      </c>
      <c r="Q66" s="4">
        <v>1</v>
      </c>
      <c r="R66" s="4">
        <v>0</v>
      </c>
    </row>
    <row r="67" spans="1:18" x14ac:dyDescent="0.2">
      <c r="A67" s="5" t="s">
        <v>164</v>
      </c>
      <c r="B67" s="22" t="s">
        <v>772</v>
      </c>
      <c r="C67" s="4" t="str">
        <f t="shared" si="2"/>
        <v>B1</v>
      </c>
      <c r="D67" s="4" t="str">
        <f t="shared" si="3"/>
        <v>B066</v>
      </c>
      <c r="E67" s="23">
        <v>0</v>
      </c>
      <c r="F67" s="23">
        <v>0</v>
      </c>
      <c r="G67" s="23">
        <v>0</v>
      </c>
      <c r="H67" s="23">
        <v>1</v>
      </c>
      <c r="I67" s="4">
        <v>3</v>
      </c>
      <c r="J67" s="4">
        <v>3</v>
      </c>
      <c r="K67" s="4">
        <v>1</v>
      </c>
      <c r="L67" s="4">
        <v>0</v>
      </c>
      <c r="M67" s="4">
        <v>1</v>
      </c>
      <c r="N67" s="4">
        <v>1</v>
      </c>
      <c r="O67" s="4">
        <v>1</v>
      </c>
      <c r="P67" s="4">
        <v>0</v>
      </c>
      <c r="Q67" s="4">
        <v>1</v>
      </c>
      <c r="R67" s="4">
        <v>1</v>
      </c>
    </row>
    <row r="68" spans="1:18" x14ac:dyDescent="0.2">
      <c r="A68" s="5" t="s">
        <v>165</v>
      </c>
      <c r="B68" s="22" t="s">
        <v>674</v>
      </c>
      <c r="C68" s="4" t="str">
        <f t="shared" si="2"/>
        <v>B1</v>
      </c>
      <c r="D68" s="4" t="str">
        <f t="shared" si="3"/>
        <v>B067</v>
      </c>
      <c r="E68" s="23">
        <v>1</v>
      </c>
      <c r="F68" s="23">
        <v>0</v>
      </c>
      <c r="G68" s="23">
        <v>0</v>
      </c>
      <c r="H68" s="23">
        <v>0</v>
      </c>
      <c r="I68" s="4">
        <v>1</v>
      </c>
      <c r="J68" s="4">
        <v>1</v>
      </c>
      <c r="K68" s="4">
        <v>1</v>
      </c>
      <c r="L68" s="4">
        <v>0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</row>
    <row r="69" spans="1:18" x14ac:dyDescent="0.2">
      <c r="A69" s="5" t="s">
        <v>166</v>
      </c>
      <c r="B69" s="22" t="s">
        <v>703</v>
      </c>
      <c r="C69" s="4" t="str">
        <f t="shared" si="2"/>
        <v>B1</v>
      </c>
      <c r="D69" s="4" t="str">
        <f t="shared" si="3"/>
        <v>B068</v>
      </c>
      <c r="E69" s="23">
        <v>1</v>
      </c>
      <c r="F69" s="23">
        <v>0</v>
      </c>
      <c r="G69" s="23">
        <v>0</v>
      </c>
      <c r="H69" s="23">
        <v>0</v>
      </c>
      <c r="I69" s="4">
        <v>1</v>
      </c>
      <c r="J69" s="4">
        <v>1</v>
      </c>
      <c r="K69" s="4">
        <v>1</v>
      </c>
      <c r="L69" s="4">
        <v>0</v>
      </c>
      <c r="M69" s="4">
        <v>0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</row>
    <row r="70" spans="1:18" x14ac:dyDescent="0.2">
      <c r="A70" s="5" t="s">
        <v>167</v>
      </c>
      <c r="B70" s="22" t="s">
        <v>677</v>
      </c>
      <c r="C70" s="4" t="str">
        <f t="shared" si="2"/>
        <v>B1</v>
      </c>
      <c r="D70" s="4" t="str">
        <f t="shared" si="3"/>
        <v>B069</v>
      </c>
      <c r="E70" s="23">
        <v>0</v>
      </c>
      <c r="F70" s="23">
        <v>0</v>
      </c>
      <c r="G70" s="23">
        <v>0</v>
      </c>
      <c r="H70" s="23">
        <v>1</v>
      </c>
      <c r="I70" s="4">
        <v>9</v>
      </c>
      <c r="J70" s="4">
        <f>P70+Q70+R70+'PresenceAbsence kleine Plots'!C70</f>
        <v>3</v>
      </c>
      <c r="K70" s="4">
        <v>5</v>
      </c>
      <c r="L70" s="4">
        <v>0</v>
      </c>
      <c r="M70" s="4">
        <v>2</v>
      </c>
      <c r="N70" s="4">
        <v>2</v>
      </c>
      <c r="O70" s="4">
        <v>1</v>
      </c>
      <c r="P70" s="4">
        <v>0</v>
      </c>
      <c r="Q70" s="4">
        <v>1</v>
      </c>
      <c r="R70" s="4">
        <v>1</v>
      </c>
    </row>
    <row r="71" spans="1:18" x14ac:dyDescent="0.2">
      <c r="A71" s="5" t="s">
        <v>168</v>
      </c>
      <c r="B71" s="22" t="s">
        <v>791</v>
      </c>
      <c r="C71" s="4" t="str">
        <f t="shared" si="2"/>
        <v>B1</v>
      </c>
      <c r="D71" s="4" t="str">
        <f t="shared" si="3"/>
        <v>B070</v>
      </c>
      <c r="E71" s="23">
        <v>0</v>
      </c>
      <c r="F71" s="23">
        <v>0</v>
      </c>
      <c r="G71" s="23">
        <v>0</v>
      </c>
      <c r="H71" s="23">
        <v>1</v>
      </c>
      <c r="I71" s="4">
        <v>4</v>
      </c>
      <c r="J71" s="4">
        <f>P71+Q71+R71+'PresenceAbsence kleine Plots'!C71</f>
        <v>3</v>
      </c>
      <c r="K71" s="4">
        <v>2</v>
      </c>
      <c r="L71" s="4">
        <v>0</v>
      </c>
      <c r="M71" s="4">
        <v>1</v>
      </c>
      <c r="N71" s="4">
        <v>1</v>
      </c>
      <c r="O71" s="4">
        <v>1</v>
      </c>
      <c r="P71" s="4">
        <v>0</v>
      </c>
      <c r="Q71" s="4">
        <v>1</v>
      </c>
      <c r="R71" s="4">
        <v>1</v>
      </c>
    </row>
    <row r="72" spans="1:18" x14ac:dyDescent="0.2">
      <c r="A72" s="5" t="s">
        <v>169</v>
      </c>
      <c r="B72" s="22" t="s">
        <v>737</v>
      </c>
      <c r="C72" s="4" t="str">
        <f t="shared" si="2"/>
        <v>B1</v>
      </c>
      <c r="D72" s="4" t="str">
        <f t="shared" si="3"/>
        <v>B071</v>
      </c>
      <c r="E72" s="23">
        <v>0</v>
      </c>
      <c r="F72" s="23">
        <v>0</v>
      </c>
      <c r="G72" s="23">
        <v>0</v>
      </c>
      <c r="H72" s="23">
        <v>1</v>
      </c>
      <c r="I72" s="4">
        <v>2</v>
      </c>
      <c r="J72" s="4">
        <v>1</v>
      </c>
      <c r="K72" s="4">
        <v>2</v>
      </c>
      <c r="L72" s="4">
        <v>0</v>
      </c>
      <c r="M72" s="4">
        <v>0</v>
      </c>
      <c r="N72" s="4">
        <v>0</v>
      </c>
      <c r="O72" s="4">
        <v>1</v>
      </c>
      <c r="P72" s="4">
        <v>0</v>
      </c>
      <c r="Q72" s="4">
        <v>0</v>
      </c>
      <c r="R72" s="4">
        <v>0</v>
      </c>
    </row>
    <row r="73" spans="1:18" x14ac:dyDescent="0.2">
      <c r="A73" s="5" t="s">
        <v>170</v>
      </c>
      <c r="B73" s="22" t="s">
        <v>732</v>
      </c>
      <c r="C73" s="4" t="str">
        <f t="shared" si="2"/>
        <v>B1</v>
      </c>
      <c r="D73" s="4" t="str">
        <f t="shared" si="3"/>
        <v>B072</v>
      </c>
      <c r="E73" s="23">
        <v>0</v>
      </c>
      <c r="F73" s="23">
        <v>0</v>
      </c>
      <c r="G73" s="23">
        <v>0</v>
      </c>
      <c r="H73" s="23">
        <v>1</v>
      </c>
      <c r="I73" s="4">
        <v>2</v>
      </c>
      <c r="J73" s="4">
        <f>P73+Q73+R73+'PresenceAbsence kleine Plots'!C73</f>
        <v>2</v>
      </c>
      <c r="K73" s="4">
        <v>1</v>
      </c>
      <c r="L73" s="4">
        <v>0</v>
      </c>
      <c r="M73" s="4">
        <v>1</v>
      </c>
      <c r="N73" s="4">
        <v>0</v>
      </c>
      <c r="O73" s="4">
        <v>1</v>
      </c>
      <c r="P73" s="4">
        <v>0</v>
      </c>
      <c r="Q73" s="4">
        <v>1</v>
      </c>
      <c r="R73" s="4">
        <v>0</v>
      </c>
    </row>
    <row r="74" spans="1:18" x14ac:dyDescent="0.2">
      <c r="A74" s="5" t="s">
        <v>171</v>
      </c>
      <c r="B74" s="22" t="s">
        <v>723</v>
      </c>
      <c r="C74" s="4" t="str">
        <f t="shared" si="2"/>
        <v>B1</v>
      </c>
      <c r="D74" s="4" t="str">
        <f t="shared" si="3"/>
        <v>B073</v>
      </c>
      <c r="E74" s="23">
        <v>1</v>
      </c>
      <c r="F74" s="23">
        <v>0</v>
      </c>
      <c r="G74" s="23">
        <v>0</v>
      </c>
      <c r="H74" s="23">
        <v>0</v>
      </c>
      <c r="I74" s="4">
        <v>1</v>
      </c>
      <c r="J74" s="4">
        <f>P74+Q74+R74+'PresenceAbsence kleine Plots'!C74</f>
        <v>1</v>
      </c>
      <c r="K74" s="4">
        <v>0</v>
      </c>
      <c r="L74" s="4">
        <v>0</v>
      </c>
      <c r="M74" s="4">
        <v>1</v>
      </c>
      <c r="N74" s="4">
        <v>0</v>
      </c>
      <c r="O74" s="4">
        <v>0</v>
      </c>
      <c r="P74" s="4">
        <v>0</v>
      </c>
      <c r="Q74" s="4">
        <v>1</v>
      </c>
      <c r="R74" s="4">
        <v>0</v>
      </c>
    </row>
    <row r="75" spans="1:18" x14ac:dyDescent="0.2">
      <c r="A75" s="5" t="s">
        <v>172</v>
      </c>
      <c r="B75" s="22" t="s">
        <v>785</v>
      </c>
      <c r="C75" s="4" t="str">
        <f t="shared" si="2"/>
        <v>B1</v>
      </c>
      <c r="D75" s="4" t="str">
        <f t="shared" si="3"/>
        <v>B074</v>
      </c>
      <c r="E75" s="23">
        <v>0</v>
      </c>
      <c r="F75" s="23">
        <v>0</v>
      </c>
      <c r="G75" s="23">
        <v>0</v>
      </c>
      <c r="H75" s="23">
        <v>1</v>
      </c>
      <c r="I75" s="4">
        <v>4</v>
      </c>
      <c r="J75" s="4">
        <f>P75+Q75+R75+'PresenceAbsence kleine Plots'!C75</f>
        <v>2</v>
      </c>
      <c r="K75" s="4">
        <v>3</v>
      </c>
      <c r="L75" s="4">
        <v>0</v>
      </c>
      <c r="M75" s="4">
        <v>1</v>
      </c>
      <c r="N75" s="4">
        <v>0</v>
      </c>
      <c r="O75" s="4">
        <v>1</v>
      </c>
      <c r="P75" s="4">
        <v>0</v>
      </c>
      <c r="Q75" s="4">
        <v>1</v>
      </c>
      <c r="R75" s="4">
        <v>0</v>
      </c>
    </row>
    <row r="76" spans="1:18" x14ac:dyDescent="0.2">
      <c r="A76" s="5" t="s">
        <v>173</v>
      </c>
      <c r="B76" s="22" t="s">
        <v>706</v>
      </c>
      <c r="C76" s="4" t="str">
        <f t="shared" si="2"/>
        <v>B1</v>
      </c>
      <c r="D76" s="4" t="str">
        <f t="shared" si="3"/>
        <v>B075</v>
      </c>
      <c r="E76" s="23">
        <v>1</v>
      </c>
      <c r="F76" s="23">
        <v>0</v>
      </c>
      <c r="G76" s="23">
        <v>0</v>
      </c>
      <c r="H76" s="23">
        <v>0</v>
      </c>
      <c r="I76" s="4">
        <v>1</v>
      </c>
      <c r="J76" s="4">
        <f>P76+Q76+R76+'PresenceAbsence kleine Plots'!C76</f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</row>
    <row r="77" spans="1:18" x14ac:dyDescent="0.2">
      <c r="A77" s="5" t="s">
        <v>174</v>
      </c>
      <c r="B77" s="22" t="s">
        <v>719</v>
      </c>
      <c r="C77" s="4" t="str">
        <f t="shared" si="2"/>
        <v>B1</v>
      </c>
      <c r="D77" s="4" t="str">
        <f t="shared" si="3"/>
        <v>B076</v>
      </c>
      <c r="E77" s="23">
        <v>1</v>
      </c>
      <c r="F77" s="23">
        <v>0</v>
      </c>
      <c r="G77" s="23">
        <v>0</v>
      </c>
      <c r="H77" s="23">
        <v>0</v>
      </c>
      <c r="I77" s="4">
        <v>1</v>
      </c>
      <c r="J77" s="4">
        <f>P77+Q77+R77+'PresenceAbsence kleine Plots'!C77</f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1</v>
      </c>
      <c r="Q77" s="4">
        <v>0</v>
      </c>
      <c r="R77" s="4">
        <v>0</v>
      </c>
    </row>
    <row r="78" spans="1:18" x14ac:dyDescent="0.2">
      <c r="A78" s="5" t="s">
        <v>175</v>
      </c>
      <c r="B78" s="22" t="s">
        <v>593</v>
      </c>
      <c r="C78" s="4" t="str">
        <f t="shared" si="2"/>
        <v>B1</v>
      </c>
      <c r="D78" s="4" t="str">
        <f t="shared" si="3"/>
        <v>B077</v>
      </c>
      <c r="E78" s="23">
        <v>0</v>
      </c>
      <c r="F78" s="23">
        <v>1</v>
      </c>
      <c r="G78" s="23">
        <v>1</v>
      </c>
      <c r="H78" s="23">
        <v>0</v>
      </c>
      <c r="I78" s="4">
        <v>2</v>
      </c>
      <c r="J78" s="4">
        <f>P78+Q78+R78+'PresenceAbsence kleine Plots'!C78</f>
        <v>1</v>
      </c>
      <c r="K78" s="4">
        <v>0</v>
      </c>
      <c r="L78" s="4">
        <v>0</v>
      </c>
      <c r="M78" s="4">
        <v>2</v>
      </c>
      <c r="N78" s="4">
        <v>0</v>
      </c>
      <c r="O78" s="4">
        <v>0</v>
      </c>
      <c r="P78" s="4">
        <v>0</v>
      </c>
      <c r="Q78" s="4">
        <v>1</v>
      </c>
      <c r="R78" s="4">
        <v>0</v>
      </c>
    </row>
    <row r="79" spans="1:18" x14ac:dyDescent="0.2">
      <c r="A79" s="5" t="s">
        <v>176</v>
      </c>
      <c r="B79" s="22" t="s">
        <v>783</v>
      </c>
      <c r="C79" s="4" t="str">
        <f t="shared" si="2"/>
        <v>B1</v>
      </c>
      <c r="D79" s="4" t="str">
        <f t="shared" si="3"/>
        <v>B078</v>
      </c>
      <c r="E79" s="23">
        <v>0</v>
      </c>
      <c r="F79" s="23">
        <v>0</v>
      </c>
      <c r="G79" s="23">
        <v>0</v>
      </c>
      <c r="H79" s="23">
        <v>1</v>
      </c>
      <c r="I79" s="4">
        <v>4</v>
      </c>
      <c r="J79" s="4">
        <f>P79+Q79+R79+'PresenceAbsence kleine Plots'!C79</f>
        <v>2</v>
      </c>
      <c r="K79" s="4">
        <v>2</v>
      </c>
      <c r="L79" s="4">
        <v>0</v>
      </c>
      <c r="M79" s="4">
        <v>2</v>
      </c>
      <c r="N79" s="4">
        <v>0</v>
      </c>
      <c r="O79" s="4">
        <v>1</v>
      </c>
      <c r="P79" s="4">
        <v>0</v>
      </c>
      <c r="Q79" s="4">
        <v>1</v>
      </c>
      <c r="R79" s="4">
        <v>0</v>
      </c>
    </row>
    <row r="80" spans="1:18" x14ac:dyDescent="0.2">
      <c r="A80" s="5" t="s">
        <v>177</v>
      </c>
      <c r="B80" s="22" t="s">
        <v>774</v>
      </c>
      <c r="C80" s="4" t="str">
        <f t="shared" si="2"/>
        <v>B1</v>
      </c>
      <c r="D80" s="4" t="str">
        <f t="shared" si="3"/>
        <v>B079</v>
      </c>
      <c r="E80" s="23">
        <v>0</v>
      </c>
      <c r="F80" s="23">
        <v>0</v>
      </c>
      <c r="G80" s="23">
        <v>0</v>
      </c>
      <c r="H80" s="23">
        <v>1</v>
      </c>
      <c r="I80" s="4">
        <v>3</v>
      </c>
      <c r="J80" s="4">
        <v>3</v>
      </c>
      <c r="K80" s="4">
        <v>1</v>
      </c>
      <c r="L80" s="4">
        <v>0</v>
      </c>
      <c r="M80" s="4">
        <v>1</v>
      </c>
      <c r="N80" s="4">
        <v>1</v>
      </c>
      <c r="O80" s="4">
        <v>1</v>
      </c>
      <c r="P80" s="4">
        <v>0</v>
      </c>
      <c r="Q80" s="4">
        <v>1</v>
      </c>
      <c r="R80" s="4">
        <v>1</v>
      </c>
    </row>
    <row r="81" spans="1:18" x14ac:dyDescent="0.2">
      <c r="A81" s="5" t="s">
        <v>178</v>
      </c>
      <c r="B81" s="22" t="s">
        <v>569</v>
      </c>
      <c r="C81" s="4" t="str">
        <f t="shared" si="2"/>
        <v>B1</v>
      </c>
      <c r="D81" s="4" t="str">
        <f t="shared" si="3"/>
        <v>B080</v>
      </c>
      <c r="E81" s="23">
        <v>1</v>
      </c>
      <c r="F81" s="23">
        <v>1</v>
      </c>
      <c r="G81" s="23">
        <v>1</v>
      </c>
      <c r="H81" s="23">
        <v>0</v>
      </c>
      <c r="I81" s="4">
        <v>1</v>
      </c>
      <c r="J81" s="4">
        <f>P81+Q81+R81+'PresenceAbsence kleine Plots'!C81</f>
        <v>1</v>
      </c>
      <c r="K81" s="4">
        <v>0</v>
      </c>
      <c r="L81" s="4">
        <v>0</v>
      </c>
      <c r="M81" s="4">
        <v>0</v>
      </c>
      <c r="N81" s="4">
        <v>1</v>
      </c>
      <c r="O81" s="4">
        <v>0</v>
      </c>
      <c r="P81" s="4">
        <v>0</v>
      </c>
      <c r="Q81" s="4">
        <v>0</v>
      </c>
      <c r="R81" s="4">
        <v>1</v>
      </c>
    </row>
    <row r="82" spans="1:18" x14ac:dyDescent="0.2">
      <c r="A82" s="5" t="s">
        <v>179</v>
      </c>
      <c r="B82" s="22" t="s">
        <v>599</v>
      </c>
      <c r="C82" s="4" t="str">
        <f t="shared" si="2"/>
        <v>B1</v>
      </c>
      <c r="D82" s="4" t="str">
        <f t="shared" si="3"/>
        <v>B081</v>
      </c>
      <c r="E82" s="23">
        <v>0</v>
      </c>
      <c r="F82" s="23">
        <v>1</v>
      </c>
      <c r="G82" s="23">
        <v>0</v>
      </c>
      <c r="H82" s="23">
        <v>0</v>
      </c>
      <c r="I82" s="4">
        <v>0</v>
      </c>
      <c r="J82" s="4">
        <f>P82+Q82+R82+'PresenceAbsence kleine Plots'!C82</f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</row>
    <row r="83" spans="1:18" x14ac:dyDescent="0.2">
      <c r="A83" s="5" t="s">
        <v>180</v>
      </c>
      <c r="B83" s="22" t="s">
        <v>803</v>
      </c>
      <c r="C83" s="4" t="str">
        <f t="shared" si="2"/>
        <v>B1</v>
      </c>
      <c r="D83" s="4" t="str">
        <f t="shared" si="3"/>
        <v>B082</v>
      </c>
      <c r="E83" s="23">
        <v>0</v>
      </c>
      <c r="F83" s="23">
        <v>0</v>
      </c>
      <c r="G83" s="23">
        <v>0</v>
      </c>
      <c r="H83" s="23">
        <v>1</v>
      </c>
      <c r="I83" s="4">
        <v>3</v>
      </c>
      <c r="J83" s="4">
        <f>P83+Q83+R83+'PresenceAbsence kleine Plots'!C83</f>
        <v>2</v>
      </c>
      <c r="K83" s="4">
        <v>2</v>
      </c>
      <c r="L83" s="4">
        <v>0</v>
      </c>
      <c r="M83" s="4">
        <v>1</v>
      </c>
      <c r="N83" s="4">
        <v>0</v>
      </c>
      <c r="O83" s="4">
        <v>1</v>
      </c>
      <c r="P83" s="4">
        <v>0</v>
      </c>
      <c r="Q83" s="4">
        <v>1</v>
      </c>
      <c r="R83" s="4">
        <v>0</v>
      </c>
    </row>
    <row r="84" spans="1:18" x14ac:dyDescent="0.2">
      <c r="A84" s="5" t="s">
        <v>181</v>
      </c>
      <c r="B84" s="22" t="s">
        <v>687</v>
      </c>
      <c r="C84" s="4" t="str">
        <f t="shared" si="2"/>
        <v>B1</v>
      </c>
      <c r="D84" s="4" t="str">
        <f t="shared" si="3"/>
        <v>B083</v>
      </c>
      <c r="E84" s="23">
        <v>0</v>
      </c>
      <c r="F84" s="23">
        <v>0</v>
      </c>
      <c r="G84" s="23">
        <v>0</v>
      </c>
      <c r="H84" s="23">
        <v>1</v>
      </c>
      <c r="I84" s="4">
        <v>6</v>
      </c>
      <c r="J84" s="4">
        <f>P84+Q84+R84+'PresenceAbsence kleine Plots'!C84</f>
        <v>3</v>
      </c>
      <c r="K84" s="4">
        <v>3</v>
      </c>
      <c r="L84" s="4">
        <v>0</v>
      </c>
      <c r="M84" s="4">
        <v>1</v>
      </c>
      <c r="N84" s="4">
        <v>2</v>
      </c>
      <c r="O84" s="4">
        <v>1</v>
      </c>
      <c r="P84" s="4">
        <v>0</v>
      </c>
      <c r="Q84" s="4">
        <v>1</v>
      </c>
      <c r="R84" s="4">
        <v>1</v>
      </c>
    </row>
    <row r="85" spans="1:18" x14ac:dyDescent="0.2">
      <c r="A85" s="5" t="s">
        <v>182</v>
      </c>
      <c r="B85" s="22" t="s">
        <v>800</v>
      </c>
      <c r="C85" s="4" t="str">
        <f t="shared" si="2"/>
        <v>B1</v>
      </c>
      <c r="D85" s="4" t="str">
        <f t="shared" si="3"/>
        <v>B084</v>
      </c>
      <c r="E85" s="23">
        <v>0</v>
      </c>
      <c r="F85" s="23">
        <v>0</v>
      </c>
      <c r="G85" s="23">
        <v>0</v>
      </c>
      <c r="H85" s="23">
        <v>1</v>
      </c>
      <c r="I85" s="4">
        <v>4</v>
      </c>
      <c r="J85" s="4">
        <v>3</v>
      </c>
      <c r="K85" s="4">
        <v>1</v>
      </c>
      <c r="L85" s="4">
        <v>0</v>
      </c>
      <c r="M85" s="4">
        <v>1</v>
      </c>
      <c r="N85" s="4">
        <v>2</v>
      </c>
      <c r="O85" s="4">
        <v>1</v>
      </c>
      <c r="P85" s="4">
        <v>0</v>
      </c>
      <c r="Q85" s="4">
        <v>1</v>
      </c>
      <c r="R85" s="4">
        <v>1</v>
      </c>
    </row>
    <row r="86" spans="1:18" x14ac:dyDescent="0.2">
      <c r="A86" s="5" t="s">
        <v>183</v>
      </c>
      <c r="B86" s="22" t="s">
        <v>528</v>
      </c>
      <c r="C86" s="4" t="str">
        <f t="shared" si="2"/>
        <v>B1</v>
      </c>
      <c r="D86" s="4" t="str">
        <f t="shared" si="3"/>
        <v>B085</v>
      </c>
      <c r="E86" s="23">
        <v>0</v>
      </c>
      <c r="F86" s="23">
        <v>1</v>
      </c>
      <c r="G86" s="23">
        <v>1</v>
      </c>
      <c r="H86" s="23">
        <v>0</v>
      </c>
      <c r="I86" s="4">
        <v>16</v>
      </c>
      <c r="J86" s="4">
        <f>P86+Q86+R86+'PresenceAbsence kleine Plots'!C86</f>
        <v>1</v>
      </c>
      <c r="K86" s="4">
        <v>0</v>
      </c>
      <c r="L86" s="4">
        <v>0</v>
      </c>
      <c r="M86" s="4">
        <v>16</v>
      </c>
      <c r="N86" s="4">
        <v>0</v>
      </c>
      <c r="O86" s="4">
        <v>0</v>
      </c>
      <c r="P86" s="4">
        <v>0</v>
      </c>
      <c r="Q86" s="4">
        <v>1</v>
      </c>
      <c r="R86" s="4">
        <v>0</v>
      </c>
    </row>
    <row r="87" spans="1:18" x14ac:dyDescent="0.2">
      <c r="A87" s="5" t="s">
        <v>184</v>
      </c>
      <c r="B87" s="22" t="s">
        <v>692</v>
      </c>
      <c r="C87" s="4" t="str">
        <f t="shared" si="2"/>
        <v>B1</v>
      </c>
      <c r="D87" s="4" t="str">
        <f t="shared" si="3"/>
        <v>B086</v>
      </c>
      <c r="E87" s="23">
        <v>1</v>
      </c>
      <c r="F87" s="23">
        <v>0</v>
      </c>
      <c r="G87" s="23">
        <v>0</v>
      </c>
      <c r="H87" s="23">
        <v>0</v>
      </c>
      <c r="I87" s="4">
        <v>1</v>
      </c>
      <c r="J87" s="4">
        <v>1</v>
      </c>
      <c r="K87" s="4">
        <v>1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0</v>
      </c>
    </row>
    <row r="88" spans="1:18" x14ac:dyDescent="0.2">
      <c r="A88" s="5" t="s">
        <v>185</v>
      </c>
      <c r="B88" s="22" t="s">
        <v>764</v>
      </c>
      <c r="C88" s="4" t="str">
        <f t="shared" si="2"/>
        <v>B1</v>
      </c>
      <c r="D88" s="4" t="str">
        <f t="shared" si="3"/>
        <v>B087</v>
      </c>
      <c r="E88" s="23">
        <v>0</v>
      </c>
      <c r="F88" s="23">
        <v>0</v>
      </c>
      <c r="G88" s="23">
        <v>0</v>
      </c>
      <c r="H88" s="23">
        <v>1</v>
      </c>
      <c r="I88" s="4">
        <v>2</v>
      </c>
      <c r="J88" s="4">
        <f>P88+Q88+R88+'PresenceAbsence kleine Plots'!C88</f>
        <v>2</v>
      </c>
      <c r="K88" s="4">
        <v>0</v>
      </c>
      <c r="L88" s="4">
        <v>0</v>
      </c>
      <c r="M88" s="4">
        <v>1</v>
      </c>
      <c r="N88" s="4">
        <v>1</v>
      </c>
      <c r="O88" s="4">
        <v>0</v>
      </c>
      <c r="P88" s="4">
        <v>0</v>
      </c>
      <c r="Q88" s="4">
        <v>1</v>
      </c>
      <c r="R88" s="4">
        <v>1</v>
      </c>
    </row>
    <row r="89" spans="1:18" x14ac:dyDescent="0.2">
      <c r="A89" s="5" t="s">
        <v>186</v>
      </c>
      <c r="B89" s="22" t="s">
        <v>711</v>
      </c>
      <c r="C89" s="4" t="str">
        <f t="shared" si="2"/>
        <v>B1</v>
      </c>
      <c r="D89" s="4" t="str">
        <f t="shared" si="3"/>
        <v>B088</v>
      </c>
      <c r="E89" s="23">
        <v>1</v>
      </c>
      <c r="F89" s="23">
        <v>0</v>
      </c>
      <c r="G89" s="23">
        <v>0</v>
      </c>
      <c r="H89" s="23">
        <v>0</v>
      </c>
      <c r="I89" s="4">
        <v>1</v>
      </c>
      <c r="J89" s="4">
        <f>P89+Q89+R89+'PresenceAbsence kleine Plots'!C89</f>
        <v>1</v>
      </c>
      <c r="K89" s="4">
        <v>0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1</v>
      </c>
    </row>
    <row r="90" spans="1:18" x14ac:dyDescent="0.2">
      <c r="A90" s="5" t="s">
        <v>187</v>
      </c>
      <c r="B90" s="22" t="s">
        <v>780</v>
      </c>
      <c r="C90" s="4" t="str">
        <f t="shared" si="2"/>
        <v>B1</v>
      </c>
      <c r="D90" s="4" t="str">
        <f t="shared" si="3"/>
        <v>B089</v>
      </c>
      <c r="E90" s="23">
        <v>0</v>
      </c>
      <c r="F90" s="23">
        <v>0</v>
      </c>
      <c r="G90" s="23">
        <v>0</v>
      </c>
      <c r="H90" s="23">
        <v>1</v>
      </c>
      <c r="I90" s="4">
        <v>3</v>
      </c>
      <c r="J90" s="4">
        <v>2</v>
      </c>
      <c r="K90" s="4">
        <v>2</v>
      </c>
      <c r="L90" s="4">
        <v>0</v>
      </c>
      <c r="M90" s="4">
        <v>0</v>
      </c>
      <c r="N90" s="4">
        <v>1</v>
      </c>
      <c r="O90" s="4">
        <v>1</v>
      </c>
      <c r="P90" s="4">
        <v>0</v>
      </c>
      <c r="Q90" s="4">
        <v>0</v>
      </c>
      <c r="R90" s="4">
        <v>1</v>
      </c>
    </row>
    <row r="91" spans="1:18" x14ac:dyDescent="0.2">
      <c r="A91" s="5" t="s">
        <v>188</v>
      </c>
      <c r="B91" s="22" t="s">
        <v>564</v>
      </c>
      <c r="C91" s="4" t="str">
        <f t="shared" si="2"/>
        <v>B1</v>
      </c>
      <c r="D91" s="4" t="str">
        <f t="shared" si="3"/>
        <v>B090</v>
      </c>
      <c r="E91" s="23">
        <v>1</v>
      </c>
      <c r="F91" s="23">
        <v>1</v>
      </c>
      <c r="G91" s="23">
        <v>1</v>
      </c>
      <c r="H91" s="23">
        <v>0</v>
      </c>
      <c r="I91" s="4">
        <v>1</v>
      </c>
      <c r="J91" s="4">
        <v>1</v>
      </c>
      <c r="K91" s="4">
        <v>1</v>
      </c>
      <c r="L91" s="4">
        <v>0</v>
      </c>
      <c r="M91" s="4">
        <v>0</v>
      </c>
      <c r="N91" s="4">
        <v>0</v>
      </c>
      <c r="O91" s="4">
        <v>1</v>
      </c>
      <c r="P91" s="4">
        <v>0</v>
      </c>
      <c r="Q91" s="4">
        <v>0</v>
      </c>
      <c r="R91" s="4">
        <v>0</v>
      </c>
    </row>
    <row r="92" spans="1:18" x14ac:dyDescent="0.2">
      <c r="A92" s="5" t="s">
        <v>189</v>
      </c>
      <c r="B92" s="22" t="s">
        <v>751</v>
      </c>
      <c r="C92" s="4" t="str">
        <f t="shared" si="2"/>
        <v>B1</v>
      </c>
      <c r="D92" s="4" t="str">
        <f t="shared" si="3"/>
        <v>B091</v>
      </c>
      <c r="E92" s="23">
        <v>0</v>
      </c>
      <c r="F92" s="23">
        <v>0</v>
      </c>
      <c r="G92" s="23">
        <v>0</v>
      </c>
      <c r="H92" s="23">
        <v>1</v>
      </c>
      <c r="I92" s="4">
        <v>2</v>
      </c>
      <c r="J92" s="4">
        <v>2</v>
      </c>
      <c r="K92" s="4">
        <v>1</v>
      </c>
      <c r="L92" s="4">
        <v>0</v>
      </c>
      <c r="M92" s="4">
        <v>1</v>
      </c>
      <c r="N92" s="4">
        <v>0</v>
      </c>
      <c r="O92" s="4">
        <v>1</v>
      </c>
      <c r="P92" s="4">
        <v>0</v>
      </c>
      <c r="Q92" s="4">
        <v>1</v>
      </c>
      <c r="R92" s="4">
        <v>0</v>
      </c>
    </row>
    <row r="93" spans="1:18" x14ac:dyDescent="0.2">
      <c r="A93" s="5" t="s">
        <v>190</v>
      </c>
      <c r="B93" s="22" t="s">
        <v>734</v>
      </c>
      <c r="C93" s="4" t="str">
        <f t="shared" si="2"/>
        <v>B1</v>
      </c>
      <c r="D93" s="4" t="str">
        <f t="shared" si="3"/>
        <v>B092</v>
      </c>
      <c r="E93" s="23">
        <v>0</v>
      </c>
      <c r="F93" s="23">
        <v>0</v>
      </c>
      <c r="G93" s="23">
        <v>0</v>
      </c>
      <c r="H93" s="23">
        <v>1</v>
      </c>
      <c r="I93" s="4">
        <v>2</v>
      </c>
      <c r="J93" s="4">
        <v>2</v>
      </c>
      <c r="K93" s="4">
        <v>1</v>
      </c>
      <c r="L93" s="4">
        <v>0</v>
      </c>
      <c r="M93" s="4">
        <v>1</v>
      </c>
      <c r="N93" s="4">
        <v>0</v>
      </c>
      <c r="O93" s="4">
        <v>1</v>
      </c>
      <c r="P93" s="4">
        <v>0</v>
      </c>
      <c r="Q93" s="4">
        <v>1</v>
      </c>
      <c r="R93" s="4">
        <v>0</v>
      </c>
    </row>
    <row r="94" spans="1:18" x14ac:dyDescent="0.2">
      <c r="A94" s="5" t="s">
        <v>191</v>
      </c>
      <c r="B94" s="22" t="s">
        <v>709</v>
      </c>
      <c r="C94" s="4" t="str">
        <f t="shared" si="2"/>
        <v>B1</v>
      </c>
      <c r="D94" s="4" t="str">
        <f t="shared" si="3"/>
        <v>B093</v>
      </c>
      <c r="E94" s="23">
        <v>1</v>
      </c>
      <c r="F94" s="23">
        <v>0</v>
      </c>
      <c r="G94" s="23">
        <v>0</v>
      </c>
      <c r="H94" s="23">
        <v>0</v>
      </c>
      <c r="I94" s="4">
        <v>1</v>
      </c>
      <c r="J94" s="4">
        <f>P94+Q94+R94+'PresenceAbsence kleine Plots'!C94</f>
        <v>1</v>
      </c>
      <c r="K94" s="4">
        <v>0</v>
      </c>
      <c r="L94" s="4">
        <v>0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1</v>
      </c>
    </row>
    <row r="95" spans="1:18" x14ac:dyDescent="0.2">
      <c r="A95" s="5" t="s">
        <v>192</v>
      </c>
      <c r="B95" s="22" t="s">
        <v>587</v>
      </c>
      <c r="C95" s="4" t="str">
        <f t="shared" si="2"/>
        <v>B1</v>
      </c>
      <c r="D95" s="4" t="str">
        <f t="shared" si="3"/>
        <v>B094</v>
      </c>
      <c r="E95" s="23">
        <v>0</v>
      </c>
      <c r="F95" s="23">
        <v>1</v>
      </c>
      <c r="G95" s="23">
        <v>1</v>
      </c>
      <c r="H95" s="23">
        <v>0</v>
      </c>
      <c r="I95" s="4">
        <v>4</v>
      </c>
      <c r="J95" s="4">
        <v>3</v>
      </c>
      <c r="K95" s="4">
        <v>1</v>
      </c>
      <c r="L95" s="4">
        <v>0</v>
      </c>
      <c r="M95" s="4">
        <v>2</v>
      </c>
      <c r="N95" s="4">
        <v>1</v>
      </c>
      <c r="O95" s="4">
        <v>1</v>
      </c>
      <c r="P95" s="4">
        <v>0</v>
      </c>
      <c r="Q95" s="4">
        <v>1</v>
      </c>
      <c r="R95" s="4">
        <v>1</v>
      </c>
    </row>
    <row r="96" spans="1:18" x14ac:dyDescent="0.2">
      <c r="A96" s="5" t="s">
        <v>193</v>
      </c>
      <c r="B96" s="22" t="s">
        <v>777</v>
      </c>
      <c r="C96" s="4" t="str">
        <f t="shared" si="2"/>
        <v>B1</v>
      </c>
      <c r="D96" s="4" t="str">
        <f t="shared" si="3"/>
        <v>B095</v>
      </c>
      <c r="E96" s="23">
        <v>0</v>
      </c>
      <c r="F96" s="23">
        <v>0</v>
      </c>
      <c r="G96" s="23">
        <v>0</v>
      </c>
      <c r="H96" s="23">
        <v>1</v>
      </c>
      <c r="I96" s="4">
        <v>3</v>
      </c>
      <c r="J96" s="4">
        <v>2</v>
      </c>
      <c r="K96" s="4">
        <v>2</v>
      </c>
      <c r="L96" s="4">
        <v>0</v>
      </c>
      <c r="M96" s="4">
        <v>0</v>
      </c>
      <c r="N96" s="4">
        <v>1</v>
      </c>
      <c r="O96" s="4">
        <v>1</v>
      </c>
      <c r="P96" s="4">
        <v>0</v>
      </c>
      <c r="Q96" s="4">
        <v>0</v>
      </c>
      <c r="R96" s="4">
        <v>1</v>
      </c>
    </row>
    <row r="97" spans="1:18" x14ac:dyDescent="0.2">
      <c r="A97" s="5" t="s">
        <v>194</v>
      </c>
      <c r="B97" s="22" t="s">
        <v>539</v>
      </c>
      <c r="C97" s="4" t="str">
        <f t="shared" si="2"/>
        <v>B1</v>
      </c>
      <c r="D97" s="4" t="str">
        <f t="shared" si="3"/>
        <v>B096</v>
      </c>
      <c r="E97" s="23">
        <v>0</v>
      </c>
      <c r="F97" s="23">
        <v>1</v>
      </c>
      <c r="G97" s="23">
        <v>0</v>
      </c>
      <c r="H97" s="23">
        <v>0</v>
      </c>
      <c r="I97" s="4">
        <v>60</v>
      </c>
      <c r="J97" s="4">
        <f>P97+Q97+R97+'PresenceAbsence kleine Plots'!C97</f>
        <v>4</v>
      </c>
      <c r="K97" s="4">
        <v>16</v>
      </c>
      <c r="L97" s="4">
        <v>12</v>
      </c>
      <c r="M97" s="4">
        <v>20</v>
      </c>
      <c r="N97" s="4">
        <v>12</v>
      </c>
      <c r="O97" s="4">
        <v>1</v>
      </c>
      <c r="P97" s="4">
        <v>1</v>
      </c>
      <c r="Q97" s="4">
        <v>1</v>
      </c>
      <c r="R97" s="4">
        <v>1</v>
      </c>
    </row>
    <row r="98" spans="1:18" x14ac:dyDescent="0.2">
      <c r="A98" s="5" t="s">
        <v>195</v>
      </c>
      <c r="B98" s="22" t="s">
        <v>707</v>
      </c>
      <c r="C98" s="4" t="str">
        <f t="shared" si="2"/>
        <v>B1</v>
      </c>
      <c r="D98" s="4" t="str">
        <f t="shared" si="3"/>
        <v>B097</v>
      </c>
      <c r="E98" s="23">
        <v>1</v>
      </c>
      <c r="F98" s="23">
        <v>0</v>
      </c>
      <c r="G98" s="23">
        <v>0</v>
      </c>
      <c r="H98" s="23">
        <v>0</v>
      </c>
      <c r="I98" s="4">
        <v>1</v>
      </c>
      <c r="J98" s="4">
        <f>P98+Q98+R98+'PresenceAbsence kleine Plots'!C98</f>
        <v>1</v>
      </c>
      <c r="K98" s="4">
        <v>0</v>
      </c>
      <c r="L98" s="4">
        <v>0</v>
      </c>
      <c r="M98" s="4">
        <v>1</v>
      </c>
      <c r="N98" s="4">
        <v>0</v>
      </c>
      <c r="O98" s="4">
        <v>0</v>
      </c>
      <c r="P98" s="4">
        <v>0</v>
      </c>
      <c r="Q98" s="4">
        <v>1</v>
      </c>
      <c r="R98" s="4">
        <v>0</v>
      </c>
    </row>
    <row r="99" spans="1:18" x14ac:dyDescent="0.2">
      <c r="A99" s="5" t="s">
        <v>196</v>
      </c>
      <c r="B99" s="22" t="s">
        <v>717</v>
      </c>
      <c r="C99" s="4" t="str">
        <f t="shared" si="2"/>
        <v>B1</v>
      </c>
      <c r="D99" s="4" t="str">
        <f t="shared" si="3"/>
        <v>B098</v>
      </c>
      <c r="E99" s="23">
        <v>1</v>
      </c>
      <c r="F99" s="23">
        <v>0</v>
      </c>
      <c r="G99" s="23">
        <v>0</v>
      </c>
      <c r="H99" s="23">
        <v>0</v>
      </c>
      <c r="I99" s="4">
        <v>1</v>
      </c>
      <c r="J99" s="4">
        <f>P99+Q99+R99+'PresenceAbsence kleine Plots'!C99</f>
        <v>1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1</v>
      </c>
      <c r="Q99" s="4">
        <v>0</v>
      </c>
      <c r="R99" s="4">
        <v>0</v>
      </c>
    </row>
    <row r="100" spans="1:18" x14ac:dyDescent="0.2">
      <c r="A100" s="5" t="s">
        <v>197</v>
      </c>
      <c r="B100" s="22" t="s">
        <v>675</v>
      </c>
      <c r="C100" s="4" t="str">
        <f t="shared" si="2"/>
        <v>B1</v>
      </c>
      <c r="D100" s="4" t="str">
        <f t="shared" si="3"/>
        <v>B099</v>
      </c>
      <c r="E100" s="23">
        <v>1</v>
      </c>
      <c r="F100" s="23">
        <v>0</v>
      </c>
      <c r="G100" s="23">
        <v>0</v>
      </c>
      <c r="H100" s="23">
        <v>0</v>
      </c>
      <c r="I100" s="4">
        <v>1</v>
      </c>
      <c r="J100" s="4">
        <f>P100+Q100+R100+'PresenceAbsence kleine Plots'!C100</f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</row>
    <row r="101" spans="1:18" x14ac:dyDescent="0.2">
      <c r="A101" s="5" t="s">
        <v>198</v>
      </c>
      <c r="B101" s="22" t="s">
        <v>675</v>
      </c>
      <c r="C101" s="4" t="str">
        <f t="shared" si="2"/>
        <v>B1</v>
      </c>
      <c r="D101" s="4" t="str">
        <f t="shared" si="3"/>
        <v>B100</v>
      </c>
      <c r="E101" s="23">
        <v>1</v>
      </c>
      <c r="F101" s="23">
        <v>0</v>
      </c>
      <c r="G101" s="23">
        <v>0</v>
      </c>
      <c r="H101" s="23">
        <v>0</v>
      </c>
      <c r="I101" s="4">
        <v>1</v>
      </c>
      <c r="J101" s="4">
        <f>P101+Q101+R101+'PresenceAbsence kleine Plots'!C101</f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x14ac:dyDescent="0.2">
      <c r="A102" s="5" t="s">
        <v>199</v>
      </c>
      <c r="B102" s="22" t="s">
        <v>675</v>
      </c>
      <c r="C102" s="4" t="str">
        <f t="shared" si="2"/>
        <v>B1</v>
      </c>
      <c r="D102" s="4" t="str">
        <f t="shared" si="3"/>
        <v>B101</v>
      </c>
      <c r="E102" s="23">
        <v>1</v>
      </c>
      <c r="F102" s="23">
        <v>0</v>
      </c>
      <c r="G102" s="23">
        <v>0</v>
      </c>
      <c r="H102" s="23">
        <v>0</v>
      </c>
      <c r="I102" s="4">
        <v>1</v>
      </c>
      <c r="J102" s="4">
        <f>P102+Q102+R102+'PresenceAbsence kleine Plots'!C102</f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x14ac:dyDescent="0.2">
      <c r="A103" s="5" t="s">
        <v>200</v>
      </c>
      <c r="B103" s="22" t="s">
        <v>731</v>
      </c>
      <c r="C103" s="4" t="str">
        <f t="shared" si="2"/>
        <v>B1</v>
      </c>
      <c r="D103" s="4" t="str">
        <f t="shared" si="3"/>
        <v>B102</v>
      </c>
      <c r="E103" s="23">
        <v>1</v>
      </c>
      <c r="F103" s="23">
        <v>0</v>
      </c>
      <c r="G103" s="23">
        <v>0</v>
      </c>
      <c r="H103" s="23">
        <v>0</v>
      </c>
      <c r="I103" s="4">
        <v>1</v>
      </c>
      <c r="J103" s="4">
        <v>1</v>
      </c>
      <c r="K103" s="4">
        <v>0</v>
      </c>
      <c r="L103" s="4">
        <v>0</v>
      </c>
      <c r="M103" s="4">
        <v>0</v>
      </c>
      <c r="N103" s="4">
        <v>1</v>
      </c>
      <c r="O103" s="4">
        <v>0</v>
      </c>
      <c r="P103" s="4">
        <v>0</v>
      </c>
      <c r="Q103" s="4">
        <v>0</v>
      </c>
      <c r="R103" s="4">
        <v>1</v>
      </c>
    </row>
    <row r="104" spans="1:18" x14ac:dyDescent="0.2">
      <c r="A104" s="5" t="s">
        <v>201</v>
      </c>
      <c r="B104" s="22" t="s">
        <v>750</v>
      </c>
      <c r="C104" s="4" t="str">
        <f t="shared" si="2"/>
        <v>B2</v>
      </c>
      <c r="D104" s="4" t="str">
        <f t="shared" si="3"/>
        <v>B001</v>
      </c>
      <c r="E104" s="23">
        <v>0</v>
      </c>
      <c r="F104" s="23">
        <v>0</v>
      </c>
      <c r="G104" s="23">
        <v>0</v>
      </c>
      <c r="H104" s="23">
        <v>1</v>
      </c>
      <c r="I104" s="4">
        <v>2</v>
      </c>
      <c r="J104" s="4">
        <v>1</v>
      </c>
      <c r="K104" s="4">
        <v>2</v>
      </c>
      <c r="L104" s="4">
        <v>0</v>
      </c>
      <c r="M104" s="4">
        <v>0</v>
      </c>
      <c r="N104" s="4">
        <v>0</v>
      </c>
      <c r="O104" s="4">
        <v>1</v>
      </c>
      <c r="P104" s="4">
        <v>0</v>
      </c>
      <c r="Q104" s="4">
        <v>0</v>
      </c>
      <c r="R104" s="4">
        <v>0</v>
      </c>
    </row>
    <row r="105" spans="1:18" x14ac:dyDescent="0.2">
      <c r="A105" s="5" t="s">
        <v>202</v>
      </c>
      <c r="B105" s="22" t="s">
        <v>677</v>
      </c>
      <c r="C105" s="4" t="str">
        <f t="shared" si="2"/>
        <v>B2</v>
      </c>
      <c r="D105" s="4" t="str">
        <f t="shared" si="3"/>
        <v>B002</v>
      </c>
      <c r="E105" s="23">
        <v>0</v>
      </c>
      <c r="F105" s="23">
        <v>0</v>
      </c>
      <c r="G105" s="23">
        <v>0</v>
      </c>
      <c r="H105" s="23">
        <v>1</v>
      </c>
      <c r="I105" s="4">
        <v>9</v>
      </c>
      <c r="J105" s="4">
        <f>P105+Q105+R105+'PresenceAbsence kleine Plots'!C105</f>
        <v>3</v>
      </c>
      <c r="K105" s="4">
        <v>5</v>
      </c>
      <c r="L105" s="4">
        <v>0</v>
      </c>
      <c r="M105" s="4">
        <v>2</v>
      </c>
      <c r="N105" s="4">
        <v>2</v>
      </c>
      <c r="O105" s="4">
        <v>1</v>
      </c>
      <c r="P105" s="4">
        <v>0</v>
      </c>
      <c r="Q105" s="4">
        <v>1</v>
      </c>
      <c r="R105" s="4">
        <v>1</v>
      </c>
    </row>
    <row r="106" spans="1:18" x14ac:dyDescent="0.2">
      <c r="A106" s="5" t="s">
        <v>203</v>
      </c>
      <c r="B106" s="22" t="s">
        <v>728</v>
      </c>
      <c r="C106" s="4" t="str">
        <f t="shared" si="2"/>
        <v>B2</v>
      </c>
      <c r="D106" s="4" t="str">
        <f t="shared" si="3"/>
        <v>B003</v>
      </c>
      <c r="E106" s="23">
        <v>1</v>
      </c>
      <c r="F106" s="23">
        <v>0</v>
      </c>
      <c r="G106" s="23">
        <v>0</v>
      </c>
      <c r="H106" s="23">
        <v>0</v>
      </c>
      <c r="I106" s="4">
        <v>1</v>
      </c>
      <c r="J106" s="4">
        <f>P106+Q106+R106+'PresenceAbsence kleine Plots'!C106</f>
        <v>1</v>
      </c>
      <c r="K106" s="4">
        <v>0</v>
      </c>
      <c r="L106" s="4">
        <v>0</v>
      </c>
      <c r="M106" s="4">
        <v>0</v>
      </c>
      <c r="N106" s="4">
        <v>1</v>
      </c>
      <c r="O106" s="4">
        <v>0</v>
      </c>
      <c r="P106" s="4">
        <v>0</v>
      </c>
      <c r="Q106" s="4">
        <v>0</v>
      </c>
      <c r="R106" s="4">
        <v>1</v>
      </c>
    </row>
    <row r="107" spans="1:18" x14ac:dyDescent="0.2">
      <c r="A107" s="5" t="s">
        <v>204</v>
      </c>
      <c r="B107" s="22" t="s">
        <v>574</v>
      </c>
      <c r="C107" s="4" t="str">
        <f t="shared" si="2"/>
        <v>B2</v>
      </c>
      <c r="D107" s="4" t="str">
        <f t="shared" si="3"/>
        <v>B004</v>
      </c>
      <c r="E107" s="23">
        <v>0</v>
      </c>
      <c r="F107" s="23">
        <v>1</v>
      </c>
      <c r="G107" s="23">
        <v>1</v>
      </c>
      <c r="H107" s="23">
        <v>0</v>
      </c>
      <c r="I107" s="4">
        <v>8</v>
      </c>
      <c r="J107" s="4">
        <f>P107+Q107+R107+'PresenceAbsence kleine Plots'!C107</f>
        <v>2</v>
      </c>
      <c r="K107" s="4">
        <v>0</v>
      </c>
      <c r="L107" s="4">
        <v>0</v>
      </c>
      <c r="M107" s="4">
        <v>4</v>
      </c>
      <c r="N107" s="4">
        <v>4</v>
      </c>
      <c r="O107" s="4">
        <v>0</v>
      </c>
      <c r="P107" s="4">
        <v>0</v>
      </c>
      <c r="Q107" s="4">
        <v>1</v>
      </c>
      <c r="R107" s="4">
        <v>1</v>
      </c>
    </row>
    <row r="108" spans="1:18" x14ac:dyDescent="0.2">
      <c r="A108" s="5" t="s">
        <v>205</v>
      </c>
      <c r="B108" s="22" t="s">
        <v>764</v>
      </c>
      <c r="C108" s="4" t="str">
        <f t="shared" si="2"/>
        <v>B2</v>
      </c>
      <c r="D108" s="4" t="str">
        <f t="shared" si="3"/>
        <v>B005</v>
      </c>
      <c r="E108" s="23">
        <v>0</v>
      </c>
      <c r="F108" s="23">
        <v>0</v>
      </c>
      <c r="G108" s="23">
        <v>0</v>
      </c>
      <c r="H108" s="23">
        <v>1</v>
      </c>
      <c r="I108" s="4">
        <v>2</v>
      </c>
      <c r="J108" s="4">
        <f>P108+Q108+R108+'PresenceAbsence kleine Plots'!C108</f>
        <v>2</v>
      </c>
      <c r="K108" s="4">
        <v>0</v>
      </c>
      <c r="L108" s="4">
        <v>0</v>
      </c>
      <c r="M108" s="4">
        <v>1</v>
      </c>
      <c r="N108" s="4">
        <v>1</v>
      </c>
      <c r="O108" s="4">
        <v>0</v>
      </c>
      <c r="P108" s="4">
        <v>0</v>
      </c>
      <c r="Q108" s="4">
        <v>1</v>
      </c>
      <c r="R108" s="4">
        <v>1</v>
      </c>
    </row>
    <row r="109" spans="1:18" x14ac:dyDescent="0.2">
      <c r="A109" s="5" t="s">
        <v>206</v>
      </c>
      <c r="B109" s="22" t="s">
        <v>589</v>
      </c>
      <c r="C109" s="4" t="str">
        <f t="shared" si="2"/>
        <v>B2</v>
      </c>
      <c r="D109" s="4" t="str">
        <f t="shared" si="3"/>
        <v>B006</v>
      </c>
      <c r="E109" s="23">
        <v>1</v>
      </c>
      <c r="F109" s="23">
        <v>1</v>
      </c>
      <c r="G109" s="23">
        <v>0</v>
      </c>
      <c r="H109" s="23">
        <v>0</v>
      </c>
      <c r="I109" s="4">
        <v>1</v>
      </c>
      <c r="J109" s="4">
        <f>P109+Q109+R109+'PresenceAbsence kleine Plots'!C109</f>
        <v>1</v>
      </c>
      <c r="K109" s="4">
        <v>0</v>
      </c>
      <c r="L109" s="4">
        <v>0</v>
      </c>
      <c r="M109" s="4">
        <v>1</v>
      </c>
      <c r="N109" s="4">
        <v>0</v>
      </c>
      <c r="O109" s="4">
        <v>0</v>
      </c>
      <c r="P109" s="4">
        <v>0</v>
      </c>
      <c r="Q109" s="4">
        <v>1</v>
      </c>
      <c r="R109" s="4">
        <v>0</v>
      </c>
    </row>
    <row r="110" spans="1:18" x14ac:dyDescent="0.2">
      <c r="A110" s="5" t="s">
        <v>207</v>
      </c>
      <c r="B110" s="22" t="s">
        <v>760</v>
      </c>
      <c r="C110" s="4" t="str">
        <f t="shared" si="2"/>
        <v>B2</v>
      </c>
      <c r="D110" s="4" t="str">
        <f t="shared" si="3"/>
        <v>B007</v>
      </c>
      <c r="E110" s="23">
        <v>0</v>
      </c>
      <c r="F110" s="23">
        <v>0</v>
      </c>
      <c r="G110" s="23">
        <v>0</v>
      </c>
      <c r="H110" s="23">
        <v>1</v>
      </c>
      <c r="I110" s="4">
        <v>2</v>
      </c>
      <c r="J110" s="4">
        <f>P110+Q110+R110+'PresenceAbsence kleine Plots'!C110</f>
        <v>2</v>
      </c>
      <c r="K110" s="4">
        <v>1</v>
      </c>
      <c r="L110" s="4">
        <v>0</v>
      </c>
      <c r="M110" s="4">
        <v>0</v>
      </c>
      <c r="N110" s="4">
        <v>1</v>
      </c>
      <c r="O110" s="4">
        <v>1</v>
      </c>
      <c r="P110" s="4">
        <v>0</v>
      </c>
      <c r="Q110" s="4">
        <v>0</v>
      </c>
      <c r="R110" s="4">
        <v>1</v>
      </c>
    </row>
    <row r="111" spans="1:18" x14ac:dyDescent="0.2">
      <c r="A111" s="5" t="s">
        <v>208</v>
      </c>
      <c r="B111" s="22" t="s">
        <v>713</v>
      </c>
      <c r="C111" s="4" t="str">
        <f t="shared" si="2"/>
        <v>B2</v>
      </c>
      <c r="D111" s="4" t="str">
        <f t="shared" si="3"/>
        <v>B008</v>
      </c>
      <c r="E111" s="23">
        <v>1</v>
      </c>
      <c r="F111" s="23">
        <v>0</v>
      </c>
      <c r="G111" s="23">
        <v>0</v>
      </c>
      <c r="H111" s="23">
        <v>1</v>
      </c>
      <c r="I111" s="4">
        <v>1</v>
      </c>
      <c r="J111" s="4">
        <v>1</v>
      </c>
      <c r="K111" s="4">
        <v>1</v>
      </c>
      <c r="L111" s="4">
        <v>0</v>
      </c>
      <c r="M111" s="4">
        <v>0</v>
      </c>
      <c r="N111" s="4">
        <v>0</v>
      </c>
      <c r="O111" s="4">
        <v>1</v>
      </c>
      <c r="P111" s="4">
        <v>0</v>
      </c>
      <c r="Q111" s="4">
        <v>0</v>
      </c>
      <c r="R111" s="4">
        <v>0</v>
      </c>
    </row>
    <row r="112" spans="1:18" x14ac:dyDescent="0.2">
      <c r="A112" s="5" t="s">
        <v>209</v>
      </c>
      <c r="B112" s="22" t="s">
        <v>558</v>
      </c>
      <c r="C112" s="4" t="str">
        <f t="shared" si="2"/>
        <v>B2</v>
      </c>
      <c r="D112" s="4" t="str">
        <f t="shared" si="3"/>
        <v>B009</v>
      </c>
      <c r="E112" s="23">
        <v>0</v>
      </c>
      <c r="F112" s="23">
        <v>1</v>
      </c>
      <c r="G112" s="23">
        <v>1</v>
      </c>
      <c r="H112" s="23">
        <v>0</v>
      </c>
      <c r="I112" s="4">
        <v>16</v>
      </c>
      <c r="J112" s="4">
        <v>3</v>
      </c>
      <c r="K112" s="4">
        <v>5</v>
      </c>
      <c r="L112" s="4">
        <v>0</v>
      </c>
      <c r="M112" s="4">
        <v>5</v>
      </c>
      <c r="N112" s="4">
        <v>6</v>
      </c>
      <c r="O112" s="4">
        <v>1</v>
      </c>
      <c r="P112" s="4">
        <v>0</v>
      </c>
      <c r="Q112" s="4">
        <v>1</v>
      </c>
      <c r="R112" s="4">
        <v>1</v>
      </c>
    </row>
    <row r="113" spans="1:18" x14ac:dyDescent="0.2">
      <c r="A113" s="5" t="s">
        <v>210</v>
      </c>
      <c r="B113" s="22" t="s">
        <v>746</v>
      </c>
      <c r="C113" s="4" t="str">
        <f t="shared" si="2"/>
        <v>B2</v>
      </c>
      <c r="D113" s="4" t="str">
        <f t="shared" si="3"/>
        <v>B010</v>
      </c>
      <c r="E113" s="23">
        <v>0</v>
      </c>
      <c r="F113" s="23">
        <v>0</v>
      </c>
      <c r="G113" s="23">
        <v>0</v>
      </c>
      <c r="H113" s="23">
        <v>1</v>
      </c>
      <c r="I113" s="4">
        <v>2</v>
      </c>
      <c r="J113" s="4">
        <v>2</v>
      </c>
      <c r="K113" s="4">
        <v>1</v>
      </c>
      <c r="L113" s="4">
        <v>0</v>
      </c>
      <c r="M113" s="4">
        <v>1</v>
      </c>
      <c r="N113" s="4">
        <v>0</v>
      </c>
      <c r="O113" s="4">
        <v>1</v>
      </c>
      <c r="P113" s="4">
        <v>0</v>
      </c>
      <c r="Q113" s="4">
        <v>1</v>
      </c>
      <c r="R113" s="4">
        <v>0</v>
      </c>
    </row>
    <row r="114" spans="1:18" x14ac:dyDescent="0.2">
      <c r="A114" s="5" t="s">
        <v>211</v>
      </c>
      <c r="B114" s="22" t="s">
        <v>554</v>
      </c>
      <c r="C114" s="4" t="str">
        <f t="shared" si="2"/>
        <v>B2</v>
      </c>
      <c r="D114" s="4" t="str">
        <f t="shared" si="3"/>
        <v>B011</v>
      </c>
      <c r="E114" s="23">
        <v>0</v>
      </c>
      <c r="F114" s="23">
        <v>1</v>
      </c>
      <c r="G114" s="23">
        <v>1</v>
      </c>
      <c r="H114" s="23">
        <v>0</v>
      </c>
      <c r="I114" s="4">
        <v>16</v>
      </c>
      <c r="J114" s="4">
        <f>P114+Q114+R114+'PresenceAbsence kleine Plots'!C114</f>
        <v>4</v>
      </c>
      <c r="K114" s="4">
        <v>4</v>
      </c>
      <c r="L114" s="4">
        <v>4</v>
      </c>
      <c r="M114" s="4">
        <v>4</v>
      </c>
      <c r="N114" s="4">
        <v>4</v>
      </c>
      <c r="O114" s="4">
        <v>1</v>
      </c>
      <c r="P114" s="4">
        <v>1</v>
      </c>
      <c r="Q114" s="4">
        <v>1</v>
      </c>
      <c r="R114" s="4">
        <v>1</v>
      </c>
    </row>
    <row r="115" spans="1:18" x14ac:dyDescent="0.2">
      <c r="A115" s="5" t="s">
        <v>212</v>
      </c>
      <c r="B115" s="22" t="s">
        <v>772</v>
      </c>
      <c r="C115" s="4" t="str">
        <f t="shared" si="2"/>
        <v>B2</v>
      </c>
      <c r="D115" s="4" t="str">
        <f t="shared" si="3"/>
        <v>B012</v>
      </c>
      <c r="E115" s="23">
        <v>0</v>
      </c>
      <c r="F115" s="23">
        <v>0</v>
      </c>
      <c r="G115" s="23">
        <v>0</v>
      </c>
      <c r="H115" s="23">
        <v>1</v>
      </c>
      <c r="I115" s="4">
        <v>3</v>
      </c>
      <c r="J115" s="4">
        <v>3</v>
      </c>
      <c r="K115" s="4">
        <v>1</v>
      </c>
      <c r="L115" s="4">
        <v>0</v>
      </c>
      <c r="M115" s="4">
        <v>1</v>
      </c>
      <c r="N115" s="4">
        <v>1</v>
      </c>
      <c r="O115" s="4">
        <v>1</v>
      </c>
      <c r="P115" s="4">
        <v>0</v>
      </c>
      <c r="Q115" s="4">
        <v>1</v>
      </c>
      <c r="R115" s="4">
        <v>1</v>
      </c>
    </row>
    <row r="116" spans="1:18" x14ac:dyDescent="0.2">
      <c r="A116" s="5" t="s">
        <v>213</v>
      </c>
      <c r="B116" s="22" t="s">
        <v>766</v>
      </c>
      <c r="C116" s="4" t="str">
        <f t="shared" si="2"/>
        <v>B2</v>
      </c>
      <c r="D116" s="4" t="str">
        <f t="shared" si="3"/>
        <v>B013</v>
      </c>
      <c r="E116" s="23">
        <v>0</v>
      </c>
      <c r="F116" s="23">
        <v>0</v>
      </c>
      <c r="G116" s="23">
        <v>0</v>
      </c>
      <c r="H116" s="23">
        <v>1</v>
      </c>
      <c r="I116" s="4">
        <v>2</v>
      </c>
      <c r="J116" s="4">
        <v>2</v>
      </c>
      <c r="K116" s="4">
        <v>1</v>
      </c>
      <c r="L116" s="4">
        <v>0</v>
      </c>
      <c r="M116" s="4">
        <v>0</v>
      </c>
      <c r="N116" s="4">
        <v>1</v>
      </c>
      <c r="O116" s="4">
        <v>1</v>
      </c>
      <c r="P116" s="4">
        <v>0</v>
      </c>
      <c r="Q116" s="4">
        <v>0</v>
      </c>
      <c r="R116" s="4">
        <v>1</v>
      </c>
    </row>
    <row r="117" spans="1:18" x14ac:dyDescent="0.2">
      <c r="A117" s="5" t="s">
        <v>214</v>
      </c>
      <c r="B117" s="22" t="s">
        <v>701</v>
      </c>
      <c r="C117" s="4" t="str">
        <f t="shared" si="2"/>
        <v>B2</v>
      </c>
      <c r="D117" s="4" t="str">
        <f t="shared" si="3"/>
        <v>B014</v>
      </c>
      <c r="E117" s="23">
        <v>1</v>
      </c>
      <c r="F117" s="23">
        <v>0</v>
      </c>
      <c r="G117" s="23">
        <v>0</v>
      </c>
      <c r="H117" s="23">
        <v>0</v>
      </c>
      <c r="I117" s="4">
        <v>1</v>
      </c>
      <c r="J117" s="4">
        <f>P117+Q117+R117+'PresenceAbsence kleine Plots'!C117</f>
        <v>1</v>
      </c>
      <c r="K117" s="4">
        <v>0</v>
      </c>
      <c r="L117" s="4">
        <v>1</v>
      </c>
      <c r="M117" s="4">
        <v>0</v>
      </c>
      <c r="N117" s="4">
        <v>0</v>
      </c>
      <c r="O117" s="4">
        <v>0</v>
      </c>
      <c r="P117" s="4">
        <v>1</v>
      </c>
      <c r="Q117" s="4">
        <v>0</v>
      </c>
      <c r="R117" s="4">
        <v>0</v>
      </c>
    </row>
    <row r="118" spans="1:18" x14ac:dyDescent="0.2">
      <c r="A118" s="5" t="s">
        <v>215</v>
      </c>
      <c r="B118" s="22" t="s">
        <v>791</v>
      </c>
      <c r="C118" s="4" t="str">
        <f t="shared" si="2"/>
        <v>B2</v>
      </c>
      <c r="D118" s="4" t="str">
        <f t="shared" si="3"/>
        <v>B015</v>
      </c>
      <c r="E118" s="23">
        <v>0</v>
      </c>
      <c r="F118" s="23">
        <v>0</v>
      </c>
      <c r="G118" s="23">
        <v>0</v>
      </c>
      <c r="H118" s="23">
        <v>1</v>
      </c>
      <c r="I118" s="4">
        <v>4</v>
      </c>
      <c r="J118" s="4">
        <f>P118+Q118+R118+'PresenceAbsence kleine Plots'!C118</f>
        <v>3</v>
      </c>
      <c r="K118" s="4">
        <v>2</v>
      </c>
      <c r="L118" s="4">
        <v>0</v>
      </c>
      <c r="M118" s="4">
        <v>1</v>
      </c>
      <c r="N118" s="4">
        <v>1</v>
      </c>
      <c r="O118" s="4">
        <v>1</v>
      </c>
      <c r="P118" s="4">
        <v>0</v>
      </c>
      <c r="Q118" s="4">
        <v>1</v>
      </c>
      <c r="R118" s="4">
        <v>1</v>
      </c>
    </row>
    <row r="119" spans="1:18" x14ac:dyDescent="0.2">
      <c r="A119" s="5" t="s">
        <v>216</v>
      </c>
      <c r="B119" s="22" t="s">
        <v>525</v>
      </c>
      <c r="C119" s="4" t="str">
        <f t="shared" si="2"/>
        <v>B2</v>
      </c>
      <c r="D119" s="4" t="str">
        <f t="shared" si="3"/>
        <v>B016</v>
      </c>
      <c r="E119" s="23">
        <v>1</v>
      </c>
      <c r="F119" s="23">
        <v>1</v>
      </c>
      <c r="G119" s="23">
        <v>1</v>
      </c>
      <c r="H119" s="23">
        <v>0</v>
      </c>
      <c r="I119" s="4">
        <v>1</v>
      </c>
      <c r="J119" s="4">
        <f>P119+Q119+R119+'PresenceAbsence kleine Plots'!C119</f>
        <v>1</v>
      </c>
      <c r="K119" s="4">
        <v>0</v>
      </c>
      <c r="L119" s="4">
        <v>0</v>
      </c>
      <c r="M119" s="4">
        <v>0</v>
      </c>
      <c r="N119" s="4">
        <v>1</v>
      </c>
      <c r="O119" s="4">
        <v>0</v>
      </c>
      <c r="P119" s="4">
        <v>0</v>
      </c>
      <c r="Q119" s="4">
        <v>0</v>
      </c>
      <c r="R119" s="4">
        <v>1</v>
      </c>
    </row>
    <row r="120" spans="1:18" x14ac:dyDescent="0.2">
      <c r="A120" s="5" t="s">
        <v>217</v>
      </c>
      <c r="B120" s="22" t="s">
        <v>526</v>
      </c>
      <c r="C120" s="4" t="str">
        <f t="shared" si="2"/>
        <v>B2</v>
      </c>
      <c r="D120" s="4" t="str">
        <f t="shared" si="3"/>
        <v>B017</v>
      </c>
      <c r="E120" s="23">
        <v>1</v>
      </c>
      <c r="F120" s="23">
        <v>1</v>
      </c>
      <c r="G120" s="23">
        <v>1</v>
      </c>
      <c r="H120" s="23">
        <v>0</v>
      </c>
      <c r="I120" s="4">
        <v>1</v>
      </c>
      <c r="J120" s="4">
        <v>1</v>
      </c>
      <c r="K120" s="4">
        <v>1</v>
      </c>
      <c r="L120" s="4">
        <v>0</v>
      </c>
      <c r="M120" s="4">
        <v>0</v>
      </c>
      <c r="N120" s="4">
        <v>0</v>
      </c>
      <c r="O120" s="4">
        <v>1</v>
      </c>
      <c r="P120" s="4">
        <v>0</v>
      </c>
      <c r="Q120" s="4">
        <v>0</v>
      </c>
      <c r="R120" s="4">
        <v>0</v>
      </c>
    </row>
    <row r="121" spans="1:18" x14ac:dyDescent="0.2">
      <c r="A121" s="5" t="s">
        <v>218</v>
      </c>
      <c r="B121" s="22" t="s">
        <v>761</v>
      </c>
      <c r="C121" s="4" t="str">
        <f t="shared" si="2"/>
        <v>B2</v>
      </c>
      <c r="D121" s="4" t="str">
        <f t="shared" si="3"/>
        <v>B018</v>
      </c>
      <c r="E121" s="23">
        <v>0</v>
      </c>
      <c r="F121" s="23">
        <v>0</v>
      </c>
      <c r="G121" s="23">
        <v>0</v>
      </c>
      <c r="H121" s="23">
        <v>1</v>
      </c>
      <c r="I121" s="4">
        <v>2</v>
      </c>
      <c r="J121" s="4">
        <f>P121+Q121+R121+'PresenceAbsence kleine Plots'!C121</f>
        <v>2</v>
      </c>
      <c r="K121" s="4">
        <v>0</v>
      </c>
      <c r="L121" s="4">
        <v>0</v>
      </c>
      <c r="M121" s="4">
        <v>1</v>
      </c>
      <c r="N121" s="4">
        <v>1</v>
      </c>
      <c r="O121" s="4">
        <v>0</v>
      </c>
      <c r="P121" s="4">
        <v>0</v>
      </c>
      <c r="Q121" s="4">
        <v>1</v>
      </c>
      <c r="R121" s="4">
        <v>1</v>
      </c>
    </row>
    <row r="122" spans="1:18" x14ac:dyDescent="0.2">
      <c r="A122" s="5" t="s">
        <v>219</v>
      </c>
      <c r="B122" s="22" t="s">
        <v>744</v>
      </c>
      <c r="C122" s="4" t="str">
        <f t="shared" si="2"/>
        <v>B2</v>
      </c>
      <c r="D122" s="4" t="str">
        <f t="shared" si="3"/>
        <v>B019</v>
      </c>
      <c r="E122" s="23">
        <v>0</v>
      </c>
      <c r="F122" s="23">
        <v>0</v>
      </c>
      <c r="G122" s="23">
        <v>0</v>
      </c>
      <c r="H122" s="23">
        <v>1</v>
      </c>
      <c r="I122" s="4">
        <v>2</v>
      </c>
      <c r="J122" s="4">
        <v>1</v>
      </c>
      <c r="K122" s="4">
        <v>2</v>
      </c>
      <c r="L122" s="4">
        <v>0</v>
      </c>
      <c r="M122" s="4">
        <v>0</v>
      </c>
      <c r="N122" s="4">
        <v>0</v>
      </c>
      <c r="O122" s="4">
        <v>1</v>
      </c>
      <c r="P122" s="4">
        <v>0</v>
      </c>
      <c r="Q122" s="4">
        <v>0</v>
      </c>
      <c r="R122" s="4">
        <v>0</v>
      </c>
    </row>
    <row r="123" spans="1:18" x14ac:dyDescent="0.2">
      <c r="A123" s="5" t="s">
        <v>220</v>
      </c>
      <c r="B123" s="22" t="s">
        <v>729</v>
      </c>
      <c r="C123" s="4" t="str">
        <f t="shared" si="2"/>
        <v>B2</v>
      </c>
      <c r="D123" s="4" t="str">
        <f t="shared" si="3"/>
        <v>B020</v>
      </c>
      <c r="E123" s="23">
        <v>1</v>
      </c>
      <c r="F123" s="23">
        <v>0</v>
      </c>
      <c r="G123" s="23">
        <v>0</v>
      </c>
      <c r="H123" s="23">
        <v>1</v>
      </c>
      <c r="I123" s="4">
        <v>1</v>
      </c>
      <c r="J123" s="4">
        <f>P123+Q123+R123+'PresenceAbsence kleine Plots'!C123</f>
        <v>1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0</v>
      </c>
      <c r="Q123" s="4">
        <v>0</v>
      </c>
      <c r="R123" s="4">
        <v>1</v>
      </c>
    </row>
    <row r="124" spans="1:18" x14ac:dyDescent="0.2">
      <c r="A124" s="5" t="s">
        <v>221</v>
      </c>
      <c r="B124" s="22" t="s">
        <v>534</v>
      </c>
      <c r="C124" s="4" t="str">
        <f t="shared" si="2"/>
        <v>B2</v>
      </c>
      <c r="D124" s="4" t="str">
        <f t="shared" si="3"/>
        <v>B021</v>
      </c>
      <c r="E124" s="23">
        <v>0</v>
      </c>
      <c r="F124" s="23">
        <v>1</v>
      </c>
      <c r="G124" s="23">
        <v>1</v>
      </c>
      <c r="H124" s="23">
        <v>0</v>
      </c>
      <c r="I124" s="4">
        <v>2</v>
      </c>
      <c r="J124" s="4">
        <f>P124+Q124+R124+'PresenceAbsence kleine Plots'!C124</f>
        <v>2</v>
      </c>
      <c r="K124" s="4">
        <v>1</v>
      </c>
      <c r="L124" s="4">
        <v>0</v>
      </c>
      <c r="M124" s="4">
        <v>1</v>
      </c>
      <c r="N124" s="4">
        <v>0</v>
      </c>
      <c r="O124" s="4">
        <v>1</v>
      </c>
      <c r="P124" s="4">
        <v>0</v>
      </c>
      <c r="Q124" s="4">
        <v>1</v>
      </c>
      <c r="R124" s="4">
        <v>0</v>
      </c>
    </row>
    <row r="125" spans="1:18" x14ac:dyDescent="0.2">
      <c r="A125" s="5" t="s">
        <v>222</v>
      </c>
      <c r="B125" s="22" t="s">
        <v>727</v>
      </c>
      <c r="C125" s="4" t="str">
        <f t="shared" si="2"/>
        <v>B2</v>
      </c>
      <c r="D125" s="4" t="str">
        <f t="shared" si="3"/>
        <v>B022</v>
      </c>
      <c r="E125" s="23">
        <v>1</v>
      </c>
      <c r="F125" s="23">
        <v>0</v>
      </c>
      <c r="G125" s="23">
        <v>0</v>
      </c>
      <c r="H125" s="23">
        <v>0</v>
      </c>
      <c r="I125" s="4">
        <v>1</v>
      </c>
      <c r="J125" s="4">
        <f>P125+Q125+R125+'PresenceAbsence kleine Plots'!C125</f>
        <v>1</v>
      </c>
      <c r="K125" s="4">
        <v>0</v>
      </c>
      <c r="L125" s="4">
        <v>0</v>
      </c>
      <c r="M125" s="4">
        <v>0</v>
      </c>
      <c r="N125" s="4">
        <v>1</v>
      </c>
      <c r="O125" s="4">
        <v>0</v>
      </c>
      <c r="P125" s="4">
        <v>0</v>
      </c>
      <c r="Q125" s="4">
        <v>0</v>
      </c>
      <c r="R125" s="4">
        <v>1</v>
      </c>
    </row>
    <row r="126" spans="1:18" x14ac:dyDescent="0.2">
      <c r="A126" s="5" t="s">
        <v>223</v>
      </c>
      <c r="B126" s="22" t="s">
        <v>779</v>
      </c>
      <c r="C126" s="4" t="str">
        <f t="shared" si="2"/>
        <v>B2</v>
      </c>
      <c r="D126" s="4" t="str">
        <f t="shared" si="3"/>
        <v>B023</v>
      </c>
      <c r="E126" s="23">
        <v>0</v>
      </c>
      <c r="F126" s="23">
        <v>0</v>
      </c>
      <c r="G126" s="23">
        <v>0</v>
      </c>
      <c r="H126" s="23">
        <v>1</v>
      </c>
      <c r="I126" s="4">
        <v>3</v>
      </c>
      <c r="J126" s="4">
        <v>3</v>
      </c>
      <c r="K126" s="4">
        <v>1</v>
      </c>
      <c r="L126" s="4">
        <v>0</v>
      </c>
      <c r="M126" s="4">
        <v>1</v>
      </c>
      <c r="N126" s="4">
        <v>1</v>
      </c>
      <c r="O126" s="4">
        <v>1</v>
      </c>
      <c r="P126" s="4">
        <v>0</v>
      </c>
      <c r="Q126" s="4">
        <v>1</v>
      </c>
      <c r="R126" s="4">
        <v>1</v>
      </c>
    </row>
    <row r="127" spans="1:18" x14ac:dyDescent="0.2">
      <c r="A127" s="5" t="s">
        <v>224</v>
      </c>
      <c r="B127" s="22" t="s">
        <v>780</v>
      </c>
      <c r="C127" s="4" t="str">
        <f t="shared" si="2"/>
        <v>B2</v>
      </c>
      <c r="D127" s="4" t="str">
        <f t="shared" si="3"/>
        <v>B024</v>
      </c>
      <c r="E127" s="23">
        <v>0</v>
      </c>
      <c r="F127" s="23">
        <v>0</v>
      </c>
      <c r="G127" s="23">
        <v>0</v>
      </c>
      <c r="H127" s="23">
        <v>1</v>
      </c>
      <c r="I127" s="4">
        <v>3</v>
      </c>
      <c r="J127" s="4">
        <v>2</v>
      </c>
      <c r="K127" s="4">
        <v>2</v>
      </c>
      <c r="L127" s="4">
        <v>0</v>
      </c>
      <c r="M127" s="4">
        <v>0</v>
      </c>
      <c r="N127" s="4">
        <v>1</v>
      </c>
      <c r="O127" s="4">
        <v>1</v>
      </c>
      <c r="P127" s="4">
        <v>0</v>
      </c>
      <c r="Q127" s="4">
        <v>0</v>
      </c>
      <c r="R127" s="4">
        <v>1</v>
      </c>
    </row>
    <row r="128" spans="1:18" x14ac:dyDescent="0.2">
      <c r="A128" s="5" t="s">
        <v>225</v>
      </c>
      <c r="B128" s="22" t="s">
        <v>762</v>
      </c>
      <c r="C128" s="4" t="str">
        <f t="shared" si="2"/>
        <v>B2</v>
      </c>
      <c r="D128" s="4" t="str">
        <f t="shared" si="3"/>
        <v>B025</v>
      </c>
      <c r="E128" s="23">
        <v>0</v>
      </c>
      <c r="F128" s="23">
        <v>0</v>
      </c>
      <c r="G128" s="23">
        <v>0</v>
      </c>
      <c r="H128" s="23">
        <v>1</v>
      </c>
      <c r="I128" s="4">
        <v>2</v>
      </c>
      <c r="J128" s="4">
        <v>2</v>
      </c>
      <c r="K128" s="4">
        <v>1</v>
      </c>
      <c r="L128" s="4">
        <v>0</v>
      </c>
      <c r="M128" s="4">
        <v>0</v>
      </c>
      <c r="N128" s="4">
        <v>1</v>
      </c>
      <c r="O128" s="4">
        <v>1</v>
      </c>
      <c r="P128" s="4">
        <v>0</v>
      </c>
      <c r="Q128" s="4">
        <v>0</v>
      </c>
      <c r="R128" s="4">
        <v>1</v>
      </c>
    </row>
    <row r="129" spans="1:18" x14ac:dyDescent="0.2">
      <c r="A129" s="5" t="s">
        <v>226</v>
      </c>
      <c r="B129" s="22" t="s">
        <v>747</v>
      </c>
      <c r="C129" s="4" t="str">
        <f t="shared" si="2"/>
        <v>B2</v>
      </c>
      <c r="D129" s="4" t="str">
        <f t="shared" si="3"/>
        <v>B026</v>
      </c>
      <c r="E129" s="23">
        <v>0</v>
      </c>
      <c r="F129" s="23">
        <v>0</v>
      </c>
      <c r="G129" s="23">
        <v>0</v>
      </c>
      <c r="H129" s="23">
        <v>1</v>
      </c>
      <c r="I129" s="4">
        <v>2</v>
      </c>
      <c r="J129" s="4">
        <f>P129+Q129+R129+'PresenceAbsence kleine Plots'!C129</f>
        <v>1</v>
      </c>
      <c r="K129" s="4">
        <v>2</v>
      </c>
      <c r="L129" s="4">
        <v>0</v>
      </c>
      <c r="M129" s="4">
        <v>0</v>
      </c>
      <c r="N129" s="4">
        <v>0</v>
      </c>
      <c r="O129" s="4">
        <v>1</v>
      </c>
      <c r="P129" s="4">
        <v>0</v>
      </c>
      <c r="Q129" s="4">
        <v>0</v>
      </c>
      <c r="R129" s="4">
        <v>0</v>
      </c>
    </row>
    <row r="130" spans="1:18" x14ac:dyDescent="0.2">
      <c r="A130" s="5" t="s">
        <v>227</v>
      </c>
      <c r="B130" s="22" t="s">
        <v>798</v>
      </c>
      <c r="C130" s="4" t="str">
        <f t="shared" ref="C130:C193" si="4">LEFT(A130,2)</f>
        <v>B2</v>
      </c>
      <c r="D130" s="4" t="str">
        <f t="shared" ref="D130:D193" si="5">RIGHT(A130,4)</f>
        <v>B027</v>
      </c>
      <c r="E130" s="23">
        <v>0</v>
      </c>
      <c r="F130" s="23">
        <v>0</v>
      </c>
      <c r="G130" s="23">
        <v>0</v>
      </c>
      <c r="H130" s="23">
        <v>1</v>
      </c>
      <c r="I130" s="4">
        <v>4</v>
      </c>
      <c r="J130" s="4">
        <v>2</v>
      </c>
      <c r="K130" s="4">
        <v>2</v>
      </c>
      <c r="L130" s="4">
        <v>0</v>
      </c>
      <c r="M130" s="4">
        <v>0</v>
      </c>
      <c r="N130" s="4">
        <v>2</v>
      </c>
      <c r="O130" s="4">
        <v>1</v>
      </c>
      <c r="P130" s="4">
        <v>0</v>
      </c>
      <c r="Q130" s="4">
        <v>0</v>
      </c>
      <c r="R130" s="4">
        <v>1</v>
      </c>
    </row>
    <row r="131" spans="1:18" x14ac:dyDescent="0.2">
      <c r="A131" s="5" t="s">
        <v>228</v>
      </c>
      <c r="B131" s="22" t="s">
        <v>559</v>
      </c>
      <c r="C131" s="4" t="str">
        <f t="shared" si="4"/>
        <v>B2</v>
      </c>
      <c r="D131" s="4" t="str">
        <f t="shared" si="5"/>
        <v>B028</v>
      </c>
      <c r="E131" s="23">
        <v>1</v>
      </c>
      <c r="F131" s="23">
        <v>1</v>
      </c>
      <c r="G131" s="23">
        <v>1</v>
      </c>
      <c r="H131" s="23">
        <v>0</v>
      </c>
      <c r="I131" s="4">
        <v>1</v>
      </c>
      <c r="J131" s="4">
        <f>P131+Q131+R131+'PresenceAbsence kleine Plots'!C131</f>
        <v>1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1</v>
      </c>
      <c r="R131" s="4">
        <v>0</v>
      </c>
    </row>
    <row r="132" spans="1:18" x14ac:dyDescent="0.2">
      <c r="A132" s="5" t="s">
        <v>229</v>
      </c>
      <c r="B132" s="22" t="s">
        <v>708</v>
      </c>
      <c r="C132" s="4" t="str">
        <f t="shared" si="4"/>
        <v>B2</v>
      </c>
      <c r="D132" s="4" t="str">
        <f t="shared" si="5"/>
        <v>B029</v>
      </c>
      <c r="E132" s="23">
        <v>1</v>
      </c>
      <c r="F132" s="23">
        <v>0</v>
      </c>
      <c r="G132" s="23">
        <v>0</v>
      </c>
      <c r="H132" s="23">
        <v>0</v>
      </c>
      <c r="I132" s="4">
        <v>1</v>
      </c>
      <c r="J132" s="4">
        <v>1</v>
      </c>
      <c r="K132" s="4">
        <v>1</v>
      </c>
      <c r="L132" s="4">
        <v>0</v>
      </c>
      <c r="M132" s="4">
        <v>0</v>
      </c>
      <c r="N132" s="4">
        <v>0</v>
      </c>
      <c r="O132" s="4">
        <v>1</v>
      </c>
      <c r="P132" s="4">
        <v>0</v>
      </c>
      <c r="Q132" s="4">
        <v>0</v>
      </c>
      <c r="R132" s="4">
        <v>0</v>
      </c>
    </row>
    <row r="133" spans="1:18" x14ac:dyDescent="0.2">
      <c r="A133" s="5" t="s">
        <v>230</v>
      </c>
      <c r="B133" s="22" t="s">
        <v>676</v>
      </c>
      <c r="C133" s="4" t="str">
        <f t="shared" si="4"/>
        <v>B2</v>
      </c>
      <c r="D133" s="4" t="str">
        <f t="shared" si="5"/>
        <v>B030</v>
      </c>
      <c r="E133" s="23">
        <v>0</v>
      </c>
      <c r="F133" s="23">
        <v>0</v>
      </c>
      <c r="G133" s="23">
        <v>0</v>
      </c>
      <c r="H133" s="23">
        <v>0</v>
      </c>
      <c r="I133" s="4">
        <v>0</v>
      </c>
      <c r="J133" s="4">
        <f>P133+Q133+R133+'PresenceAbsence kleine Plots'!C133</f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1:18" x14ac:dyDescent="0.2">
      <c r="A134" s="5" t="s">
        <v>231</v>
      </c>
      <c r="B134" s="22" t="s">
        <v>598</v>
      </c>
      <c r="C134" s="4" t="str">
        <f t="shared" si="4"/>
        <v>B2</v>
      </c>
      <c r="D134" s="4" t="str">
        <f t="shared" si="5"/>
        <v>B031</v>
      </c>
      <c r="E134" s="23">
        <v>0</v>
      </c>
      <c r="F134" s="23">
        <v>1</v>
      </c>
      <c r="G134" s="23">
        <v>0</v>
      </c>
      <c r="H134" s="23">
        <v>0</v>
      </c>
      <c r="I134" s="4">
        <v>0</v>
      </c>
      <c r="J134" s="4">
        <f>P134+Q134+R134+'PresenceAbsence kleine Plots'!C134</f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</row>
    <row r="135" spans="1:18" x14ac:dyDescent="0.2">
      <c r="A135" s="5" t="s">
        <v>232</v>
      </c>
      <c r="B135" s="22" t="s">
        <v>808</v>
      </c>
      <c r="C135" s="4" t="str">
        <f t="shared" si="4"/>
        <v>B2</v>
      </c>
      <c r="D135" s="4" t="str">
        <f t="shared" si="5"/>
        <v>B032</v>
      </c>
      <c r="E135" s="23">
        <v>0</v>
      </c>
      <c r="F135" s="23">
        <v>0</v>
      </c>
      <c r="G135" s="23">
        <v>0</v>
      </c>
      <c r="H135" s="23">
        <v>1</v>
      </c>
      <c r="I135" s="4">
        <v>3</v>
      </c>
      <c r="J135" s="4">
        <v>2</v>
      </c>
      <c r="K135" s="4">
        <v>2</v>
      </c>
      <c r="L135" s="4">
        <v>0</v>
      </c>
      <c r="M135" s="4">
        <v>1</v>
      </c>
      <c r="N135" s="4">
        <v>0</v>
      </c>
      <c r="O135" s="4">
        <v>1</v>
      </c>
      <c r="P135" s="4">
        <v>0</v>
      </c>
      <c r="Q135" s="4">
        <v>1</v>
      </c>
      <c r="R135" s="4">
        <v>0</v>
      </c>
    </row>
    <row r="136" spans="1:18" x14ac:dyDescent="0.2">
      <c r="A136" s="5" t="s">
        <v>233</v>
      </c>
      <c r="B136" s="22" t="s">
        <v>599</v>
      </c>
      <c r="C136" s="4" t="str">
        <f t="shared" si="4"/>
        <v>B2</v>
      </c>
      <c r="D136" s="4" t="str">
        <f t="shared" si="5"/>
        <v>B033</v>
      </c>
      <c r="E136" s="23">
        <v>0</v>
      </c>
      <c r="F136" s="23">
        <v>1</v>
      </c>
      <c r="G136" s="23">
        <v>0</v>
      </c>
      <c r="H136" s="23">
        <v>0</v>
      </c>
      <c r="I136" s="4">
        <v>0</v>
      </c>
      <c r="J136" s="4">
        <f>P136+Q136+R136+'PresenceAbsence kleine Plots'!C136</f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1:18" x14ac:dyDescent="0.2">
      <c r="A137" s="5" t="s">
        <v>234</v>
      </c>
      <c r="B137" s="22" t="s">
        <v>556</v>
      </c>
      <c r="C137" s="4" t="str">
        <f t="shared" si="4"/>
        <v>B2</v>
      </c>
      <c r="D137" s="4" t="str">
        <f t="shared" si="5"/>
        <v>B034</v>
      </c>
      <c r="E137" s="23">
        <v>0</v>
      </c>
      <c r="F137" s="23">
        <v>1</v>
      </c>
      <c r="G137" s="23">
        <v>1</v>
      </c>
      <c r="H137" s="23">
        <v>0</v>
      </c>
      <c r="I137" s="4">
        <v>2</v>
      </c>
      <c r="J137" s="4">
        <f>P137+Q137+R137+'PresenceAbsence kleine Plots'!C137</f>
        <v>2</v>
      </c>
      <c r="K137" s="4">
        <v>0</v>
      </c>
      <c r="L137" s="4">
        <v>1</v>
      </c>
      <c r="M137" s="4">
        <v>0</v>
      </c>
      <c r="N137" s="4">
        <v>1</v>
      </c>
      <c r="O137" s="4">
        <v>0</v>
      </c>
      <c r="P137" s="4">
        <v>1</v>
      </c>
      <c r="Q137" s="4">
        <v>0</v>
      </c>
      <c r="R137" s="4">
        <v>1</v>
      </c>
    </row>
    <row r="138" spans="1:18" x14ac:dyDescent="0.2">
      <c r="A138" s="5" t="s">
        <v>235</v>
      </c>
      <c r="B138" s="22" t="s">
        <v>748</v>
      </c>
      <c r="C138" s="4" t="str">
        <f t="shared" si="4"/>
        <v>B2</v>
      </c>
      <c r="D138" s="4" t="str">
        <f t="shared" si="5"/>
        <v>B035</v>
      </c>
      <c r="E138" s="23">
        <v>0</v>
      </c>
      <c r="F138" s="23">
        <v>0</v>
      </c>
      <c r="G138" s="23">
        <v>0</v>
      </c>
      <c r="H138" s="23">
        <v>1</v>
      </c>
      <c r="I138" s="4">
        <v>2</v>
      </c>
      <c r="J138" s="4">
        <v>2</v>
      </c>
      <c r="K138" s="4">
        <v>1</v>
      </c>
      <c r="L138" s="4">
        <v>0</v>
      </c>
      <c r="M138" s="4">
        <v>1</v>
      </c>
      <c r="N138" s="4">
        <v>0</v>
      </c>
      <c r="O138" s="4">
        <v>1</v>
      </c>
      <c r="P138" s="4">
        <v>0</v>
      </c>
      <c r="Q138" s="4">
        <v>1</v>
      </c>
      <c r="R138" s="4">
        <v>0</v>
      </c>
    </row>
    <row r="139" spans="1:18" x14ac:dyDescent="0.2">
      <c r="A139" s="5" t="s">
        <v>236</v>
      </c>
      <c r="B139" s="22" t="s">
        <v>688</v>
      </c>
      <c r="C139" s="4" t="str">
        <f t="shared" si="4"/>
        <v>B2</v>
      </c>
      <c r="D139" s="4" t="str">
        <f t="shared" si="5"/>
        <v>B036</v>
      </c>
      <c r="E139" s="23">
        <v>0</v>
      </c>
      <c r="F139" s="23">
        <v>0</v>
      </c>
      <c r="G139" s="23">
        <v>0</v>
      </c>
      <c r="H139" s="23">
        <v>1</v>
      </c>
      <c r="I139" s="4">
        <v>6</v>
      </c>
      <c r="J139" s="4">
        <v>3</v>
      </c>
      <c r="K139" s="4">
        <v>3</v>
      </c>
      <c r="L139" s="4">
        <v>0</v>
      </c>
      <c r="M139" s="4">
        <v>1</v>
      </c>
      <c r="N139" s="4">
        <v>2</v>
      </c>
      <c r="O139" s="4">
        <v>1</v>
      </c>
      <c r="P139" s="4">
        <v>0</v>
      </c>
      <c r="Q139" s="4">
        <v>1</v>
      </c>
      <c r="R139" s="4">
        <v>1</v>
      </c>
    </row>
    <row r="140" spans="1:18" x14ac:dyDescent="0.2">
      <c r="A140" s="5" t="s">
        <v>237</v>
      </c>
      <c r="B140" s="22" t="s">
        <v>717</v>
      </c>
      <c r="C140" s="4" t="str">
        <f t="shared" si="4"/>
        <v>B2</v>
      </c>
      <c r="D140" s="4" t="str">
        <f t="shared" si="5"/>
        <v>B037</v>
      </c>
      <c r="E140" s="23">
        <v>1</v>
      </c>
      <c r="F140" s="23">
        <v>0</v>
      </c>
      <c r="G140" s="23">
        <v>0</v>
      </c>
      <c r="H140" s="23">
        <v>0</v>
      </c>
      <c r="I140" s="4">
        <v>1</v>
      </c>
      <c r="J140" s="4">
        <f>P140+Q140+R140+'PresenceAbsence kleine Plots'!C140</f>
        <v>1</v>
      </c>
      <c r="K140" s="4">
        <v>0</v>
      </c>
      <c r="L140" s="4">
        <v>1</v>
      </c>
      <c r="M140" s="4">
        <v>0</v>
      </c>
      <c r="N140" s="4">
        <v>0</v>
      </c>
      <c r="O140" s="4">
        <v>0</v>
      </c>
      <c r="P140" s="4">
        <v>1</v>
      </c>
      <c r="Q140" s="4">
        <v>0</v>
      </c>
      <c r="R140" s="4">
        <v>0</v>
      </c>
    </row>
    <row r="141" spans="1:18" x14ac:dyDescent="0.2">
      <c r="A141" s="5" t="s">
        <v>238</v>
      </c>
      <c r="B141" s="22" t="s">
        <v>707</v>
      </c>
      <c r="C141" s="4" t="str">
        <f t="shared" si="4"/>
        <v>B2</v>
      </c>
      <c r="D141" s="4" t="str">
        <f t="shared" si="5"/>
        <v>B038</v>
      </c>
      <c r="E141" s="23">
        <v>1</v>
      </c>
      <c r="F141" s="23">
        <v>0</v>
      </c>
      <c r="G141" s="23">
        <v>0</v>
      </c>
      <c r="H141" s="23">
        <v>0</v>
      </c>
      <c r="I141" s="4">
        <v>1</v>
      </c>
      <c r="J141" s="4">
        <f>P141+Q141+R141+'PresenceAbsence kleine Plots'!C141</f>
        <v>1</v>
      </c>
      <c r="K141" s="4">
        <v>0</v>
      </c>
      <c r="L141" s="4">
        <v>0</v>
      </c>
      <c r="M141" s="4">
        <v>1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</row>
    <row r="142" spans="1:18" x14ac:dyDescent="0.2">
      <c r="A142" s="5" t="s">
        <v>239</v>
      </c>
      <c r="B142" s="22" t="s">
        <v>802</v>
      </c>
      <c r="C142" s="4" t="str">
        <f t="shared" si="4"/>
        <v>B2</v>
      </c>
      <c r="D142" s="4" t="str">
        <f t="shared" si="5"/>
        <v>B039</v>
      </c>
      <c r="E142" s="23">
        <v>0</v>
      </c>
      <c r="F142" s="23">
        <v>0</v>
      </c>
      <c r="G142" s="23">
        <v>0</v>
      </c>
      <c r="H142" s="23">
        <v>1</v>
      </c>
      <c r="I142" s="4">
        <v>3</v>
      </c>
      <c r="J142" s="4">
        <f>P142+Q142+R142+'PresenceAbsence kleine Plots'!C142</f>
        <v>2</v>
      </c>
      <c r="K142" s="4">
        <v>2</v>
      </c>
      <c r="L142" s="4">
        <v>0</v>
      </c>
      <c r="M142" s="4">
        <v>1</v>
      </c>
      <c r="N142" s="4">
        <v>0</v>
      </c>
      <c r="O142" s="4">
        <v>1</v>
      </c>
      <c r="P142" s="4">
        <v>0</v>
      </c>
      <c r="Q142" s="4">
        <v>1</v>
      </c>
      <c r="R142" s="4">
        <v>0</v>
      </c>
    </row>
    <row r="143" spans="1:18" x14ac:dyDescent="0.2">
      <c r="A143" s="5" t="s">
        <v>240</v>
      </c>
      <c r="B143" s="22" t="s">
        <v>794</v>
      </c>
      <c r="C143" s="4" t="str">
        <f t="shared" si="4"/>
        <v>B2</v>
      </c>
      <c r="D143" s="4" t="str">
        <f t="shared" si="5"/>
        <v>B040</v>
      </c>
      <c r="E143" s="23">
        <v>0</v>
      </c>
      <c r="F143" s="23">
        <v>0</v>
      </c>
      <c r="G143" s="23">
        <v>0</v>
      </c>
      <c r="H143" s="23">
        <v>1</v>
      </c>
      <c r="I143" s="4">
        <v>4</v>
      </c>
      <c r="J143" s="4">
        <v>3</v>
      </c>
      <c r="K143" s="4">
        <v>2</v>
      </c>
      <c r="L143" s="4">
        <v>0</v>
      </c>
      <c r="M143" s="4">
        <v>1</v>
      </c>
      <c r="N143" s="4">
        <v>1</v>
      </c>
      <c r="O143" s="4">
        <v>1</v>
      </c>
      <c r="P143" s="4">
        <v>0</v>
      </c>
      <c r="Q143" s="4">
        <v>1</v>
      </c>
      <c r="R143" s="4">
        <v>1</v>
      </c>
    </row>
    <row r="144" spans="1:18" x14ac:dyDescent="0.2">
      <c r="A144" s="5" t="s">
        <v>241</v>
      </c>
      <c r="B144" s="22" t="s">
        <v>580</v>
      </c>
      <c r="C144" s="4" t="str">
        <f t="shared" si="4"/>
        <v>B2</v>
      </c>
      <c r="D144" s="4" t="str">
        <f t="shared" si="5"/>
        <v>B041</v>
      </c>
      <c r="E144" s="23">
        <v>1</v>
      </c>
      <c r="F144" s="23">
        <v>1</v>
      </c>
      <c r="G144" s="23">
        <v>0</v>
      </c>
      <c r="H144" s="23">
        <v>0</v>
      </c>
      <c r="I144" s="4">
        <v>1</v>
      </c>
      <c r="J144" s="4">
        <f>P144+Q144+R144+'PresenceAbsence kleine Plots'!C144</f>
        <v>1</v>
      </c>
      <c r="K144" s="4">
        <v>0</v>
      </c>
      <c r="L144" s="4">
        <v>1</v>
      </c>
      <c r="M144" s="4">
        <v>0</v>
      </c>
      <c r="N144" s="4">
        <v>0</v>
      </c>
      <c r="O144" s="4">
        <v>0</v>
      </c>
      <c r="P144" s="4">
        <v>1</v>
      </c>
      <c r="Q144" s="4">
        <v>0</v>
      </c>
      <c r="R144" s="4">
        <v>0</v>
      </c>
    </row>
    <row r="145" spans="1:18" x14ac:dyDescent="0.2">
      <c r="A145" s="5" t="s">
        <v>242</v>
      </c>
      <c r="B145" s="22" t="s">
        <v>565</v>
      </c>
      <c r="C145" s="4" t="str">
        <f t="shared" si="4"/>
        <v>B2</v>
      </c>
      <c r="D145" s="4" t="str">
        <f t="shared" si="5"/>
        <v>B042</v>
      </c>
      <c r="E145" s="23">
        <v>0</v>
      </c>
      <c r="F145" s="23">
        <v>1</v>
      </c>
      <c r="G145" s="23">
        <v>1</v>
      </c>
      <c r="H145" s="23">
        <v>0</v>
      </c>
      <c r="I145" s="4">
        <v>8</v>
      </c>
      <c r="J145" s="4">
        <v>4</v>
      </c>
      <c r="K145" s="4">
        <v>2</v>
      </c>
      <c r="L145" s="4">
        <v>2</v>
      </c>
      <c r="M145" s="4">
        <v>2</v>
      </c>
      <c r="N145" s="4">
        <v>2</v>
      </c>
      <c r="O145" s="4">
        <v>1</v>
      </c>
      <c r="P145" s="4">
        <v>1</v>
      </c>
      <c r="Q145" s="4">
        <v>1</v>
      </c>
      <c r="R145" s="4">
        <v>1</v>
      </c>
    </row>
    <row r="146" spans="1:18" x14ac:dyDescent="0.2">
      <c r="A146" s="5" t="s">
        <v>243</v>
      </c>
      <c r="B146" s="22" t="s">
        <v>716</v>
      </c>
      <c r="C146" s="4" t="str">
        <f t="shared" si="4"/>
        <v>B2</v>
      </c>
      <c r="D146" s="4" t="str">
        <f t="shared" si="5"/>
        <v>B043</v>
      </c>
      <c r="E146" s="23">
        <v>1</v>
      </c>
      <c r="F146" s="23">
        <v>0</v>
      </c>
      <c r="G146" s="23">
        <v>0</v>
      </c>
      <c r="H146" s="23">
        <v>1</v>
      </c>
      <c r="I146" s="4">
        <v>1</v>
      </c>
      <c r="J146" s="4">
        <v>1</v>
      </c>
      <c r="K146" s="4">
        <v>1</v>
      </c>
      <c r="L146" s="4">
        <v>0</v>
      </c>
      <c r="M146" s="4">
        <v>0</v>
      </c>
      <c r="N146" s="4">
        <v>0</v>
      </c>
      <c r="O146" s="4">
        <v>1</v>
      </c>
      <c r="P146" s="4">
        <v>0</v>
      </c>
      <c r="Q146" s="4">
        <v>0</v>
      </c>
      <c r="R146" s="4">
        <v>0</v>
      </c>
    </row>
    <row r="147" spans="1:18" x14ac:dyDescent="0.2">
      <c r="A147" s="5" t="s">
        <v>244</v>
      </c>
      <c r="B147" s="22" t="s">
        <v>775</v>
      </c>
      <c r="C147" s="4" t="str">
        <f t="shared" si="4"/>
        <v>B2</v>
      </c>
      <c r="D147" s="4" t="str">
        <f t="shared" si="5"/>
        <v>B044</v>
      </c>
      <c r="E147" s="23">
        <v>0</v>
      </c>
      <c r="F147" s="23">
        <v>0</v>
      </c>
      <c r="G147" s="23">
        <v>0</v>
      </c>
      <c r="H147" s="23">
        <v>1</v>
      </c>
      <c r="I147" s="4">
        <v>3</v>
      </c>
      <c r="J147" s="4">
        <f>P147+Q147+R147+'PresenceAbsence kleine Plots'!C147</f>
        <v>3</v>
      </c>
      <c r="K147" s="4">
        <v>1</v>
      </c>
      <c r="L147" s="4">
        <v>0</v>
      </c>
      <c r="M147" s="4">
        <v>1</v>
      </c>
      <c r="N147" s="4">
        <v>1</v>
      </c>
      <c r="O147" s="4">
        <v>1</v>
      </c>
      <c r="P147" s="4">
        <v>0</v>
      </c>
      <c r="Q147" s="4">
        <v>1</v>
      </c>
      <c r="R147" s="4">
        <v>1</v>
      </c>
    </row>
    <row r="148" spans="1:18" x14ac:dyDescent="0.2">
      <c r="A148" s="5" t="s">
        <v>245</v>
      </c>
      <c r="B148" s="22" t="s">
        <v>721</v>
      </c>
      <c r="C148" s="4" t="str">
        <f t="shared" si="4"/>
        <v>B2</v>
      </c>
      <c r="D148" s="4" t="str">
        <f t="shared" si="5"/>
        <v>B045</v>
      </c>
      <c r="E148" s="23">
        <v>1</v>
      </c>
      <c r="F148" s="23">
        <v>0</v>
      </c>
      <c r="G148" s="23">
        <v>0</v>
      </c>
      <c r="H148" s="23">
        <v>0</v>
      </c>
      <c r="I148" s="4">
        <v>1</v>
      </c>
      <c r="J148" s="4">
        <f>P148+Q148+R148+'PresenceAbsence kleine Plots'!C148</f>
        <v>1</v>
      </c>
      <c r="K148" s="4">
        <v>0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1</v>
      </c>
      <c r="R148" s="4">
        <v>0</v>
      </c>
    </row>
    <row r="149" spans="1:18" x14ac:dyDescent="0.2">
      <c r="A149" s="5" t="s">
        <v>246</v>
      </c>
      <c r="B149" s="22" t="s">
        <v>778</v>
      </c>
      <c r="C149" s="4" t="str">
        <f t="shared" si="4"/>
        <v>B2</v>
      </c>
      <c r="D149" s="4" t="str">
        <f t="shared" si="5"/>
        <v>B046</v>
      </c>
      <c r="E149" s="23">
        <v>0</v>
      </c>
      <c r="F149" s="23">
        <v>0</v>
      </c>
      <c r="G149" s="23">
        <v>0</v>
      </c>
      <c r="H149" s="23">
        <v>1</v>
      </c>
      <c r="I149" s="4">
        <v>3</v>
      </c>
      <c r="J149" s="4">
        <f>P149+Q149+R149+'PresenceAbsence kleine Plots'!C149</f>
        <v>2</v>
      </c>
      <c r="K149" s="4">
        <v>0</v>
      </c>
      <c r="L149" s="4">
        <v>0</v>
      </c>
      <c r="M149" s="4">
        <v>2</v>
      </c>
      <c r="N149" s="4">
        <v>1</v>
      </c>
      <c r="O149" s="4">
        <v>0</v>
      </c>
      <c r="P149" s="4">
        <v>0</v>
      </c>
      <c r="Q149" s="4">
        <v>1</v>
      </c>
      <c r="R149" s="4">
        <v>1</v>
      </c>
    </row>
    <row r="150" spans="1:18" x14ac:dyDescent="0.2">
      <c r="A150" s="5" t="s">
        <v>247</v>
      </c>
      <c r="B150" s="22" t="s">
        <v>712</v>
      </c>
      <c r="C150" s="4" t="str">
        <f t="shared" si="4"/>
        <v>B2</v>
      </c>
      <c r="D150" s="4" t="str">
        <f t="shared" si="5"/>
        <v>B047</v>
      </c>
      <c r="E150" s="23">
        <v>1</v>
      </c>
      <c r="F150" s="23">
        <v>0</v>
      </c>
      <c r="G150" s="23">
        <v>0</v>
      </c>
      <c r="H150" s="23">
        <v>0</v>
      </c>
      <c r="I150" s="4">
        <v>1</v>
      </c>
      <c r="J150" s="4">
        <f>P150+Q150+R150+'PresenceAbsence kleine Plots'!C150</f>
        <v>1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0</v>
      </c>
      <c r="Q150" s="4">
        <v>1</v>
      </c>
      <c r="R150" s="4">
        <v>0</v>
      </c>
    </row>
    <row r="151" spans="1:18" x14ac:dyDescent="0.2">
      <c r="A151" s="5" t="s">
        <v>248</v>
      </c>
      <c r="B151" s="22" t="s">
        <v>536</v>
      </c>
      <c r="C151" s="4" t="str">
        <f t="shared" si="4"/>
        <v>B2</v>
      </c>
      <c r="D151" s="4" t="str">
        <f t="shared" si="5"/>
        <v>B048</v>
      </c>
      <c r="E151" s="23">
        <v>0</v>
      </c>
      <c r="F151" s="23">
        <v>1</v>
      </c>
      <c r="G151" s="23">
        <v>1</v>
      </c>
      <c r="H151" s="23">
        <v>0</v>
      </c>
      <c r="I151" s="4">
        <v>4</v>
      </c>
      <c r="J151" s="4">
        <v>3</v>
      </c>
      <c r="K151" s="4">
        <v>2</v>
      </c>
      <c r="L151" s="4">
        <v>1</v>
      </c>
      <c r="M151" s="4">
        <v>1</v>
      </c>
      <c r="N151" s="4">
        <v>0</v>
      </c>
      <c r="O151" s="4">
        <v>1</v>
      </c>
      <c r="P151" s="4">
        <v>1</v>
      </c>
      <c r="Q151" s="4">
        <v>1</v>
      </c>
      <c r="R151" s="4">
        <v>0</v>
      </c>
    </row>
    <row r="152" spans="1:18" x14ac:dyDescent="0.2">
      <c r="A152" s="5" t="s">
        <v>249</v>
      </c>
      <c r="B152" s="22" t="s">
        <v>586</v>
      </c>
      <c r="C152" s="4" t="str">
        <f t="shared" si="4"/>
        <v>B2</v>
      </c>
      <c r="D152" s="4" t="str">
        <f t="shared" si="5"/>
        <v>B049</v>
      </c>
      <c r="E152" s="23">
        <v>0</v>
      </c>
      <c r="F152" s="23">
        <v>1</v>
      </c>
      <c r="G152" s="23">
        <v>1</v>
      </c>
      <c r="H152" s="23">
        <v>0</v>
      </c>
      <c r="I152" s="4">
        <v>8</v>
      </c>
      <c r="J152" s="4">
        <v>3</v>
      </c>
      <c r="K152" s="4">
        <v>2</v>
      </c>
      <c r="L152" s="4">
        <v>3</v>
      </c>
      <c r="M152" s="4">
        <v>3</v>
      </c>
      <c r="N152" s="4">
        <v>0</v>
      </c>
      <c r="O152" s="4">
        <v>1</v>
      </c>
      <c r="P152" s="4">
        <v>1</v>
      </c>
      <c r="Q152" s="4">
        <v>1</v>
      </c>
      <c r="R152" s="4">
        <v>0</v>
      </c>
    </row>
    <row r="153" spans="1:18" x14ac:dyDescent="0.2">
      <c r="A153" s="5" t="s">
        <v>250</v>
      </c>
      <c r="B153" s="22" t="s">
        <v>577</v>
      </c>
      <c r="C153" s="4" t="str">
        <f t="shared" si="4"/>
        <v>B2</v>
      </c>
      <c r="D153" s="4" t="str">
        <f t="shared" si="5"/>
        <v>B050</v>
      </c>
      <c r="E153" s="23">
        <v>0</v>
      </c>
      <c r="F153" s="23">
        <v>1</v>
      </c>
      <c r="G153" s="23">
        <v>1</v>
      </c>
      <c r="H153" s="23">
        <v>0</v>
      </c>
      <c r="I153" s="4">
        <v>4</v>
      </c>
      <c r="J153" s="4">
        <v>4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</row>
    <row r="154" spans="1:18" x14ac:dyDescent="0.2">
      <c r="A154" s="5" t="s">
        <v>251</v>
      </c>
      <c r="B154" s="22" t="s">
        <v>768</v>
      </c>
      <c r="C154" s="4" t="str">
        <f t="shared" si="4"/>
        <v>B2</v>
      </c>
      <c r="D154" s="4" t="str">
        <f t="shared" si="5"/>
        <v>B051</v>
      </c>
      <c r="E154" s="23">
        <v>0</v>
      </c>
      <c r="F154" s="23">
        <v>0</v>
      </c>
      <c r="G154" s="23">
        <v>0</v>
      </c>
      <c r="H154" s="23">
        <v>1</v>
      </c>
      <c r="I154" s="4">
        <v>3</v>
      </c>
      <c r="J154" s="4">
        <v>1</v>
      </c>
      <c r="K154" s="4">
        <v>3</v>
      </c>
      <c r="L154" s="4">
        <v>0</v>
      </c>
      <c r="M154" s="4">
        <v>0</v>
      </c>
      <c r="N154" s="4">
        <v>0</v>
      </c>
      <c r="O154" s="4">
        <v>1</v>
      </c>
      <c r="P154" s="4">
        <v>0</v>
      </c>
      <c r="Q154" s="4">
        <v>0</v>
      </c>
      <c r="R154" s="4">
        <v>0</v>
      </c>
    </row>
    <row r="155" spans="1:18" x14ac:dyDescent="0.2">
      <c r="A155" s="5" t="s">
        <v>252</v>
      </c>
      <c r="B155" s="22" t="s">
        <v>671</v>
      </c>
      <c r="C155" s="4" t="str">
        <f t="shared" si="4"/>
        <v>B2</v>
      </c>
      <c r="D155" s="4" t="str">
        <f t="shared" si="5"/>
        <v>B052</v>
      </c>
      <c r="E155" s="23">
        <v>1</v>
      </c>
      <c r="F155" s="23">
        <v>0</v>
      </c>
      <c r="G155" s="23">
        <v>0</v>
      </c>
      <c r="H155" s="23">
        <v>0</v>
      </c>
      <c r="I155" s="4">
        <v>1</v>
      </c>
      <c r="J155" s="4">
        <f>P155+Q155+R155+'PresenceAbsence kleine Plots'!C155</f>
        <v>1</v>
      </c>
      <c r="K155" s="4">
        <v>0</v>
      </c>
      <c r="L155" s="4">
        <v>0</v>
      </c>
      <c r="M155" s="4">
        <v>1</v>
      </c>
      <c r="N155" s="4">
        <v>0</v>
      </c>
      <c r="O155" s="4">
        <v>0</v>
      </c>
      <c r="P155" s="4">
        <v>0</v>
      </c>
      <c r="Q155" s="4">
        <v>1</v>
      </c>
      <c r="R155" s="4">
        <v>0</v>
      </c>
    </row>
    <row r="156" spans="1:18" x14ac:dyDescent="0.2">
      <c r="A156" s="5" t="s">
        <v>253</v>
      </c>
      <c r="B156" s="22" t="s">
        <v>745</v>
      </c>
      <c r="C156" s="4" t="str">
        <f t="shared" si="4"/>
        <v>B2</v>
      </c>
      <c r="D156" s="4" t="str">
        <f t="shared" si="5"/>
        <v>B053</v>
      </c>
      <c r="E156" s="23">
        <v>0</v>
      </c>
      <c r="F156" s="23">
        <v>0</v>
      </c>
      <c r="G156" s="23">
        <v>0</v>
      </c>
      <c r="H156" s="23">
        <v>1</v>
      </c>
      <c r="I156" s="4">
        <v>2</v>
      </c>
      <c r="J156" s="4">
        <v>1</v>
      </c>
      <c r="K156" s="4">
        <v>2</v>
      </c>
      <c r="L156" s="4">
        <v>0</v>
      </c>
      <c r="M156" s="4">
        <v>0</v>
      </c>
      <c r="N156" s="4">
        <v>0</v>
      </c>
      <c r="O156" s="4">
        <v>1</v>
      </c>
      <c r="P156" s="4">
        <v>0</v>
      </c>
      <c r="Q156" s="4">
        <v>0</v>
      </c>
      <c r="R156" s="4">
        <v>0</v>
      </c>
    </row>
    <row r="157" spans="1:18" x14ac:dyDescent="0.2">
      <c r="A157" s="5" t="s">
        <v>254</v>
      </c>
      <c r="B157" s="22" t="s">
        <v>787</v>
      </c>
      <c r="C157" s="4" t="str">
        <f t="shared" si="4"/>
        <v>B2</v>
      </c>
      <c r="D157" s="4" t="str">
        <f t="shared" si="5"/>
        <v>B054</v>
      </c>
      <c r="E157" s="23">
        <v>0</v>
      </c>
      <c r="F157" s="23">
        <v>0</v>
      </c>
      <c r="G157" s="23">
        <v>0</v>
      </c>
      <c r="H157" s="23">
        <v>1</v>
      </c>
      <c r="I157" s="4">
        <v>4</v>
      </c>
      <c r="J157" s="4">
        <v>2</v>
      </c>
      <c r="K157" s="4">
        <v>3</v>
      </c>
      <c r="L157" s="4">
        <v>0</v>
      </c>
      <c r="M157" s="4">
        <v>1</v>
      </c>
      <c r="N157" s="4">
        <v>0</v>
      </c>
      <c r="O157" s="4">
        <v>1</v>
      </c>
      <c r="P157" s="4">
        <v>0</v>
      </c>
      <c r="Q157" s="4">
        <v>1</v>
      </c>
      <c r="R157" s="4">
        <v>0</v>
      </c>
    </row>
    <row r="158" spans="1:18" x14ac:dyDescent="0.2">
      <c r="A158" s="5" t="s">
        <v>255</v>
      </c>
      <c r="B158" s="22" t="s">
        <v>679</v>
      </c>
      <c r="C158" s="4" t="str">
        <f t="shared" si="4"/>
        <v>B2</v>
      </c>
      <c r="D158" s="4" t="str">
        <f t="shared" si="5"/>
        <v>B055</v>
      </c>
      <c r="E158" s="23">
        <v>0</v>
      </c>
      <c r="F158" s="23">
        <v>0</v>
      </c>
      <c r="G158" s="23">
        <v>0</v>
      </c>
      <c r="H158" s="23">
        <v>1</v>
      </c>
      <c r="I158" s="4">
        <v>6</v>
      </c>
      <c r="J158" s="4">
        <f>P158+Q158+R158+'PresenceAbsence kleine Plots'!C158</f>
        <v>3</v>
      </c>
      <c r="K158" s="4">
        <v>3</v>
      </c>
      <c r="L158" s="4">
        <v>0</v>
      </c>
      <c r="M158" s="4">
        <v>2</v>
      </c>
      <c r="N158" s="4">
        <v>1</v>
      </c>
      <c r="O158" s="4">
        <v>1</v>
      </c>
      <c r="P158" s="4">
        <v>0</v>
      </c>
      <c r="Q158" s="4">
        <v>1</v>
      </c>
      <c r="R158" s="4">
        <v>1</v>
      </c>
    </row>
    <row r="159" spans="1:18" x14ac:dyDescent="0.2">
      <c r="A159" s="5" t="s">
        <v>256</v>
      </c>
      <c r="B159" s="22" t="s">
        <v>575</v>
      </c>
      <c r="C159" s="4" t="str">
        <f t="shared" si="4"/>
        <v>B2</v>
      </c>
      <c r="D159" s="4" t="str">
        <f t="shared" si="5"/>
        <v>B056</v>
      </c>
      <c r="E159" s="23">
        <v>0</v>
      </c>
      <c r="F159" s="23">
        <v>1</v>
      </c>
      <c r="G159" s="23">
        <v>1</v>
      </c>
      <c r="H159" s="23">
        <v>0</v>
      </c>
      <c r="I159" s="4">
        <v>2</v>
      </c>
      <c r="J159" s="4">
        <f>P159+Q159+R159+'PresenceAbsence kleine Plots'!C159</f>
        <v>1</v>
      </c>
      <c r="K159" s="4">
        <v>0</v>
      </c>
      <c r="L159" s="4">
        <v>0</v>
      </c>
      <c r="M159" s="4">
        <v>0</v>
      </c>
      <c r="N159" s="4">
        <v>2</v>
      </c>
      <c r="O159" s="4">
        <v>0</v>
      </c>
      <c r="P159" s="4">
        <v>0</v>
      </c>
      <c r="Q159" s="4">
        <v>0</v>
      </c>
      <c r="R159" s="4">
        <v>1</v>
      </c>
    </row>
    <row r="160" spans="1:18" x14ac:dyDescent="0.2">
      <c r="A160" s="5" t="s">
        <v>257</v>
      </c>
      <c r="B160" s="22" t="s">
        <v>704</v>
      </c>
      <c r="C160" s="4" t="str">
        <f t="shared" si="4"/>
        <v>B2</v>
      </c>
      <c r="D160" s="4" t="str">
        <f t="shared" si="5"/>
        <v>B057</v>
      </c>
      <c r="E160" s="23">
        <v>1</v>
      </c>
      <c r="F160" s="23">
        <v>0</v>
      </c>
      <c r="G160" s="23">
        <v>0</v>
      </c>
      <c r="H160" s="23">
        <v>0</v>
      </c>
      <c r="I160" s="4">
        <v>1</v>
      </c>
      <c r="J160" s="4">
        <f>P160+Q160+R160+'PresenceAbsence kleine Plots'!C160</f>
        <v>1</v>
      </c>
      <c r="K160" s="4">
        <v>0</v>
      </c>
      <c r="L160" s="4">
        <v>0</v>
      </c>
      <c r="M160" s="4">
        <v>1</v>
      </c>
      <c r="N160" s="4">
        <v>0</v>
      </c>
      <c r="O160" s="4">
        <v>0</v>
      </c>
      <c r="P160" s="4">
        <v>0</v>
      </c>
      <c r="Q160" s="4">
        <v>1</v>
      </c>
      <c r="R160" s="4">
        <v>0</v>
      </c>
    </row>
    <row r="161" spans="1:18" x14ac:dyDescent="0.2">
      <c r="A161" s="5" t="s">
        <v>258</v>
      </c>
      <c r="B161" s="22" t="s">
        <v>697</v>
      </c>
      <c r="C161" s="4" t="str">
        <f t="shared" si="4"/>
        <v>B2</v>
      </c>
      <c r="D161" s="4" t="str">
        <f t="shared" si="5"/>
        <v>B058</v>
      </c>
      <c r="E161" s="23">
        <v>1</v>
      </c>
      <c r="F161" s="23">
        <v>0</v>
      </c>
      <c r="G161" s="23">
        <v>0</v>
      </c>
      <c r="H161" s="23">
        <v>0</v>
      </c>
      <c r="I161" s="4">
        <v>1</v>
      </c>
      <c r="J161" s="4">
        <f>P161+Q161+R161+'PresenceAbsence kleine Plots'!C161</f>
        <v>1</v>
      </c>
      <c r="K161" s="4">
        <v>0</v>
      </c>
      <c r="L161" s="4">
        <v>0</v>
      </c>
      <c r="M161" s="4">
        <v>1</v>
      </c>
      <c r="N161" s="4">
        <v>0</v>
      </c>
      <c r="O161" s="4">
        <v>0</v>
      </c>
      <c r="P161" s="4">
        <v>0</v>
      </c>
      <c r="Q161" s="4">
        <v>1</v>
      </c>
      <c r="R161" s="4">
        <v>0</v>
      </c>
    </row>
    <row r="162" spans="1:18" x14ac:dyDescent="0.2">
      <c r="A162" s="5" t="s">
        <v>259</v>
      </c>
      <c r="B162" s="22" t="s">
        <v>539</v>
      </c>
      <c r="C162" s="4" t="str">
        <f t="shared" si="4"/>
        <v>B2</v>
      </c>
      <c r="D162" s="4" t="str">
        <f t="shared" si="5"/>
        <v>B059</v>
      </c>
      <c r="E162" s="23">
        <v>0</v>
      </c>
      <c r="F162" s="23">
        <v>1</v>
      </c>
      <c r="G162" s="23">
        <v>0</v>
      </c>
      <c r="H162" s="23">
        <v>0</v>
      </c>
      <c r="I162" s="4">
        <v>60</v>
      </c>
      <c r="J162" s="4">
        <f>P162+Q162+R162+'PresenceAbsence kleine Plots'!C162</f>
        <v>4</v>
      </c>
      <c r="K162" s="4">
        <v>16</v>
      </c>
      <c r="L162" s="4">
        <v>12</v>
      </c>
      <c r="M162" s="4">
        <v>20</v>
      </c>
      <c r="N162" s="4">
        <v>12</v>
      </c>
      <c r="O162" s="4">
        <v>1</v>
      </c>
      <c r="P162" s="4">
        <v>1</v>
      </c>
      <c r="Q162" s="4">
        <v>1</v>
      </c>
      <c r="R162" s="4">
        <v>1</v>
      </c>
    </row>
    <row r="163" spans="1:18" x14ac:dyDescent="0.2">
      <c r="A163" s="5" t="s">
        <v>260</v>
      </c>
      <c r="B163" s="22" t="s">
        <v>785</v>
      </c>
      <c r="C163" s="4" t="str">
        <f t="shared" si="4"/>
        <v>B2</v>
      </c>
      <c r="D163" s="4" t="str">
        <f t="shared" si="5"/>
        <v>B060</v>
      </c>
      <c r="E163" s="23">
        <v>0</v>
      </c>
      <c r="F163" s="23">
        <v>0</v>
      </c>
      <c r="G163" s="23">
        <v>0</v>
      </c>
      <c r="H163" s="23">
        <v>1</v>
      </c>
      <c r="I163" s="4">
        <v>4</v>
      </c>
      <c r="J163" s="4">
        <f>P163+Q163+R163+'PresenceAbsence kleine Plots'!C163</f>
        <v>2</v>
      </c>
      <c r="K163" s="4">
        <v>3</v>
      </c>
      <c r="L163" s="4">
        <v>0</v>
      </c>
      <c r="M163" s="4">
        <v>1</v>
      </c>
      <c r="N163" s="4">
        <v>0</v>
      </c>
      <c r="O163" s="4">
        <v>1</v>
      </c>
      <c r="P163" s="4">
        <v>0</v>
      </c>
      <c r="Q163" s="4">
        <v>1</v>
      </c>
      <c r="R163" s="4">
        <v>0</v>
      </c>
    </row>
    <row r="164" spans="1:18" x14ac:dyDescent="0.2">
      <c r="A164" s="5" t="s">
        <v>261</v>
      </c>
      <c r="B164" s="22" t="s">
        <v>699</v>
      </c>
      <c r="C164" s="4" t="str">
        <f t="shared" si="4"/>
        <v>B2</v>
      </c>
      <c r="D164" s="4" t="str">
        <f t="shared" si="5"/>
        <v>B061</v>
      </c>
      <c r="E164" s="23">
        <v>1</v>
      </c>
      <c r="F164" s="23">
        <v>0</v>
      </c>
      <c r="G164" s="23">
        <v>0</v>
      </c>
      <c r="H164" s="23">
        <v>1</v>
      </c>
      <c r="I164" s="4">
        <v>1</v>
      </c>
      <c r="J164" s="4">
        <v>1</v>
      </c>
      <c r="K164" s="4">
        <v>1</v>
      </c>
      <c r="L164" s="4">
        <v>0</v>
      </c>
      <c r="M164" s="4">
        <v>0</v>
      </c>
      <c r="N164" s="4">
        <v>0</v>
      </c>
      <c r="O164" s="4">
        <v>1</v>
      </c>
      <c r="P164" s="4">
        <v>0</v>
      </c>
      <c r="Q164" s="4">
        <v>0</v>
      </c>
      <c r="R164" s="4">
        <v>0</v>
      </c>
    </row>
    <row r="165" spans="1:18" x14ac:dyDescent="0.2">
      <c r="A165" s="5" t="s">
        <v>262</v>
      </c>
      <c r="B165" s="22" t="s">
        <v>696</v>
      </c>
      <c r="C165" s="4" t="str">
        <f t="shared" si="4"/>
        <v>B2</v>
      </c>
      <c r="D165" s="4" t="str">
        <f t="shared" si="5"/>
        <v>B062</v>
      </c>
      <c r="E165" s="23">
        <v>1</v>
      </c>
      <c r="F165" s="23">
        <v>0</v>
      </c>
      <c r="G165" s="23">
        <v>0</v>
      </c>
      <c r="H165" s="23">
        <v>0</v>
      </c>
      <c r="I165" s="4">
        <v>1</v>
      </c>
      <c r="J165" s="4">
        <f>P165+Q165+R165+'PresenceAbsence kleine Plots'!C165</f>
        <v>1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1</v>
      </c>
      <c r="R165" s="4">
        <v>0</v>
      </c>
    </row>
    <row r="166" spans="1:18" x14ac:dyDescent="0.2">
      <c r="A166" s="5" t="s">
        <v>263</v>
      </c>
      <c r="B166" s="22" t="s">
        <v>742</v>
      </c>
      <c r="C166" s="4" t="str">
        <f t="shared" si="4"/>
        <v>B2</v>
      </c>
      <c r="D166" s="4" t="str">
        <f t="shared" si="5"/>
        <v>B063</v>
      </c>
      <c r="E166" s="23">
        <v>0</v>
      </c>
      <c r="F166" s="23">
        <v>0</v>
      </c>
      <c r="G166" s="23">
        <v>0</v>
      </c>
      <c r="H166" s="23">
        <v>1</v>
      </c>
      <c r="I166" s="4">
        <v>2</v>
      </c>
      <c r="J166" s="4">
        <f>P166+Q166+R166+'PresenceAbsence kleine Plots'!C166</f>
        <v>1</v>
      </c>
      <c r="K166" s="4">
        <v>2</v>
      </c>
      <c r="L166" s="4">
        <v>0</v>
      </c>
      <c r="M166" s="4">
        <v>0</v>
      </c>
      <c r="N166" s="4">
        <v>0</v>
      </c>
      <c r="O166" s="4">
        <v>1</v>
      </c>
      <c r="P166" s="4">
        <v>0</v>
      </c>
      <c r="Q166" s="4">
        <v>0</v>
      </c>
      <c r="R166" s="4">
        <v>0</v>
      </c>
    </row>
    <row r="167" spans="1:18" x14ac:dyDescent="0.2">
      <c r="A167" s="5" t="s">
        <v>264</v>
      </c>
      <c r="B167" s="22" t="s">
        <v>680</v>
      </c>
      <c r="C167" s="4" t="str">
        <f t="shared" si="4"/>
        <v>B2</v>
      </c>
      <c r="D167" s="4" t="str">
        <f t="shared" si="5"/>
        <v>B064</v>
      </c>
      <c r="E167" s="23">
        <v>0</v>
      </c>
      <c r="F167" s="23">
        <v>0</v>
      </c>
      <c r="G167" s="23">
        <v>0</v>
      </c>
      <c r="H167" s="23">
        <v>1</v>
      </c>
      <c r="I167" s="4">
        <v>6</v>
      </c>
      <c r="J167" s="4">
        <f>P167+Q167+R167+'PresenceAbsence kleine Plots'!C167</f>
        <v>2</v>
      </c>
      <c r="K167" s="4">
        <v>5</v>
      </c>
      <c r="L167" s="4">
        <v>0</v>
      </c>
      <c r="M167" s="4">
        <v>0</v>
      </c>
      <c r="N167" s="4">
        <v>1</v>
      </c>
      <c r="O167" s="4">
        <v>1</v>
      </c>
      <c r="P167" s="4">
        <v>0</v>
      </c>
      <c r="Q167" s="4">
        <v>0</v>
      </c>
      <c r="R167" s="4">
        <v>1</v>
      </c>
    </row>
    <row r="168" spans="1:18" x14ac:dyDescent="0.2">
      <c r="A168" s="5" t="s">
        <v>265</v>
      </c>
      <c r="B168" s="22" t="s">
        <v>678</v>
      </c>
      <c r="C168" s="4" t="str">
        <f t="shared" si="4"/>
        <v>B2</v>
      </c>
      <c r="D168" s="4" t="str">
        <f t="shared" si="5"/>
        <v>B065</v>
      </c>
      <c r="E168" s="23">
        <v>0</v>
      </c>
      <c r="F168" s="23">
        <v>0</v>
      </c>
      <c r="G168" s="23">
        <v>0</v>
      </c>
      <c r="H168" s="23">
        <v>1</v>
      </c>
      <c r="I168" s="4">
        <v>6</v>
      </c>
      <c r="J168" s="4">
        <f>P168+Q168+R168+'PresenceAbsence kleine Plots'!C168</f>
        <v>2</v>
      </c>
      <c r="K168" s="4">
        <v>4</v>
      </c>
      <c r="L168" s="4">
        <v>0</v>
      </c>
      <c r="M168" s="4">
        <v>2</v>
      </c>
      <c r="N168" s="4">
        <v>0</v>
      </c>
      <c r="O168" s="4">
        <v>1</v>
      </c>
      <c r="P168" s="4">
        <v>0</v>
      </c>
      <c r="Q168" s="4">
        <v>1</v>
      </c>
      <c r="R168" s="4">
        <v>0</v>
      </c>
    </row>
    <row r="169" spans="1:18" x14ac:dyDescent="0.2">
      <c r="A169" s="5" t="s">
        <v>266</v>
      </c>
      <c r="B169" s="22" t="s">
        <v>715</v>
      </c>
      <c r="C169" s="4" t="str">
        <f t="shared" si="4"/>
        <v>B2</v>
      </c>
      <c r="D169" s="4" t="str">
        <f t="shared" si="5"/>
        <v>B066</v>
      </c>
      <c r="E169" s="23">
        <v>1</v>
      </c>
      <c r="F169" s="23">
        <v>0</v>
      </c>
      <c r="G169" s="23">
        <v>0</v>
      </c>
      <c r="H169" s="23">
        <v>0</v>
      </c>
      <c r="I169" s="4">
        <v>1</v>
      </c>
      <c r="J169" s="4">
        <f>P169+Q169+R169+'PresenceAbsence kleine Plots'!C169</f>
        <v>1</v>
      </c>
      <c r="K169" s="4">
        <v>0</v>
      </c>
      <c r="L169" s="4">
        <v>1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4">
        <v>0</v>
      </c>
    </row>
    <row r="170" spans="1:18" x14ac:dyDescent="0.2">
      <c r="A170" s="5" t="s">
        <v>267</v>
      </c>
      <c r="B170" s="22" t="s">
        <v>789</v>
      </c>
      <c r="C170" s="4" t="str">
        <f t="shared" si="4"/>
        <v>B2</v>
      </c>
      <c r="D170" s="4" t="str">
        <f t="shared" si="5"/>
        <v>B067</v>
      </c>
      <c r="E170" s="23">
        <v>0</v>
      </c>
      <c r="F170" s="23">
        <v>0</v>
      </c>
      <c r="G170" s="23">
        <v>0</v>
      </c>
      <c r="H170" s="23">
        <v>1</v>
      </c>
      <c r="I170" s="4">
        <v>4</v>
      </c>
      <c r="J170" s="4">
        <v>3</v>
      </c>
      <c r="K170" s="4">
        <v>1</v>
      </c>
      <c r="L170" s="4">
        <v>0</v>
      </c>
      <c r="M170" s="4">
        <v>2</v>
      </c>
      <c r="N170" s="4">
        <v>1</v>
      </c>
      <c r="O170" s="4">
        <v>1</v>
      </c>
      <c r="P170" s="4">
        <v>0</v>
      </c>
      <c r="Q170" s="4">
        <v>1</v>
      </c>
      <c r="R170" s="4">
        <v>1</v>
      </c>
    </row>
    <row r="171" spans="1:18" x14ac:dyDescent="0.2">
      <c r="A171" s="5" t="s">
        <v>268</v>
      </c>
      <c r="B171" s="22" t="s">
        <v>807</v>
      </c>
      <c r="C171" s="4" t="str">
        <f t="shared" si="4"/>
        <v>B2</v>
      </c>
      <c r="D171" s="4" t="str">
        <f t="shared" si="5"/>
        <v>B068</v>
      </c>
      <c r="E171" s="23">
        <v>0</v>
      </c>
      <c r="F171" s="23">
        <v>0</v>
      </c>
      <c r="G171" s="23">
        <v>0</v>
      </c>
      <c r="H171" s="23">
        <v>1</v>
      </c>
      <c r="I171" s="4">
        <v>3</v>
      </c>
      <c r="J171" s="4">
        <f>P171+Q171+R171+'PresenceAbsence kleine Plots'!C171</f>
        <v>2</v>
      </c>
      <c r="K171" s="4">
        <v>2</v>
      </c>
      <c r="L171" s="4">
        <v>0</v>
      </c>
      <c r="M171" s="4">
        <v>1</v>
      </c>
      <c r="N171" s="4">
        <v>0</v>
      </c>
      <c r="O171" s="4">
        <v>1</v>
      </c>
      <c r="P171" s="4">
        <v>0</v>
      </c>
      <c r="Q171" s="4">
        <v>1</v>
      </c>
      <c r="R171" s="4">
        <v>0</v>
      </c>
    </row>
    <row r="172" spans="1:18" x14ac:dyDescent="0.2">
      <c r="A172" s="5" t="s">
        <v>269</v>
      </c>
      <c r="B172" s="22" t="s">
        <v>759</v>
      </c>
      <c r="C172" s="4" t="str">
        <f t="shared" si="4"/>
        <v>B2</v>
      </c>
      <c r="D172" s="4" t="str">
        <f t="shared" si="5"/>
        <v>B069</v>
      </c>
      <c r="E172" s="23">
        <v>0</v>
      </c>
      <c r="F172" s="23">
        <v>0</v>
      </c>
      <c r="G172" s="23">
        <v>0</v>
      </c>
      <c r="H172" s="23">
        <v>1</v>
      </c>
      <c r="I172" s="4">
        <v>2</v>
      </c>
      <c r="J172" s="4">
        <v>2</v>
      </c>
      <c r="K172" s="4">
        <v>1</v>
      </c>
      <c r="L172" s="4">
        <v>0</v>
      </c>
      <c r="M172" s="4">
        <v>0</v>
      </c>
      <c r="N172" s="4">
        <v>1</v>
      </c>
      <c r="O172" s="4">
        <v>1</v>
      </c>
      <c r="P172" s="4">
        <v>0</v>
      </c>
      <c r="Q172" s="4">
        <v>0</v>
      </c>
      <c r="R172" s="4">
        <v>1</v>
      </c>
    </row>
    <row r="173" spans="1:18" x14ac:dyDescent="0.2">
      <c r="A173" s="5" t="s">
        <v>270</v>
      </c>
      <c r="B173" s="22" t="s">
        <v>568</v>
      </c>
      <c r="C173" s="4" t="str">
        <f t="shared" si="4"/>
        <v>B2</v>
      </c>
      <c r="D173" s="4" t="str">
        <f t="shared" si="5"/>
        <v>B070</v>
      </c>
      <c r="E173" s="23">
        <v>0</v>
      </c>
      <c r="F173" s="23">
        <v>1</v>
      </c>
      <c r="G173" s="23">
        <v>1</v>
      </c>
      <c r="H173" s="23">
        <v>0</v>
      </c>
      <c r="I173" s="4">
        <v>4</v>
      </c>
      <c r="J173" s="4">
        <v>2</v>
      </c>
      <c r="K173" s="4">
        <v>2</v>
      </c>
      <c r="L173" s="4">
        <v>2</v>
      </c>
      <c r="M173" s="4">
        <v>0</v>
      </c>
      <c r="N173" s="4">
        <v>0</v>
      </c>
      <c r="O173" s="4">
        <v>1</v>
      </c>
      <c r="P173" s="4">
        <v>1</v>
      </c>
      <c r="Q173" s="4">
        <v>0</v>
      </c>
      <c r="R173" s="4">
        <v>0</v>
      </c>
    </row>
    <row r="174" spans="1:18" x14ac:dyDescent="0.2">
      <c r="A174" s="5" t="s">
        <v>271</v>
      </c>
      <c r="B174" s="22" t="s">
        <v>597</v>
      </c>
      <c r="C174" s="4" t="str">
        <f t="shared" si="4"/>
        <v>B2</v>
      </c>
      <c r="D174" s="4" t="str">
        <f t="shared" si="5"/>
        <v>B071</v>
      </c>
      <c r="E174" s="23">
        <v>0</v>
      </c>
      <c r="F174" s="23">
        <v>1</v>
      </c>
      <c r="G174" s="23">
        <v>1</v>
      </c>
      <c r="H174" s="23">
        <v>0</v>
      </c>
      <c r="I174" s="4">
        <v>4</v>
      </c>
      <c r="J174" s="4">
        <f>P174+Q174+R174+'PresenceAbsence kleine Plots'!C174</f>
        <v>1</v>
      </c>
      <c r="K174" s="4">
        <v>0</v>
      </c>
      <c r="L174" s="4">
        <v>0</v>
      </c>
      <c r="M174" s="4">
        <v>4</v>
      </c>
      <c r="N174" s="4">
        <v>0</v>
      </c>
      <c r="O174" s="4">
        <v>0</v>
      </c>
      <c r="P174" s="4">
        <v>0</v>
      </c>
      <c r="Q174" s="4">
        <v>1</v>
      </c>
      <c r="R174" s="4">
        <v>0</v>
      </c>
    </row>
    <row r="175" spans="1:18" x14ac:dyDescent="0.2">
      <c r="A175" s="5" t="s">
        <v>272</v>
      </c>
      <c r="B175" s="22" t="s">
        <v>799</v>
      </c>
      <c r="C175" s="4" t="str">
        <f t="shared" si="4"/>
        <v>B2</v>
      </c>
      <c r="D175" s="4" t="str">
        <f t="shared" si="5"/>
        <v>B072</v>
      </c>
      <c r="E175" s="23">
        <v>0</v>
      </c>
      <c r="F175" s="23">
        <v>0</v>
      </c>
      <c r="G175" s="23">
        <v>0</v>
      </c>
      <c r="H175" s="23">
        <v>1</v>
      </c>
      <c r="I175" s="4">
        <v>4</v>
      </c>
      <c r="J175" s="4">
        <f>P175+Q175+R175+'PresenceAbsence kleine Plots'!C175</f>
        <v>2</v>
      </c>
      <c r="K175" s="4">
        <v>2</v>
      </c>
      <c r="L175" s="4">
        <v>0</v>
      </c>
      <c r="M175" s="4">
        <v>0</v>
      </c>
      <c r="N175" s="4">
        <v>2</v>
      </c>
      <c r="O175" s="4">
        <v>1</v>
      </c>
      <c r="P175" s="4">
        <v>0</v>
      </c>
      <c r="Q175" s="4">
        <v>0</v>
      </c>
      <c r="R175" s="4">
        <v>1</v>
      </c>
    </row>
    <row r="176" spans="1:18" x14ac:dyDescent="0.2">
      <c r="A176" s="5" t="s">
        <v>273</v>
      </c>
      <c r="B176" s="22" t="s">
        <v>693</v>
      </c>
      <c r="C176" s="4" t="str">
        <f t="shared" si="4"/>
        <v>B2</v>
      </c>
      <c r="D176" s="4" t="str">
        <f t="shared" si="5"/>
        <v>B073</v>
      </c>
      <c r="E176" s="23">
        <v>1</v>
      </c>
      <c r="F176" s="23">
        <v>0</v>
      </c>
      <c r="G176" s="23">
        <v>0</v>
      </c>
      <c r="H176" s="23">
        <v>0</v>
      </c>
      <c r="I176" s="4">
        <v>1</v>
      </c>
      <c r="J176" s="4">
        <v>1</v>
      </c>
      <c r="K176" s="4">
        <v>1</v>
      </c>
      <c r="L176" s="4">
        <v>0</v>
      </c>
      <c r="M176" s="4">
        <v>0</v>
      </c>
      <c r="N176" s="4">
        <v>0</v>
      </c>
      <c r="O176" s="4">
        <v>1</v>
      </c>
      <c r="P176" s="4">
        <v>0</v>
      </c>
      <c r="Q176" s="4">
        <v>0</v>
      </c>
      <c r="R176" s="4">
        <v>0</v>
      </c>
    </row>
    <row r="177" spans="1:18" x14ac:dyDescent="0.2">
      <c r="A177" s="5" t="s">
        <v>274</v>
      </c>
      <c r="B177" s="22" t="s">
        <v>529</v>
      </c>
      <c r="C177" s="4" t="str">
        <f t="shared" si="4"/>
        <v>B2</v>
      </c>
      <c r="D177" s="4" t="str">
        <f t="shared" si="5"/>
        <v>B074</v>
      </c>
      <c r="E177" s="23">
        <v>0</v>
      </c>
      <c r="F177" s="23">
        <v>1</v>
      </c>
      <c r="G177" s="23">
        <v>1</v>
      </c>
      <c r="H177" s="23">
        <v>0</v>
      </c>
      <c r="I177" s="4">
        <v>8</v>
      </c>
      <c r="J177" s="4">
        <f>P177+Q177+R177+'PresenceAbsence kleine Plots'!C177</f>
        <v>1</v>
      </c>
      <c r="K177" s="4">
        <v>0</v>
      </c>
      <c r="L177" s="4">
        <v>0</v>
      </c>
      <c r="M177" s="4">
        <v>0</v>
      </c>
      <c r="N177" s="4">
        <v>8</v>
      </c>
      <c r="O177" s="4">
        <v>0</v>
      </c>
      <c r="P177" s="4">
        <v>0</v>
      </c>
      <c r="Q177" s="4">
        <v>0</v>
      </c>
      <c r="R177" s="4">
        <v>1</v>
      </c>
    </row>
    <row r="178" spans="1:18" x14ac:dyDescent="0.2">
      <c r="A178" s="5" t="s">
        <v>275</v>
      </c>
      <c r="B178" s="22" t="s">
        <v>703</v>
      </c>
      <c r="C178" s="4" t="str">
        <f t="shared" si="4"/>
        <v>B2</v>
      </c>
      <c r="D178" s="4" t="str">
        <f t="shared" si="5"/>
        <v>B075</v>
      </c>
      <c r="E178" s="23">
        <v>1</v>
      </c>
      <c r="F178" s="23">
        <v>0</v>
      </c>
      <c r="G178" s="23">
        <v>0</v>
      </c>
      <c r="H178" s="23">
        <v>0</v>
      </c>
      <c r="I178" s="4">
        <v>1</v>
      </c>
      <c r="J178" s="4">
        <v>1</v>
      </c>
      <c r="K178" s="4">
        <v>1</v>
      </c>
      <c r="L178" s="4">
        <v>0</v>
      </c>
      <c r="M178" s="4">
        <v>0</v>
      </c>
      <c r="N178" s="4">
        <v>0</v>
      </c>
      <c r="O178" s="4">
        <v>1</v>
      </c>
      <c r="P178" s="4">
        <v>0</v>
      </c>
      <c r="Q178" s="4">
        <v>0</v>
      </c>
      <c r="R178" s="4">
        <v>0</v>
      </c>
    </row>
    <row r="179" spans="1:18" x14ac:dyDescent="0.2">
      <c r="A179" s="5" t="s">
        <v>276</v>
      </c>
      <c r="B179" s="22" t="s">
        <v>725</v>
      </c>
      <c r="C179" s="4" t="str">
        <f t="shared" si="4"/>
        <v>B2</v>
      </c>
      <c r="D179" s="4" t="str">
        <f t="shared" si="5"/>
        <v>B076</v>
      </c>
      <c r="E179" s="23">
        <v>1</v>
      </c>
      <c r="F179" s="23">
        <v>0</v>
      </c>
      <c r="G179" s="23">
        <v>0</v>
      </c>
      <c r="H179" s="23">
        <v>0</v>
      </c>
      <c r="I179" s="4">
        <v>1</v>
      </c>
      <c r="J179" s="4">
        <f>P179+Q179+R179+'PresenceAbsence kleine Plots'!C179</f>
        <v>1</v>
      </c>
      <c r="K179" s="4">
        <v>0</v>
      </c>
      <c r="L179" s="4">
        <v>0</v>
      </c>
      <c r="M179" s="4">
        <v>0</v>
      </c>
      <c r="N179" s="4">
        <v>1</v>
      </c>
      <c r="O179" s="4">
        <v>0</v>
      </c>
      <c r="P179" s="4">
        <v>0</v>
      </c>
      <c r="Q179" s="4">
        <v>0</v>
      </c>
      <c r="R179" s="4">
        <v>1</v>
      </c>
    </row>
    <row r="180" spans="1:18" x14ac:dyDescent="0.2">
      <c r="A180" s="5" t="s">
        <v>277</v>
      </c>
      <c r="B180" s="22" t="s">
        <v>551</v>
      </c>
      <c r="C180" s="4" t="str">
        <f t="shared" si="4"/>
        <v>B2</v>
      </c>
      <c r="D180" s="4" t="str">
        <f t="shared" si="5"/>
        <v>B077</v>
      </c>
      <c r="E180" s="23">
        <v>1</v>
      </c>
      <c r="F180" s="23">
        <v>1</v>
      </c>
      <c r="G180" s="23">
        <v>0</v>
      </c>
      <c r="H180" s="23">
        <v>0</v>
      </c>
      <c r="I180" s="4">
        <v>1</v>
      </c>
      <c r="J180" s="4">
        <f>P180+Q180+R180+'PresenceAbsence kleine Plots'!C180</f>
        <v>1</v>
      </c>
      <c r="K180" s="4">
        <v>0</v>
      </c>
      <c r="L180" s="4">
        <v>0</v>
      </c>
      <c r="M180" s="4">
        <v>0</v>
      </c>
      <c r="N180" s="4">
        <v>1</v>
      </c>
      <c r="O180" s="4">
        <v>0</v>
      </c>
      <c r="P180" s="4">
        <v>0</v>
      </c>
      <c r="Q180" s="4">
        <v>0</v>
      </c>
      <c r="R180" s="4">
        <v>1</v>
      </c>
    </row>
    <row r="181" spans="1:18" x14ac:dyDescent="0.2">
      <c r="A181" s="5" t="s">
        <v>278</v>
      </c>
      <c r="B181" s="22" t="s">
        <v>527</v>
      </c>
      <c r="C181" s="4" t="str">
        <f t="shared" si="4"/>
        <v>B2</v>
      </c>
      <c r="D181" s="4" t="str">
        <f t="shared" si="5"/>
        <v>B078</v>
      </c>
      <c r="E181" s="23">
        <v>0</v>
      </c>
      <c r="F181" s="23">
        <v>1</v>
      </c>
      <c r="G181" s="23">
        <v>0</v>
      </c>
      <c r="H181" s="23">
        <v>0</v>
      </c>
      <c r="I181" s="4">
        <v>0</v>
      </c>
      <c r="J181" s="4">
        <f>P181+Q181+R181+'PresenceAbsence kleine Plots'!C181</f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</row>
    <row r="182" spans="1:18" x14ac:dyDescent="0.2">
      <c r="A182" s="5" t="s">
        <v>279</v>
      </c>
      <c r="B182" s="22" t="s">
        <v>809</v>
      </c>
      <c r="C182" s="4" t="str">
        <f t="shared" si="4"/>
        <v>B2</v>
      </c>
      <c r="D182" s="4" t="str">
        <f t="shared" si="5"/>
        <v>B079</v>
      </c>
      <c r="E182" s="23">
        <v>0</v>
      </c>
      <c r="F182" s="23">
        <v>0</v>
      </c>
      <c r="G182" s="23">
        <v>0</v>
      </c>
      <c r="H182" s="23">
        <v>1</v>
      </c>
      <c r="I182" s="4">
        <v>3</v>
      </c>
      <c r="J182" s="4">
        <f>P182+Q182+R182+'PresenceAbsence kleine Plots'!C182</f>
        <v>1</v>
      </c>
      <c r="K182" s="4">
        <v>3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</row>
    <row r="183" spans="1:18" x14ac:dyDescent="0.2">
      <c r="A183" s="5" t="s">
        <v>280</v>
      </c>
      <c r="B183" s="22" t="s">
        <v>749</v>
      </c>
      <c r="C183" s="4" t="str">
        <f t="shared" si="4"/>
        <v>B2</v>
      </c>
      <c r="D183" s="4" t="str">
        <f t="shared" si="5"/>
        <v>B080</v>
      </c>
      <c r="E183" s="23">
        <v>0</v>
      </c>
      <c r="F183" s="23">
        <v>0</v>
      </c>
      <c r="G183" s="23">
        <v>0</v>
      </c>
      <c r="H183" s="23">
        <v>1</v>
      </c>
      <c r="I183" s="4">
        <v>2</v>
      </c>
      <c r="J183" s="4">
        <v>1</v>
      </c>
      <c r="K183" s="4">
        <v>2</v>
      </c>
      <c r="L183" s="4">
        <v>0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</row>
    <row r="184" spans="1:18" x14ac:dyDescent="0.2">
      <c r="A184" s="5" t="s">
        <v>281</v>
      </c>
      <c r="B184" s="22" t="s">
        <v>806</v>
      </c>
      <c r="C184" s="4" t="str">
        <f t="shared" si="4"/>
        <v>B2</v>
      </c>
      <c r="D184" s="4" t="str">
        <f t="shared" si="5"/>
        <v>B081</v>
      </c>
      <c r="E184" s="23">
        <v>0</v>
      </c>
      <c r="F184" s="23">
        <v>0</v>
      </c>
      <c r="G184" s="23">
        <v>0</v>
      </c>
      <c r="H184" s="23">
        <v>1</v>
      </c>
      <c r="I184" s="4">
        <v>3</v>
      </c>
      <c r="J184" s="4">
        <v>2</v>
      </c>
      <c r="K184" s="4">
        <v>2</v>
      </c>
      <c r="L184" s="4">
        <v>0</v>
      </c>
      <c r="M184" s="4">
        <v>1</v>
      </c>
      <c r="N184" s="4">
        <v>0</v>
      </c>
      <c r="O184" s="4">
        <v>1</v>
      </c>
      <c r="P184" s="4">
        <v>0</v>
      </c>
      <c r="Q184" s="4">
        <v>1</v>
      </c>
      <c r="R184" s="4">
        <v>0</v>
      </c>
    </row>
    <row r="185" spans="1:18" x14ac:dyDescent="0.2">
      <c r="A185" s="5" t="s">
        <v>282</v>
      </c>
      <c r="B185" s="22" t="s">
        <v>758</v>
      </c>
      <c r="C185" s="4" t="str">
        <f t="shared" si="4"/>
        <v>B2</v>
      </c>
      <c r="D185" s="4" t="str">
        <f t="shared" si="5"/>
        <v>B082</v>
      </c>
      <c r="E185" s="23">
        <v>0</v>
      </c>
      <c r="F185" s="23">
        <v>0</v>
      </c>
      <c r="G185" s="23">
        <v>0</v>
      </c>
      <c r="H185" s="23">
        <v>1</v>
      </c>
      <c r="I185" s="4">
        <v>2</v>
      </c>
      <c r="J185" s="4">
        <v>2</v>
      </c>
      <c r="K185" s="4">
        <v>1</v>
      </c>
      <c r="L185" s="4">
        <v>0</v>
      </c>
      <c r="M185" s="4">
        <v>0</v>
      </c>
      <c r="N185" s="4">
        <v>1</v>
      </c>
      <c r="O185" s="4">
        <v>1</v>
      </c>
      <c r="P185" s="4">
        <v>0</v>
      </c>
      <c r="Q185" s="4">
        <v>0</v>
      </c>
      <c r="R185" s="4">
        <v>1</v>
      </c>
    </row>
    <row r="186" spans="1:18" x14ac:dyDescent="0.2">
      <c r="A186" s="5" t="s">
        <v>283</v>
      </c>
      <c r="B186" s="22" t="s">
        <v>797</v>
      </c>
      <c r="C186" s="4" t="str">
        <f t="shared" si="4"/>
        <v>B2</v>
      </c>
      <c r="D186" s="4" t="str">
        <f t="shared" si="5"/>
        <v>B083</v>
      </c>
      <c r="E186" s="23">
        <v>0</v>
      </c>
      <c r="F186" s="23">
        <v>0</v>
      </c>
      <c r="G186" s="23">
        <v>0</v>
      </c>
      <c r="H186" s="23">
        <v>1</v>
      </c>
      <c r="I186" s="4">
        <v>4</v>
      </c>
      <c r="J186" s="4">
        <v>3</v>
      </c>
      <c r="K186" s="4">
        <v>2</v>
      </c>
      <c r="L186" s="4">
        <v>0</v>
      </c>
      <c r="M186" s="4">
        <v>1</v>
      </c>
      <c r="N186" s="4">
        <v>1</v>
      </c>
      <c r="O186" s="4">
        <v>1</v>
      </c>
      <c r="P186" s="4">
        <v>0</v>
      </c>
      <c r="Q186" s="4">
        <v>1</v>
      </c>
      <c r="R186" s="4">
        <v>1</v>
      </c>
    </row>
    <row r="187" spans="1:18" x14ac:dyDescent="0.2">
      <c r="A187" s="5" t="s">
        <v>284</v>
      </c>
      <c r="B187" s="22" t="s">
        <v>543</v>
      </c>
      <c r="C187" s="4" t="str">
        <f t="shared" si="4"/>
        <v>B2</v>
      </c>
      <c r="D187" s="4" t="str">
        <f t="shared" si="5"/>
        <v>B084</v>
      </c>
      <c r="E187" s="23">
        <v>1</v>
      </c>
      <c r="F187" s="23">
        <v>1</v>
      </c>
      <c r="G187" s="23">
        <v>0</v>
      </c>
      <c r="H187" s="23">
        <v>0</v>
      </c>
      <c r="I187" s="4">
        <v>1</v>
      </c>
      <c r="J187" s="4">
        <v>1</v>
      </c>
      <c r="K187" s="4">
        <v>1</v>
      </c>
      <c r="L187" s="4">
        <v>0</v>
      </c>
      <c r="M187" s="4">
        <v>0</v>
      </c>
      <c r="N187" s="4">
        <v>0</v>
      </c>
      <c r="O187" s="4">
        <v>1</v>
      </c>
      <c r="P187" s="4">
        <v>0</v>
      </c>
      <c r="Q187" s="4">
        <v>0</v>
      </c>
      <c r="R187" s="4">
        <v>0</v>
      </c>
    </row>
    <row r="188" spans="1:18" x14ac:dyDescent="0.2">
      <c r="A188" s="5" t="s">
        <v>285</v>
      </c>
      <c r="B188" s="22" t="s">
        <v>751</v>
      </c>
      <c r="C188" s="4" t="str">
        <f t="shared" si="4"/>
        <v>B2</v>
      </c>
      <c r="D188" s="4" t="str">
        <f t="shared" si="5"/>
        <v>B085</v>
      </c>
      <c r="E188" s="23">
        <v>0</v>
      </c>
      <c r="F188" s="23">
        <v>0</v>
      </c>
      <c r="G188" s="23">
        <v>0</v>
      </c>
      <c r="H188" s="23">
        <v>1</v>
      </c>
      <c r="I188" s="4">
        <v>2</v>
      </c>
      <c r="J188" s="4">
        <v>2</v>
      </c>
      <c r="K188" s="4">
        <v>1</v>
      </c>
      <c r="L188" s="4">
        <v>0</v>
      </c>
      <c r="M188" s="4">
        <v>1</v>
      </c>
      <c r="N188" s="4">
        <v>0</v>
      </c>
      <c r="O188" s="4">
        <v>1</v>
      </c>
      <c r="P188" s="4">
        <v>0</v>
      </c>
      <c r="Q188" s="4">
        <v>1</v>
      </c>
      <c r="R188" s="4">
        <v>0</v>
      </c>
    </row>
    <row r="189" spans="1:18" x14ac:dyDescent="0.2">
      <c r="A189" s="5" t="s">
        <v>286</v>
      </c>
      <c r="B189" s="22" t="s">
        <v>690</v>
      </c>
      <c r="C189" s="4" t="str">
        <f t="shared" si="4"/>
        <v>B2</v>
      </c>
      <c r="D189" s="4" t="str">
        <f t="shared" si="5"/>
        <v>B086</v>
      </c>
      <c r="E189" s="23">
        <v>1</v>
      </c>
      <c r="F189" s="23">
        <v>0</v>
      </c>
      <c r="G189" s="23">
        <v>0</v>
      </c>
      <c r="H189" s="23">
        <v>1</v>
      </c>
      <c r="I189" s="4">
        <v>1</v>
      </c>
      <c r="J189" s="4">
        <f>P189+Q189+R189+'PresenceAbsence kleine Plots'!C189</f>
        <v>1</v>
      </c>
      <c r="K189" s="4">
        <v>0</v>
      </c>
      <c r="L189" s="4">
        <v>0</v>
      </c>
      <c r="M189" s="4">
        <v>1</v>
      </c>
      <c r="N189" s="4">
        <v>0</v>
      </c>
      <c r="O189" s="4">
        <v>0</v>
      </c>
      <c r="P189" s="4">
        <v>0</v>
      </c>
      <c r="Q189" s="4">
        <v>1</v>
      </c>
      <c r="R189" s="4">
        <v>0</v>
      </c>
    </row>
    <row r="190" spans="1:18" x14ac:dyDescent="0.2">
      <c r="A190" s="5" t="s">
        <v>287</v>
      </c>
      <c r="B190" s="22" t="s">
        <v>595</v>
      </c>
      <c r="C190" s="4" t="str">
        <f t="shared" si="4"/>
        <v>B2</v>
      </c>
      <c r="D190" s="4" t="str">
        <f t="shared" si="5"/>
        <v>B087</v>
      </c>
      <c r="E190" s="23">
        <v>0</v>
      </c>
      <c r="F190" s="23">
        <v>1</v>
      </c>
      <c r="G190" s="23">
        <v>1</v>
      </c>
      <c r="H190" s="23">
        <v>0</v>
      </c>
      <c r="I190" s="4">
        <v>16</v>
      </c>
      <c r="J190" s="4">
        <f>P190+Q190+R190+'PresenceAbsence kleine Plots'!C190</f>
        <v>2</v>
      </c>
      <c r="K190" s="4">
        <v>0</v>
      </c>
      <c r="L190" s="4">
        <v>0</v>
      </c>
      <c r="M190" s="4">
        <v>8</v>
      </c>
      <c r="N190" s="4">
        <v>8</v>
      </c>
      <c r="O190" s="4">
        <v>0</v>
      </c>
      <c r="P190" s="4">
        <v>0</v>
      </c>
      <c r="Q190" s="4">
        <v>1</v>
      </c>
      <c r="R190" s="4">
        <v>1</v>
      </c>
    </row>
    <row r="191" spans="1:18" x14ac:dyDescent="0.2">
      <c r="A191" s="5" t="s">
        <v>288</v>
      </c>
      <c r="B191" s="22" t="s">
        <v>782</v>
      </c>
      <c r="C191" s="4" t="str">
        <f t="shared" si="4"/>
        <v>B2</v>
      </c>
      <c r="D191" s="4" t="str">
        <f t="shared" si="5"/>
        <v>B088</v>
      </c>
      <c r="E191" s="23">
        <v>0</v>
      </c>
      <c r="F191" s="23">
        <v>0</v>
      </c>
      <c r="G191" s="23">
        <v>0</v>
      </c>
      <c r="H191" s="23">
        <v>1</v>
      </c>
      <c r="I191" s="4">
        <v>3</v>
      </c>
      <c r="J191" s="4">
        <v>2</v>
      </c>
      <c r="K191" s="4">
        <v>1</v>
      </c>
      <c r="L191" s="4">
        <v>0</v>
      </c>
      <c r="M191" s="4">
        <v>0</v>
      </c>
      <c r="N191" s="4">
        <v>2</v>
      </c>
      <c r="O191" s="4">
        <v>1</v>
      </c>
      <c r="P191" s="4">
        <v>0</v>
      </c>
      <c r="Q191" s="4">
        <v>0</v>
      </c>
      <c r="R191" s="4">
        <v>1</v>
      </c>
    </row>
    <row r="192" spans="1:18" x14ac:dyDescent="0.2">
      <c r="A192" s="5" t="s">
        <v>289</v>
      </c>
      <c r="B192" s="22" t="s">
        <v>535</v>
      </c>
      <c r="C192" s="4" t="str">
        <f t="shared" si="4"/>
        <v>B2</v>
      </c>
      <c r="D192" s="4" t="str">
        <f t="shared" si="5"/>
        <v>B089</v>
      </c>
      <c r="E192" s="23">
        <v>1</v>
      </c>
      <c r="F192" s="23">
        <v>1</v>
      </c>
      <c r="G192" s="23">
        <v>1</v>
      </c>
      <c r="H192" s="23">
        <v>0</v>
      </c>
      <c r="I192" s="4">
        <v>1</v>
      </c>
      <c r="J192" s="4">
        <f>P192+Q192+R192+'PresenceAbsence kleine Plots'!C192</f>
        <v>1</v>
      </c>
      <c r="K192" s="4">
        <v>0</v>
      </c>
      <c r="L192" s="4">
        <v>1</v>
      </c>
      <c r="M192" s="4">
        <v>0</v>
      </c>
      <c r="N192" s="4">
        <v>0</v>
      </c>
      <c r="O192" s="4">
        <v>0</v>
      </c>
      <c r="P192" s="4">
        <v>1</v>
      </c>
      <c r="Q192" s="4">
        <v>0</v>
      </c>
      <c r="R192" s="4">
        <v>0</v>
      </c>
    </row>
    <row r="193" spans="1:18" x14ac:dyDescent="0.2">
      <c r="A193" s="5" t="s">
        <v>290</v>
      </c>
      <c r="B193" s="22" t="s">
        <v>686</v>
      </c>
      <c r="C193" s="4" t="str">
        <f t="shared" si="4"/>
        <v>B2</v>
      </c>
      <c r="D193" s="4" t="str">
        <f t="shared" si="5"/>
        <v>B090</v>
      </c>
      <c r="E193" s="23">
        <v>0</v>
      </c>
      <c r="F193" s="23">
        <v>0</v>
      </c>
      <c r="G193" s="23">
        <v>0</v>
      </c>
      <c r="H193" s="23">
        <v>1</v>
      </c>
      <c r="I193" s="4">
        <v>6</v>
      </c>
      <c r="J193" s="4">
        <v>3</v>
      </c>
      <c r="K193" s="4">
        <v>3</v>
      </c>
      <c r="L193" s="4">
        <v>0</v>
      </c>
      <c r="M193" s="4">
        <v>1</v>
      </c>
      <c r="N193" s="4">
        <v>2</v>
      </c>
      <c r="O193" s="4">
        <v>1</v>
      </c>
      <c r="P193" s="4">
        <v>0</v>
      </c>
      <c r="Q193" s="4">
        <v>1</v>
      </c>
      <c r="R193" s="4">
        <v>1</v>
      </c>
    </row>
    <row r="194" spans="1:18" x14ac:dyDescent="0.2">
      <c r="A194" s="5" t="s">
        <v>291</v>
      </c>
      <c r="B194" s="22" t="s">
        <v>792</v>
      </c>
      <c r="C194" s="4" t="str">
        <f t="shared" ref="C194:C257" si="6">LEFT(A194,2)</f>
        <v>B2</v>
      </c>
      <c r="D194" s="4" t="str">
        <f t="shared" ref="D194:D257" si="7">RIGHT(A194,4)</f>
        <v>B091</v>
      </c>
      <c r="E194" s="23">
        <v>0</v>
      </c>
      <c r="F194" s="23">
        <v>0</v>
      </c>
      <c r="G194" s="23">
        <v>0</v>
      </c>
      <c r="H194" s="23">
        <v>1</v>
      </c>
      <c r="I194" s="4">
        <v>4</v>
      </c>
      <c r="J194" s="4">
        <v>3</v>
      </c>
      <c r="K194" s="4">
        <v>2</v>
      </c>
      <c r="L194" s="4">
        <v>0</v>
      </c>
      <c r="M194" s="4">
        <v>1</v>
      </c>
      <c r="N194" s="4">
        <v>1</v>
      </c>
      <c r="O194" s="4">
        <v>1</v>
      </c>
      <c r="P194" s="4">
        <v>0</v>
      </c>
      <c r="Q194" s="4">
        <v>1</v>
      </c>
      <c r="R194" s="4">
        <v>1</v>
      </c>
    </row>
    <row r="195" spans="1:18" x14ac:dyDescent="0.2">
      <c r="A195" s="5" t="s">
        <v>292</v>
      </c>
      <c r="B195" s="22" t="s">
        <v>689</v>
      </c>
      <c r="C195" s="4" t="str">
        <f t="shared" si="6"/>
        <v>B2</v>
      </c>
      <c r="D195" s="4" t="str">
        <f t="shared" si="7"/>
        <v>B092</v>
      </c>
      <c r="E195" s="23">
        <v>0</v>
      </c>
      <c r="F195" s="23">
        <v>0</v>
      </c>
      <c r="G195" s="23">
        <v>0</v>
      </c>
      <c r="H195" s="23">
        <v>1</v>
      </c>
      <c r="I195" s="4">
        <v>6</v>
      </c>
      <c r="J195" s="4">
        <f>P195+Q195+R195+'PresenceAbsence kleine Plots'!C195</f>
        <v>3</v>
      </c>
      <c r="K195" s="4">
        <v>3</v>
      </c>
      <c r="L195" s="4">
        <v>0</v>
      </c>
      <c r="M195" s="4">
        <v>1</v>
      </c>
      <c r="N195" s="4">
        <v>2</v>
      </c>
      <c r="O195" s="4">
        <v>1</v>
      </c>
      <c r="P195" s="4">
        <v>0</v>
      </c>
      <c r="Q195" s="4">
        <v>1</v>
      </c>
      <c r="R195" s="4">
        <v>1</v>
      </c>
    </row>
    <row r="196" spans="1:18" x14ac:dyDescent="0.2">
      <c r="A196" s="5" t="s">
        <v>293</v>
      </c>
      <c r="B196" s="22" t="s">
        <v>743</v>
      </c>
      <c r="C196" s="4" t="str">
        <f t="shared" si="6"/>
        <v>B2</v>
      </c>
      <c r="D196" s="4" t="str">
        <f t="shared" si="7"/>
        <v>B093</v>
      </c>
      <c r="E196" s="23">
        <v>0</v>
      </c>
      <c r="F196" s="23">
        <v>0</v>
      </c>
      <c r="G196" s="23">
        <v>0</v>
      </c>
      <c r="H196" s="23">
        <v>1</v>
      </c>
      <c r="I196" s="4">
        <v>2</v>
      </c>
      <c r="J196" s="4">
        <v>2</v>
      </c>
      <c r="K196" s="4">
        <v>1</v>
      </c>
      <c r="L196" s="4">
        <v>0</v>
      </c>
      <c r="M196" s="4">
        <v>1</v>
      </c>
      <c r="N196" s="4">
        <v>0</v>
      </c>
      <c r="O196" s="4">
        <v>1</v>
      </c>
      <c r="P196" s="4">
        <v>0</v>
      </c>
      <c r="Q196" s="4">
        <v>1</v>
      </c>
      <c r="R196" s="4">
        <v>0</v>
      </c>
    </row>
    <row r="197" spans="1:18" x14ac:dyDescent="0.2">
      <c r="A197" s="5" t="s">
        <v>294</v>
      </c>
      <c r="B197" s="22" t="s">
        <v>710</v>
      </c>
      <c r="C197" s="4" t="str">
        <f t="shared" si="6"/>
        <v>B2</v>
      </c>
      <c r="D197" s="4" t="str">
        <f t="shared" si="7"/>
        <v>B094</v>
      </c>
      <c r="E197" s="23">
        <v>1</v>
      </c>
      <c r="F197" s="23">
        <v>0</v>
      </c>
      <c r="G197" s="23">
        <v>0</v>
      </c>
      <c r="H197" s="23">
        <v>0</v>
      </c>
      <c r="I197" s="4">
        <v>1</v>
      </c>
      <c r="J197" s="4">
        <v>1</v>
      </c>
      <c r="K197" s="4">
        <v>1</v>
      </c>
      <c r="L197" s="4">
        <v>0</v>
      </c>
      <c r="M197" s="4">
        <v>0</v>
      </c>
      <c r="N197" s="4">
        <v>0</v>
      </c>
      <c r="O197" s="4">
        <v>1</v>
      </c>
      <c r="P197" s="4">
        <v>0</v>
      </c>
      <c r="Q197" s="4">
        <v>0</v>
      </c>
      <c r="R197" s="4">
        <v>0</v>
      </c>
    </row>
    <row r="198" spans="1:18" x14ac:dyDescent="0.2">
      <c r="A198" s="5" t="s">
        <v>295</v>
      </c>
      <c r="B198" s="22" t="s">
        <v>705</v>
      </c>
      <c r="C198" s="4" t="str">
        <f t="shared" si="6"/>
        <v>B2</v>
      </c>
      <c r="D198" s="4" t="str">
        <f t="shared" si="7"/>
        <v>B095</v>
      </c>
      <c r="E198" s="23">
        <v>1</v>
      </c>
      <c r="F198" s="23">
        <v>0</v>
      </c>
      <c r="G198" s="23">
        <v>0</v>
      </c>
      <c r="H198" s="23">
        <v>0</v>
      </c>
      <c r="I198" s="4">
        <v>1</v>
      </c>
      <c r="J198" s="4">
        <f>P198+Q198+R198+'PresenceAbsence kleine Plots'!C198</f>
        <v>1</v>
      </c>
      <c r="K198" s="4">
        <v>0</v>
      </c>
      <c r="L198" s="4">
        <v>1</v>
      </c>
      <c r="M198" s="4">
        <v>0</v>
      </c>
      <c r="N198" s="4">
        <v>0</v>
      </c>
      <c r="O198" s="4">
        <v>0</v>
      </c>
      <c r="P198" s="4">
        <v>1</v>
      </c>
      <c r="Q198" s="4">
        <v>0</v>
      </c>
      <c r="R198" s="4">
        <v>0</v>
      </c>
    </row>
    <row r="199" spans="1:18" x14ac:dyDescent="0.2">
      <c r="A199" s="5" t="s">
        <v>296</v>
      </c>
      <c r="B199" s="22" t="s">
        <v>566</v>
      </c>
      <c r="C199" s="4" t="str">
        <f t="shared" si="6"/>
        <v>B2</v>
      </c>
      <c r="D199" s="4" t="str">
        <f t="shared" si="7"/>
        <v>B096</v>
      </c>
      <c r="E199" s="23">
        <v>0</v>
      </c>
      <c r="F199" s="23">
        <v>1</v>
      </c>
      <c r="G199" s="23">
        <v>1</v>
      </c>
      <c r="H199" s="23">
        <v>0</v>
      </c>
      <c r="I199" s="4">
        <v>2</v>
      </c>
      <c r="J199" s="4">
        <v>1</v>
      </c>
      <c r="K199" s="4">
        <v>2</v>
      </c>
      <c r="L199" s="4">
        <v>0</v>
      </c>
      <c r="M199" s="4">
        <v>0</v>
      </c>
      <c r="N199" s="4">
        <v>0</v>
      </c>
      <c r="O199" s="4">
        <v>1</v>
      </c>
      <c r="P199" s="4">
        <v>0</v>
      </c>
      <c r="Q199" s="4">
        <v>0</v>
      </c>
      <c r="R199" s="4">
        <v>0</v>
      </c>
    </row>
    <row r="200" spans="1:18" x14ac:dyDescent="0.2">
      <c r="A200" s="5" t="s">
        <v>297</v>
      </c>
      <c r="B200" s="22" t="s">
        <v>733</v>
      </c>
      <c r="C200" s="4" t="str">
        <f t="shared" si="6"/>
        <v>B2</v>
      </c>
      <c r="D200" s="4" t="str">
        <f t="shared" si="7"/>
        <v>B097</v>
      </c>
      <c r="E200" s="23">
        <v>0</v>
      </c>
      <c r="F200" s="23">
        <v>0</v>
      </c>
      <c r="G200" s="23">
        <v>0</v>
      </c>
      <c r="H200" s="23">
        <v>1</v>
      </c>
      <c r="I200" s="4">
        <v>2</v>
      </c>
      <c r="J200" s="4">
        <f>P200+Q200+R200+'PresenceAbsence kleine Plots'!C200</f>
        <v>1</v>
      </c>
      <c r="K200" s="4">
        <v>2</v>
      </c>
      <c r="L200" s="4">
        <v>0</v>
      </c>
      <c r="M200" s="4">
        <v>0</v>
      </c>
      <c r="N200" s="4">
        <v>0</v>
      </c>
      <c r="O200" s="4">
        <v>1</v>
      </c>
      <c r="P200" s="4">
        <v>0</v>
      </c>
      <c r="Q200" s="4">
        <v>0</v>
      </c>
      <c r="R200" s="4">
        <v>0</v>
      </c>
    </row>
    <row r="201" spans="1:18" x14ac:dyDescent="0.2">
      <c r="A201" s="5" t="s">
        <v>298</v>
      </c>
      <c r="B201" s="22" t="s">
        <v>677</v>
      </c>
      <c r="C201" s="4" t="str">
        <f t="shared" si="6"/>
        <v>B2</v>
      </c>
      <c r="D201" s="4" t="str">
        <f t="shared" si="7"/>
        <v>B098</v>
      </c>
      <c r="E201" s="23">
        <v>0</v>
      </c>
      <c r="F201" s="23">
        <v>0</v>
      </c>
      <c r="G201" s="23">
        <v>0</v>
      </c>
      <c r="H201" s="23">
        <v>1</v>
      </c>
      <c r="I201" s="4">
        <v>9</v>
      </c>
      <c r="J201" s="4">
        <f>P201+Q201+R201+'PresenceAbsence kleine Plots'!C201</f>
        <v>3</v>
      </c>
      <c r="K201" s="4">
        <v>5</v>
      </c>
      <c r="L201" s="4">
        <v>0</v>
      </c>
      <c r="M201" s="4">
        <v>2</v>
      </c>
      <c r="N201" s="4">
        <v>2</v>
      </c>
      <c r="O201" s="4">
        <v>1</v>
      </c>
      <c r="P201" s="4">
        <v>0</v>
      </c>
      <c r="Q201" s="4">
        <v>1</v>
      </c>
      <c r="R201" s="4">
        <v>1</v>
      </c>
    </row>
    <row r="202" spans="1:18" x14ac:dyDescent="0.2">
      <c r="A202" s="5" t="s">
        <v>299</v>
      </c>
      <c r="B202" s="22" t="s">
        <v>675</v>
      </c>
      <c r="C202" s="4" t="str">
        <f t="shared" si="6"/>
        <v>B2</v>
      </c>
      <c r="D202" s="4" t="str">
        <f t="shared" si="7"/>
        <v>B099</v>
      </c>
      <c r="E202" s="23">
        <v>1</v>
      </c>
      <c r="F202" s="23">
        <v>0</v>
      </c>
      <c r="G202" s="23">
        <v>0</v>
      </c>
      <c r="H202" s="23">
        <v>0</v>
      </c>
      <c r="I202" s="4">
        <v>1</v>
      </c>
      <c r="J202" s="4">
        <f>P202+Q202+R202+'PresenceAbsence kleine Plots'!C202</f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</row>
    <row r="203" spans="1:18" x14ac:dyDescent="0.2">
      <c r="A203" s="5" t="s">
        <v>300</v>
      </c>
      <c r="B203" s="22" t="s">
        <v>675</v>
      </c>
      <c r="C203" s="4" t="str">
        <f t="shared" si="6"/>
        <v>B2</v>
      </c>
      <c r="D203" s="4" t="str">
        <f t="shared" si="7"/>
        <v>B100</v>
      </c>
      <c r="E203" s="23">
        <v>1</v>
      </c>
      <c r="F203" s="23">
        <v>0</v>
      </c>
      <c r="G203" s="23">
        <v>0</v>
      </c>
      <c r="H203" s="23">
        <v>0</v>
      </c>
      <c r="I203" s="4">
        <v>1</v>
      </c>
      <c r="J203" s="4">
        <f>P203+Q203+R203+'PresenceAbsence kleine Plots'!C203</f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</row>
    <row r="204" spans="1:18" x14ac:dyDescent="0.2">
      <c r="A204" s="5" t="s">
        <v>301</v>
      </c>
      <c r="B204" s="22" t="s">
        <v>675</v>
      </c>
      <c r="C204" s="4" t="str">
        <f t="shared" si="6"/>
        <v>B2</v>
      </c>
      <c r="D204" s="4" t="str">
        <f t="shared" si="7"/>
        <v>B101</v>
      </c>
      <c r="E204" s="23">
        <v>1</v>
      </c>
      <c r="F204" s="23">
        <v>0</v>
      </c>
      <c r="G204" s="23">
        <v>0</v>
      </c>
      <c r="H204" s="23">
        <v>0</v>
      </c>
      <c r="I204" s="4">
        <v>1</v>
      </c>
      <c r="J204" s="4">
        <f>P204+Q204+R204+'PresenceAbsence kleine Plots'!C204</f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</row>
    <row r="205" spans="1:18" x14ac:dyDescent="0.2">
      <c r="A205" s="5" t="s">
        <v>302</v>
      </c>
      <c r="B205" s="22" t="s">
        <v>754</v>
      </c>
      <c r="C205" s="4" t="str">
        <f t="shared" si="6"/>
        <v>B3</v>
      </c>
      <c r="D205" s="4" t="str">
        <f t="shared" si="7"/>
        <v>B001</v>
      </c>
      <c r="E205" s="23">
        <v>0</v>
      </c>
      <c r="F205" s="23">
        <v>0</v>
      </c>
      <c r="G205" s="23">
        <v>0</v>
      </c>
      <c r="H205" s="23">
        <v>1</v>
      </c>
      <c r="I205" s="4">
        <v>2</v>
      </c>
      <c r="J205" s="4">
        <f>P205+Q205+R205+'PresenceAbsence kleine Plots'!C205</f>
        <v>2</v>
      </c>
      <c r="K205" s="4">
        <v>0</v>
      </c>
      <c r="L205" s="4">
        <v>0</v>
      </c>
      <c r="M205" s="4">
        <v>1</v>
      </c>
      <c r="N205" s="4">
        <v>1</v>
      </c>
      <c r="O205" s="4">
        <v>0</v>
      </c>
      <c r="P205" s="4">
        <v>0</v>
      </c>
      <c r="Q205" s="4">
        <v>1</v>
      </c>
      <c r="R205" s="4">
        <v>1</v>
      </c>
    </row>
    <row r="206" spans="1:18" x14ac:dyDescent="0.2">
      <c r="A206" s="5" t="s">
        <v>303</v>
      </c>
      <c r="B206" s="22" t="s">
        <v>673</v>
      </c>
      <c r="C206" s="4" t="str">
        <f t="shared" si="6"/>
        <v>B3</v>
      </c>
      <c r="D206" s="4" t="str">
        <f t="shared" si="7"/>
        <v>B002</v>
      </c>
      <c r="E206" s="23">
        <v>1</v>
      </c>
      <c r="F206" s="23">
        <v>0</v>
      </c>
      <c r="G206" s="23">
        <v>0</v>
      </c>
      <c r="H206" s="23">
        <v>1</v>
      </c>
      <c r="I206" s="4">
        <v>1</v>
      </c>
      <c r="J206" s="4">
        <f>P206+Q206+R206+'PresenceAbsence kleine Plots'!C206</f>
        <v>1</v>
      </c>
      <c r="K206" s="4">
        <v>1</v>
      </c>
      <c r="L206" s="4">
        <v>0</v>
      </c>
      <c r="M206" s="4">
        <v>0</v>
      </c>
      <c r="N206" s="4">
        <v>0</v>
      </c>
      <c r="O206" s="4">
        <v>1</v>
      </c>
      <c r="P206" s="4">
        <v>0</v>
      </c>
      <c r="Q206" s="4">
        <v>0</v>
      </c>
      <c r="R206" s="4">
        <v>0</v>
      </c>
    </row>
    <row r="207" spans="1:18" x14ac:dyDescent="0.2">
      <c r="A207" s="5" t="s">
        <v>304</v>
      </c>
      <c r="B207" s="22" t="s">
        <v>708</v>
      </c>
      <c r="C207" s="4" t="str">
        <f t="shared" si="6"/>
        <v>B3</v>
      </c>
      <c r="D207" s="4" t="str">
        <f t="shared" si="7"/>
        <v>B003</v>
      </c>
      <c r="E207" s="23">
        <v>1</v>
      </c>
      <c r="F207" s="23">
        <v>0</v>
      </c>
      <c r="G207" s="23">
        <v>0</v>
      </c>
      <c r="H207" s="23">
        <v>0</v>
      </c>
      <c r="I207" s="4">
        <v>1</v>
      </c>
      <c r="J207" s="4">
        <v>1</v>
      </c>
      <c r="K207" s="4">
        <v>1</v>
      </c>
      <c r="L207" s="4">
        <v>0</v>
      </c>
      <c r="M207" s="4">
        <v>0</v>
      </c>
      <c r="N207" s="4">
        <v>0</v>
      </c>
      <c r="O207" s="4">
        <v>1</v>
      </c>
      <c r="P207" s="4">
        <v>0</v>
      </c>
      <c r="Q207" s="4">
        <v>0</v>
      </c>
      <c r="R207" s="4">
        <v>0</v>
      </c>
    </row>
    <row r="208" spans="1:18" x14ac:dyDescent="0.2">
      <c r="A208" s="5" t="s">
        <v>305</v>
      </c>
      <c r="B208" s="22" t="s">
        <v>749</v>
      </c>
      <c r="C208" s="4" t="str">
        <f t="shared" si="6"/>
        <v>B3</v>
      </c>
      <c r="D208" s="4" t="str">
        <f t="shared" si="7"/>
        <v>B004</v>
      </c>
      <c r="E208" s="23">
        <v>0</v>
      </c>
      <c r="F208" s="23">
        <v>0</v>
      </c>
      <c r="G208" s="23">
        <v>0</v>
      </c>
      <c r="H208" s="23">
        <v>1</v>
      </c>
      <c r="I208" s="4">
        <v>2</v>
      </c>
      <c r="J208" s="4">
        <v>1</v>
      </c>
      <c r="K208" s="4">
        <v>2</v>
      </c>
      <c r="L208" s="4">
        <v>0</v>
      </c>
      <c r="M208" s="4">
        <v>0</v>
      </c>
      <c r="N208" s="4">
        <v>0</v>
      </c>
      <c r="O208" s="4">
        <v>1</v>
      </c>
      <c r="P208" s="4">
        <v>0</v>
      </c>
      <c r="Q208" s="4">
        <v>0</v>
      </c>
      <c r="R208" s="4">
        <v>0</v>
      </c>
    </row>
    <row r="209" spans="1:18" x14ac:dyDescent="0.2">
      <c r="A209" s="5" t="s">
        <v>306</v>
      </c>
      <c r="B209" s="22" t="s">
        <v>695</v>
      </c>
      <c r="C209" s="4" t="str">
        <f t="shared" si="6"/>
        <v>B3</v>
      </c>
      <c r="D209" s="4" t="str">
        <f t="shared" si="7"/>
        <v>B005</v>
      </c>
      <c r="E209" s="23">
        <v>1</v>
      </c>
      <c r="F209" s="23">
        <v>0</v>
      </c>
      <c r="G209" s="23">
        <v>0</v>
      </c>
      <c r="H209" s="23">
        <v>0</v>
      </c>
      <c r="I209" s="4">
        <v>1</v>
      </c>
      <c r="J209" s="4">
        <f>P209+Q209+R209+'PresenceAbsence kleine Plots'!C209</f>
        <v>1</v>
      </c>
      <c r="K209" s="4">
        <v>0</v>
      </c>
      <c r="L209" s="4">
        <v>0</v>
      </c>
      <c r="M209" s="4">
        <v>1</v>
      </c>
      <c r="N209" s="4">
        <v>0</v>
      </c>
      <c r="O209" s="4">
        <v>0</v>
      </c>
      <c r="P209" s="4">
        <v>0</v>
      </c>
      <c r="Q209" s="4">
        <v>1</v>
      </c>
      <c r="R209" s="4">
        <v>0</v>
      </c>
    </row>
    <row r="210" spans="1:18" x14ac:dyDescent="0.2">
      <c r="A210" s="5" t="s">
        <v>307</v>
      </c>
      <c r="B210" s="22" t="s">
        <v>599</v>
      </c>
      <c r="C210" s="4" t="str">
        <f t="shared" si="6"/>
        <v>B3</v>
      </c>
      <c r="D210" s="4" t="str">
        <f t="shared" si="7"/>
        <v>B006</v>
      </c>
      <c r="E210" s="23">
        <v>0</v>
      </c>
      <c r="F210" s="23">
        <v>1</v>
      </c>
      <c r="G210" s="23">
        <v>0</v>
      </c>
      <c r="H210" s="23">
        <v>0</v>
      </c>
      <c r="I210" s="4">
        <v>0</v>
      </c>
      <c r="J210" s="4">
        <f>P210+Q210+R210+'PresenceAbsence kleine Plots'!C210</f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</row>
    <row r="211" spans="1:18" x14ac:dyDescent="0.2">
      <c r="A211" s="5" t="s">
        <v>308</v>
      </c>
      <c r="B211" s="22" t="s">
        <v>582</v>
      </c>
      <c r="C211" s="4" t="str">
        <f t="shared" si="6"/>
        <v>B3</v>
      </c>
      <c r="D211" s="4" t="str">
        <f t="shared" si="7"/>
        <v>B007</v>
      </c>
      <c r="E211" s="23">
        <v>0</v>
      </c>
      <c r="F211" s="23">
        <v>1</v>
      </c>
      <c r="G211" s="23">
        <v>1</v>
      </c>
      <c r="H211" s="23">
        <v>0</v>
      </c>
      <c r="I211" s="4">
        <v>8</v>
      </c>
      <c r="J211" s="4">
        <f>P211+Q211+R211+'PresenceAbsence kleine Plots'!C211</f>
        <v>1</v>
      </c>
      <c r="K211" s="4">
        <v>0</v>
      </c>
      <c r="L211" s="4">
        <v>8</v>
      </c>
      <c r="M211" s="4">
        <v>0</v>
      </c>
      <c r="N211" s="4">
        <v>0</v>
      </c>
      <c r="O211" s="4">
        <v>0</v>
      </c>
      <c r="P211" s="4">
        <v>1</v>
      </c>
      <c r="Q211" s="4">
        <v>0</v>
      </c>
      <c r="R211" s="4">
        <v>0</v>
      </c>
    </row>
    <row r="212" spans="1:18" x14ac:dyDescent="0.2">
      <c r="A212" s="5" t="s">
        <v>309</v>
      </c>
      <c r="B212" s="22" t="s">
        <v>698</v>
      </c>
      <c r="C212" s="4" t="str">
        <f t="shared" si="6"/>
        <v>B3</v>
      </c>
      <c r="D212" s="4" t="str">
        <f t="shared" si="7"/>
        <v>B008</v>
      </c>
      <c r="E212" s="23">
        <v>1</v>
      </c>
      <c r="F212" s="23">
        <v>0</v>
      </c>
      <c r="G212" s="23">
        <v>0</v>
      </c>
      <c r="H212" s="23">
        <v>0</v>
      </c>
      <c r="I212" s="4">
        <v>1</v>
      </c>
      <c r="J212" s="4">
        <f>P212+Q212+R212+'PresenceAbsence kleine Plots'!C212</f>
        <v>1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0</v>
      </c>
      <c r="Q212" s="4">
        <v>1</v>
      </c>
      <c r="R212" s="4">
        <v>0</v>
      </c>
    </row>
    <row r="213" spans="1:18" x14ac:dyDescent="0.2">
      <c r="A213" s="5" t="s">
        <v>310</v>
      </c>
      <c r="B213" s="22" t="s">
        <v>743</v>
      </c>
      <c r="C213" s="4" t="str">
        <f t="shared" si="6"/>
        <v>B3</v>
      </c>
      <c r="D213" s="4" t="str">
        <f t="shared" si="7"/>
        <v>B009</v>
      </c>
      <c r="E213" s="23">
        <v>0</v>
      </c>
      <c r="F213" s="23">
        <v>0</v>
      </c>
      <c r="G213" s="23">
        <v>0</v>
      </c>
      <c r="H213" s="23">
        <v>1</v>
      </c>
      <c r="I213" s="4">
        <v>2</v>
      </c>
      <c r="J213" s="4">
        <v>2</v>
      </c>
      <c r="K213" s="4">
        <v>1</v>
      </c>
      <c r="L213" s="4">
        <v>0</v>
      </c>
      <c r="M213" s="4">
        <v>1</v>
      </c>
      <c r="N213" s="4">
        <v>0</v>
      </c>
      <c r="O213" s="4">
        <v>1</v>
      </c>
      <c r="P213" s="4">
        <v>0</v>
      </c>
      <c r="Q213" s="4">
        <v>1</v>
      </c>
      <c r="R213" s="4">
        <v>0</v>
      </c>
    </row>
    <row r="214" spans="1:18" x14ac:dyDescent="0.2">
      <c r="A214" s="5" t="s">
        <v>311</v>
      </c>
      <c r="B214" s="22" t="s">
        <v>692</v>
      </c>
      <c r="C214" s="4" t="str">
        <f t="shared" si="6"/>
        <v>B3</v>
      </c>
      <c r="D214" s="4" t="str">
        <f t="shared" si="7"/>
        <v>B010</v>
      </c>
      <c r="E214" s="23">
        <v>1</v>
      </c>
      <c r="F214" s="23">
        <v>0</v>
      </c>
      <c r="G214" s="23">
        <v>0</v>
      </c>
      <c r="H214" s="23">
        <v>0</v>
      </c>
      <c r="I214" s="4">
        <v>1</v>
      </c>
      <c r="J214" s="4">
        <v>1</v>
      </c>
      <c r="K214" s="4">
        <v>1</v>
      </c>
      <c r="L214" s="4">
        <v>0</v>
      </c>
      <c r="M214" s="4">
        <v>0</v>
      </c>
      <c r="N214" s="4">
        <v>0</v>
      </c>
      <c r="O214" s="4">
        <v>1</v>
      </c>
      <c r="P214" s="4">
        <v>0</v>
      </c>
      <c r="Q214" s="4">
        <v>0</v>
      </c>
      <c r="R214" s="4">
        <v>0</v>
      </c>
    </row>
    <row r="215" spans="1:18" x14ac:dyDescent="0.2">
      <c r="A215" s="5" t="s">
        <v>312</v>
      </c>
      <c r="B215" s="22" t="s">
        <v>713</v>
      </c>
      <c r="C215" s="4" t="str">
        <f t="shared" si="6"/>
        <v>B3</v>
      </c>
      <c r="D215" s="4" t="str">
        <f t="shared" si="7"/>
        <v>B011</v>
      </c>
      <c r="E215" s="23">
        <v>1</v>
      </c>
      <c r="F215" s="23">
        <v>0</v>
      </c>
      <c r="G215" s="23">
        <v>0</v>
      </c>
      <c r="H215" s="23">
        <v>1</v>
      </c>
      <c r="I215" s="4">
        <v>1</v>
      </c>
      <c r="J215" s="4">
        <v>1</v>
      </c>
      <c r="K215" s="4">
        <v>1</v>
      </c>
      <c r="L215" s="4">
        <v>0</v>
      </c>
      <c r="M215" s="4">
        <v>0</v>
      </c>
      <c r="N215" s="4">
        <v>0</v>
      </c>
      <c r="O215" s="4">
        <v>1</v>
      </c>
      <c r="P215" s="4">
        <v>0</v>
      </c>
      <c r="Q215" s="4">
        <v>0</v>
      </c>
      <c r="R215" s="4">
        <v>0</v>
      </c>
    </row>
    <row r="216" spans="1:18" x14ac:dyDescent="0.2">
      <c r="A216" s="5" t="s">
        <v>313</v>
      </c>
      <c r="B216" s="22" t="s">
        <v>525</v>
      </c>
      <c r="C216" s="4" t="str">
        <f t="shared" si="6"/>
        <v>B3</v>
      </c>
      <c r="D216" s="4" t="str">
        <f t="shared" si="7"/>
        <v>B012</v>
      </c>
      <c r="E216" s="23">
        <v>1</v>
      </c>
      <c r="F216" s="23">
        <v>1</v>
      </c>
      <c r="G216" s="23">
        <v>0</v>
      </c>
      <c r="H216" s="23">
        <v>0</v>
      </c>
      <c r="I216" s="4">
        <v>1</v>
      </c>
      <c r="J216" s="4">
        <f>P216+Q216+R216+'PresenceAbsence kleine Plots'!C216</f>
        <v>1</v>
      </c>
      <c r="K216" s="4">
        <v>0</v>
      </c>
      <c r="L216" s="4">
        <v>0</v>
      </c>
      <c r="M216" s="4">
        <v>0</v>
      </c>
      <c r="N216" s="4">
        <v>1</v>
      </c>
      <c r="O216" s="4">
        <v>0</v>
      </c>
      <c r="P216" s="4">
        <v>0</v>
      </c>
      <c r="Q216" s="4">
        <v>0</v>
      </c>
      <c r="R216" s="4">
        <v>1</v>
      </c>
    </row>
    <row r="217" spans="1:18" x14ac:dyDescent="0.2">
      <c r="A217" s="5" t="s">
        <v>314</v>
      </c>
      <c r="B217" s="22" t="s">
        <v>519</v>
      </c>
      <c r="C217" s="4" t="str">
        <f t="shared" si="6"/>
        <v>B3</v>
      </c>
      <c r="D217" s="4" t="str">
        <f t="shared" si="7"/>
        <v>B013</v>
      </c>
      <c r="E217" s="23">
        <v>0</v>
      </c>
      <c r="F217" s="23">
        <v>1</v>
      </c>
      <c r="G217" s="23">
        <v>1</v>
      </c>
      <c r="H217" s="23">
        <v>0</v>
      </c>
      <c r="I217" s="4">
        <v>8</v>
      </c>
      <c r="J217" s="4">
        <f>P217+Q217+R217+'PresenceAbsence kleine Plots'!C217</f>
        <v>2</v>
      </c>
      <c r="K217" s="4">
        <v>4</v>
      </c>
      <c r="L217" s="4">
        <v>0</v>
      </c>
      <c r="M217" s="4">
        <v>4</v>
      </c>
      <c r="N217" s="4">
        <v>0</v>
      </c>
      <c r="O217" s="4">
        <v>1</v>
      </c>
      <c r="P217" s="4">
        <v>0</v>
      </c>
      <c r="Q217" s="4">
        <v>1</v>
      </c>
      <c r="R217" s="4">
        <v>0</v>
      </c>
    </row>
    <row r="218" spans="1:18" x14ac:dyDescent="0.2">
      <c r="A218" s="5" t="s">
        <v>315</v>
      </c>
      <c r="B218" s="22" t="s">
        <v>542</v>
      </c>
      <c r="C218" s="4" t="str">
        <f t="shared" si="6"/>
        <v>B3</v>
      </c>
      <c r="D218" s="4" t="str">
        <f t="shared" si="7"/>
        <v>B014</v>
      </c>
      <c r="E218" s="23">
        <v>1</v>
      </c>
      <c r="F218" s="23">
        <v>1</v>
      </c>
      <c r="G218" s="23">
        <v>1</v>
      </c>
      <c r="H218" s="23">
        <v>1</v>
      </c>
      <c r="I218" s="4">
        <v>1</v>
      </c>
      <c r="J218" s="4">
        <f>P218+Q218+R218+'PresenceAbsence kleine Plots'!C218</f>
        <v>1</v>
      </c>
      <c r="K218" s="4">
        <v>0</v>
      </c>
      <c r="L218" s="4">
        <v>0</v>
      </c>
      <c r="M218" s="4">
        <v>1</v>
      </c>
      <c r="N218" s="4">
        <v>0</v>
      </c>
      <c r="O218" s="4">
        <v>0</v>
      </c>
      <c r="P218" s="4">
        <v>0</v>
      </c>
      <c r="Q218" s="4">
        <v>1</v>
      </c>
      <c r="R218" s="4">
        <v>0</v>
      </c>
    </row>
    <row r="219" spans="1:18" x14ac:dyDescent="0.2">
      <c r="A219" s="5" t="s">
        <v>316</v>
      </c>
      <c r="B219" s="22" t="s">
        <v>684</v>
      </c>
      <c r="C219" s="4" t="str">
        <f t="shared" si="6"/>
        <v>B3</v>
      </c>
      <c r="D219" s="4" t="str">
        <f t="shared" si="7"/>
        <v>B015</v>
      </c>
      <c r="E219" s="23">
        <v>0</v>
      </c>
      <c r="F219" s="23">
        <v>0</v>
      </c>
      <c r="G219" s="23">
        <v>0</v>
      </c>
      <c r="H219" s="23">
        <v>1</v>
      </c>
      <c r="I219" s="4">
        <v>6</v>
      </c>
      <c r="J219" s="4">
        <v>3</v>
      </c>
      <c r="K219" s="4">
        <v>3</v>
      </c>
      <c r="L219" s="4">
        <v>0</v>
      </c>
      <c r="M219" s="4">
        <v>2</v>
      </c>
      <c r="N219" s="4">
        <v>1</v>
      </c>
      <c r="O219" s="4">
        <v>1</v>
      </c>
      <c r="P219" s="4">
        <v>0</v>
      </c>
      <c r="Q219" s="4">
        <v>1</v>
      </c>
      <c r="R219" s="4">
        <v>1</v>
      </c>
    </row>
    <row r="220" spans="1:18" x14ac:dyDescent="0.2">
      <c r="A220" s="5" t="s">
        <v>317</v>
      </c>
      <c r="B220" s="22" t="s">
        <v>763</v>
      </c>
      <c r="C220" s="4" t="str">
        <f t="shared" si="6"/>
        <v>B3</v>
      </c>
      <c r="D220" s="4" t="str">
        <f t="shared" si="7"/>
        <v>B016</v>
      </c>
      <c r="E220" s="23">
        <v>0</v>
      </c>
      <c r="F220" s="23">
        <v>0</v>
      </c>
      <c r="G220" s="23">
        <v>0</v>
      </c>
      <c r="H220" s="23">
        <v>1</v>
      </c>
      <c r="I220" s="4">
        <v>2</v>
      </c>
      <c r="J220" s="4">
        <v>2</v>
      </c>
      <c r="K220" s="4">
        <v>1</v>
      </c>
      <c r="L220" s="4">
        <v>0</v>
      </c>
      <c r="M220" s="4">
        <v>0</v>
      </c>
      <c r="N220" s="4">
        <v>1</v>
      </c>
      <c r="O220" s="4">
        <v>1</v>
      </c>
      <c r="P220" s="4">
        <v>0</v>
      </c>
      <c r="Q220" s="4">
        <v>0</v>
      </c>
      <c r="R220" s="4">
        <v>1</v>
      </c>
    </row>
    <row r="221" spans="1:18" x14ac:dyDescent="0.2">
      <c r="A221" s="5" t="s">
        <v>318</v>
      </c>
      <c r="B221" s="22" t="s">
        <v>683</v>
      </c>
      <c r="C221" s="4" t="str">
        <f t="shared" si="6"/>
        <v>B3</v>
      </c>
      <c r="D221" s="4" t="str">
        <f t="shared" si="7"/>
        <v>B017</v>
      </c>
      <c r="E221" s="23">
        <v>0</v>
      </c>
      <c r="F221" s="23">
        <v>0</v>
      </c>
      <c r="G221" s="23">
        <v>0</v>
      </c>
      <c r="H221" s="23">
        <v>1</v>
      </c>
      <c r="I221" s="4">
        <v>6</v>
      </c>
      <c r="J221" s="4">
        <f>P221+Q221+R221+'PresenceAbsence kleine Plots'!C221</f>
        <v>3</v>
      </c>
      <c r="K221" s="4">
        <v>4</v>
      </c>
      <c r="L221" s="4">
        <v>0</v>
      </c>
      <c r="M221" s="4">
        <v>1</v>
      </c>
      <c r="N221" s="4">
        <v>1</v>
      </c>
      <c r="O221" s="4">
        <v>1</v>
      </c>
      <c r="P221" s="4">
        <v>0</v>
      </c>
      <c r="Q221" s="4">
        <v>1</v>
      </c>
      <c r="R221" s="4">
        <v>1</v>
      </c>
    </row>
    <row r="222" spans="1:18" x14ac:dyDescent="0.2">
      <c r="A222" s="5" t="s">
        <v>319</v>
      </c>
      <c r="B222" s="22" t="s">
        <v>583</v>
      </c>
      <c r="C222" s="4" t="str">
        <f t="shared" si="6"/>
        <v>B3</v>
      </c>
      <c r="D222" s="4" t="str">
        <f t="shared" si="7"/>
        <v>B018</v>
      </c>
      <c r="E222" s="23">
        <v>0</v>
      </c>
      <c r="F222" s="23">
        <v>1</v>
      </c>
      <c r="G222" s="23">
        <v>1</v>
      </c>
      <c r="H222" s="23">
        <v>0</v>
      </c>
      <c r="I222" s="4">
        <v>4</v>
      </c>
      <c r="J222" s="4">
        <f>P222+Q222+R222+'PresenceAbsence kleine Plots'!C222</f>
        <v>2</v>
      </c>
      <c r="K222" s="4">
        <v>0</v>
      </c>
      <c r="L222" s="4">
        <v>0</v>
      </c>
      <c r="M222" s="4">
        <v>2</v>
      </c>
      <c r="N222" s="4">
        <v>2</v>
      </c>
      <c r="O222" s="4">
        <v>0</v>
      </c>
      <c r="P222" s="4">
        <v>0</v>
      </c>
      <c r="Q222" s="4">
        <v>1</v>
      </c>
      <c r="R222" s="4">
        <v>1</v>
      </c>
    </row>
    <row r="223" spans="1:18" x14ac:dyDescent="0.2">
      <c r="A223" s="5" t="s">
        <v>320</v>
      </c>
      <c r="B223" s="22" t="s">
        <v>800</v>
      </c>
      <c r="C223" s="4" t="str">
        <f t="shared" si="6"/>
        <v>B3</v>
      </c>
      <c r="D223" s="4" t="str">
        <f t="shared" si="7"/>
        <v>B019</v>
      </c>
      <c r="E223" s="23">
        <v>0</v>
      </c>
      <c r="F223" s="23">
        <v>0</v>
      </c>
      <c r="G223" s="23">
        <v>0</v>
      </c>
      <c r="H223" s="23">
        <v>1</v>
      </c>
      <c r="I223" s="4">
        <v>4</v>
      </c>
      <c r="J223" s="4">
        <v>3</v>
      </c>
      <c r="K223" s="4">
        <v>1</v>
      </c>
      <c r="L223" s="4">
        <v>0</v>
      </c>
      <c r="M223" s="4">
        <v>1</v>
      </c>
      <c r="N223" s="4">
        <v>2</v>
      </c>
      <c r="O223" s="4">
        <v>1</v>
      </c>
      <c r="P223" s="4">
        <v>0</v>
      </c>
      <c r="Q223" s="4">
        <v>1</v>
      </c>
      <c r="R223" s="4">
        <v>1</v>
      </c>
    </row>
    <row r="224" spans="1:18" x14ac:dyDescent="0.2">
      <c r="A224" s="5" t="s">
        <v>321</v>
      </c>
      <c r="B224" s="22" t="s">
        <v>795</v>
      </c>
      <c r="C224" s="4" t="str">
        <f t="shared" si="6"/>
        <v>B3</v>
      </c>
      <c r="D224" s="4" t="str">
        <f t="shared" si="7"/>
        <v>B020</v>
      </c>
      <c r="E224" s="23">
        <v>0</v>
      </c>
      <c r="F224" s="23">
        <v>0</v>
      </c>
      <c r="G224" s="23">
        <v>0</v>
      </c>
      <c r="H224" s="23">
        <v>1</v>
      </c>
      <c r="I224" s="4">
        <v>4</v>
      </c>
      <c r="J224" s="4">
        <f>P224+Q224+R224+'PresenceAbsence kleine Plots'!C224</f>
        <v>3</v>
      </c>
      <c r="K224" s="4">
        <v>2</v>
      </c>
      <c r="L224" s="4">
        <v>0</v>
      </c>
      <c r="M224" s="4">
        <v>1</v>
      </c>
      <c r="N224" s="4">
        <v>1</v>
      </c>
      <c r="O224" s="4">
        <v>1</v>
      </c>
      <c r="P224" s="4">
        <v>0</v>
      </c>
      <c r="Q224" s="4">
        <v>1</v>
      </c>
      <c r="R224" s="4">
        <v>1</v>
      </c>
    </row>
    <row r="225" spans="1:18" x14ac:dyDescent="0.2">
      <c r="A225" s="5" t="s">
        <v>322</v>
      </c>
      <c r="B225" s="22" t="s">
        <v>778</v>
      </c>
      <c r="C225" s="4" t="str">
        <f t="shared" si="6"/>
        <v>B3</v>
      </c>
      <c r="D225" s="4" t="str">
        <f t="shared" si="7"/>
        <v>B021</v>
      </c>
      <c r="E225" s="23">
        <v>0</v>
      </c>
      <c r="F225" s="23">
        <v>0</v>
      </c>
      <c r="G225" s="23">
        <v>0</v>
      </c>
      <c r="H225" s="23">
        <v>1</v>
      </c>
      <c r="I225" s="4">
        <v>3</v>
      </c>
      <c r="J225" s="4">
        <f>P225+Q225+R225+'PresenceAbsence kleine Plots'!C225</f>
        <v>2</v>
      </c>
      <c r="K225" s="4">
        <v>0</v>
      </c>
      <c r="L225" s="4">
        <v>0</v>
      </c>
      <c r="M225" s="4">
        <v>2</v>
      </c>
      <c r="N225" s="4">
        <v>1</v>
      </c>
      <c r="O225" s="4">
        <v>0</v>
      </c>
      <c r="P225" s="4">
        <v>0</v>
      </c>
      <c r="Q225" s="4">
        <v>1</v>
      </c>
      <c r="R225" s="4">
        <v>1</v>
      </c>
    </row>
    <row r="226" spans="1:18" x14ac:dyDescent="0.2">
      <c r="A226" s="5" t="s">
        <v>323</v>
      </c>
      <c r="B226" s="22" t="s">
        <v>750</v>
      </c>
      <c r="C226" s="4" t="str">
        <f t="shared" si="6"/>
        <v>B3</v>
      </c>
      <c r="D226" s="4" t="str">
        <f t="shared" si="7"/>
        <v>B022</v>
      </c>
      <c r="E226" s="23">
        <v>0</v>
      </c>
      <c r="F226" s="23">
        <v>0</v>
      </c>
      <c r="G226" s="23">
        <v>0</v>
      </c>
      <c r="H226" s="23">
        <v>1</v>
      </c>
      <c r="I226" s="4">
        <v>2</v>
      </c>
      <c r="J226" s="4">
        <v>1</v>
      </c>
      <c r="K226" s="4">
        <v>2</v>
      </c>
      <c r="L226" s="4">
        <v>0</v>
      </c>
      <c r="M226" s="4">
        <v>0</v>
      </c>
      <c r="N226" s="4">
        <v>0</v>
      </c>
      <c r="O226" s="4">
        <v>1</v>
      </c>
      <c r="P226" s="4">
        <v>0</v>
      </c>
      <c r="Q226" s="4">
        <v>0</v>
      </c>
      <c r="R226" s="4">
        <v>0</v>
      </c>
    </row>
    <row r="227" spans="1:18" x14ac:dyDescent="0.2">
      <c r="A227" s="5" t="s">
        <v>324</v>
      </c>
      <c r="B227" s="22" t="s">
        <v>541</v>
      </c>
      <c r="C227" s="4" t="str">
        <f t="shared" si="6"/>
        <v>B3</v>
      </c>
      <c r="D227" s="4" t="str">
        <f t="shared" si="7"/>
        <v>B023</v>
      </c>
      <c r="E227" s="23">
        <v>0</v>
      </c>
      <c r="F227" s="23">
        <v>1</v>
      </c>
      <c r="G227" s="23">
        <v>1</v>
      </c>
      <c r="H227" s="23">
        <v>0</v>
      </c>
      <c r="I227" s="4">
        <v>2</v>
      </c>
      <c r="J227" s="4">
        <v>1</v>
      </c>
      <c r="K227" s="4">
        <v>2</v>
      </c>
      <c r="L227" s="4">
        <v>0</v>
      </c>
      <c r="M227" s="4">
        <v>0</v>
      </c>
      <c r="N227" s="4">
        <v>0</v>
      </c>
      <c r="O227" s="4">
        <v>1</v>
      </c>
      <c r="P227" s="4">
        <v>0</v>
      </c>
      <c r="Q227" s="4">
        <v>0</v>
      </c>
      <c r="R227" s="4">
        <v>0</v>
      </c>
    </row>
    <row r="228" spans="1:18" x14ac:dyDescent="0.2">
      <c r="A228" s="5" t="s">
        <v>325</v>
      </c>
      <c r="B228" s="22" t="s">
        <v>688</v>
      </c>
      <c r="C228" s="4" t="str">
        <f t="shared" si="6"/>
        <v>B3</v>
      </c>
      <c r="D228" s="4" t="str">
        <f t="shared" si="7"/>
        <v>B024</v>
      </c>
      <c r="E228" s="23">
        <v>0</v>
      </c>
      <c r="F228" s="23">
        <v>0</v>
      </c>
      <c r="G228" s="23">
        <v>0</v>
      </c>
      <c r="H228" s="23">
        <v>1</v>
      </c>
      <c r="I228" s="4">
        <v>6</v>
      </c>
      <c r="J228" s="4">
        <v>3</v>
      </c>
      <c r="K228" s="4">
        <v>3</v>
      </c>
      <c r="L228" s="4">
        <v>0</v>
      </c>
      <c r="M228" s="4">
        <v>1</v>
      </c>
      <c r="N228" s="4">
        <v>2</v>
      </c>
      <c r="O228" s="4">
        <v>1</v>
      </c>
      <c r="P228" s="4">
        <v>0</v>
      </c>
      <c r="Q228" s="4">
        <v>1</v>
      </c>
      <c r="R228" s="4">
        <v>1</v>
      </c>
    </row>
    <row r="229" spans="1:18" x14ac:dyDescent="0.2">
      <c r="A229" s="5" t="s">
        <v>326</v>
      </c>
      <c r="B229" s="22" t="s">
        <v>552</v>
      </c>
      <c r="C229" s="4" t="str">
        <f t="shared" si="6"/>
        <v>B3</v>
      </c>
      <c r="D229" s="4" t="str">
        <f t="shared" si="7"/>
        <v>B025</v>
      </c>
      <c r="E229" s="23">
        <v>0</v>
      </c>
      <c r="F229" s="23">
        <v>1</v>
      </c>
      <c r="G229" s="23">
        <v>1</v>
      </c>
      <c r="H229" s="23">
        <v>0</v>
      </c>
      <c r="I229" s="4">
        <v>4</v>
      </c>
      <c r="J229" s="4">
        <f>P229+Q229+R229+'PresenceAbsence kleine Plots'!C229</f>
        <v>3</v>
      </c>
      <c r="K229" s="4">
        <v>0</v>
      </c>
      <c r="L229" s="4">
        <v>2</v>
      </c>
      <c r="M229" s="4">
        <v>1</v>
      </c>
      <c r="N229" s="4">
        <v>1</v>
      </c>
      <c r="O229" s="4">
        <v>0</v>
      </c>
      <c r="P229" s="4">
        <v>1</v>
      </c>
      <c r="Q229" s="4">
        <v>1</v>
      </c>
      <c r="R229" s="4">
        <v>1</v>
      </c>
    </row>
    <row r="230" spans="1:18" x14ac:dyDescent="0.2">
      <c r="A230" s="5" t="s">
        <v>327</v>
      </c>
      <c r="B230" s="22" t="s">
        <v>720</v>
      </c>
      <c r="C230" s="4" t="str">
        <f t="shared" si="6"/>
        <v>B3</v>
      </c>
      <c r="D230" s="4" t="str">
        <f t="shared" si="7"/>
        <v>B026</v>
      </c>
      <c r="E230" s="23">
        <v>1</v>
      </c>
      <c r="F230" s="23">
        <v>0</v>
      </c>
      <c r="G230" s="23">
        <v>0</v>
      </c>
      <c r="H230" s="23">
        <v>0</v>
      </c>
      <c r="I230" s="4">
        <v>1</v>
      </c>
      <c r="J230" s="4">
        <f>P230+Q230+R230+'PresenceAbsence kleine Plots'!C230</f>
        <v>1</v>
      </c>
      <c r="K230" s="4">
        <v>0</v>
      </c>
      <c r="L230" s="4">
        <v>0</v>
      </c>
      <c r="M230" s="4">
        <v>1</v>
      </c>
      <c r="N230" s="4">
        <v>0</v>
      </c>
      <c r="O230" s="4">
        <v>0</v>
      </c>
      <c r="P230" s="4">
        <v>0</v>
      </c>
      <c r="Q230" s="4">
        <v>1</v>
      </c>
      <c r="R230" s="4">
        <v>0</v>
      </c>
    </row>
    <row r="231" spans="1:18" x14ac:dyDescent="0.2">
      <c r="A231" s="5" t="s">
        <v>328</v>
      </c>
      <c r="B231" s="22" t="s">
        <v>796</v>
      </c>
      <c r="C231" s="4" t="str">
        <f t="shared" si="6"/>
        <v>B3</v>
      </c>
      <c r="D231" s="4" t="str">
        <f t="shared" si="7"/>
        <v>B027</v>
      </c>
      <c r="E231" s="23">
        <v>0</v>
      </c>
      <c r="F231" s="23">
        <v>0</v>
      </c>
      <c r="G231" s="23">
        <v>0</v>
      </c>
      <c r="H231" s="23">
        <v>1</v>
      </c>
      <c r="I231" s="4">
        <v>4</v>
      </c>
      <c r="J231" s="4">
        <f>P231+Q231+R231+'PresenceAbsence kleine Plots'!C231</f>
        <v>2</v>
      </c>
      <c r="K231" s="4">
        <v>3</v>
      </c>
      <c r="L231" s="4">
        <v>0</v>
      </c>
      <c r="M231" s="4">
        <v>0</v>
      </c>
      <c r="N231" s="4">
        <v>1</v>
      </c>
      <c r="O231" s="4">
        <v>1</v>
      </c>
      <c r="P231" s="4">
        <v>0</v>
      </c>
      <c r="Q231" s="4">
        <v>0</v>
      </c>
      <c r="R231" s="4">
        <v>1</v>
      </c>
    </row>
    <row r="232" spans="1:18" x14ac:dyDescent="0.2">
      <c r="A232" s="5" t="s">
        <v>329</v>
      </c>
      <c r="B232" s="22" t="s">
        <v>757</v>
      </c>
      <c r="C232" s="4" t="str">
        <f t="shared" si="6"/>
        <v>B3</v>
      </c>
      <c r="D232" s="4" t="str">
        <f t="shared" si="7"/>
        <v>B028</v>
      </c>
      <c r="E232" s="23">
        <v>0</v>
      </c>
      <c r="F232" s="23">
        <v>0</v>
      </c>
      <c r="G232" s="23">
        <v>0</v>
      </c>
      <c r="H232" s="23">
        <v>1</v>
      </c>
      <c r="I232" s="4">
        <v>2</v>
      </c>
      <c r="J232" s="4">
        <f>P232+Q232+R232+'PresenceAbsence kleine Plots'!C232</f>
        <v>2</v>
      </c>
      <c r="K232" s="4">
        <v>0</v>
      </c>
      <c r="L232" s="4">
        <v>0</v>
      </c>
      <c r="M232" s="4">
        <v>1</v>
      </c>
      <c r="N232" s="4">
        <v>1</v>
      </c>
      <c r="O232" s="4">
        <v>0</v>
      </c>
      <c r="P232" s="4">
        <v>0</v>
      </c>
      <c r="Q232" s="4">
        <v>1</v>
      </c>
      <c r="R232" s="4">
        <v>1</v>
      </c>
    </row>
    <row r="233" spans="1:18" x14ac:dyDescent="0.2">
      <c r="A233" s="5" t="s">
        <v>330</v>
      </c>
      <c r="B233" s="22" t="s">
        <v>685</v>
      </c>
      <c r="C233" s="4" t="str">
        <f t="shared" si="6"/>
        <v>B3</v>
      </c>
      <c r="D233" s="4" t="str">
        <f t="shared" si="7"/>
        <v>B029</v>
      </c>
      <c r="E233" s="23">
        <v>0</v>
      </c>
      <c r="F233" s="23">
        <v>0</v>
      </c>
      <c r="G233" s="23">
        <v>0</v>
      </c>
      <c r="H233" s="23">
        <v>1</v>
      </c>
      <c r="I233" s="4">
        <v>6</v>
      </c>
      <c r="J233" s="4">
        <f>P233+Q233+R233+'PresenceAbsence kleine Plots'!C233</f>
        <v>3</v>
      </c>
      <c r="K233" s="4">
        <v>2</v>
      </c>
      <c r="L233" s="4">
        <v>0</v>
      </c>
      <c r="M233" s="4">
        <v>2</v>
      </c>
      <c r="N233" s="4">
        <v>2</v>
      </c>
      <c r="O233" s="4">
        <v>1</v>
      </c>
      <c r="P233" s="4">
        <v>0</v>
      </c>
      <c r="Q233" s="4">
        <v>1</v>
      </c>
      <c r="R233" s="4">
        <v>1</v>
      </c>
    </row>
    <row r="234" spans="1:18" x14ac:dyDescent="0.2">
      <c r="A234" s="5" t="s">
        <v>331</v>
      </c>
      <c r="B234" s="22" t="s">
        <v>677</v>
      </c>
      <c r="C234" s="4" t="str">
        <f t="shared" si="6"/>
        <v>B3</v>
      </c>
      <c r="D234" s="4" t="str">
        <f t="shared" si="7"/>
        <v>B030</v>
      </c>
      <c r="E234" s="23">
        <v>0</v>
      </c>
      <c r="F234" s="23">
        <v>0</v>
      </c>
      <c r="G234" s="23">
        <v>0</v>
      </c>
      <c r="H234" s="23">
        <v>1</v>
      </c>
      <c r="I234" s="4">
        <v>9</v>
      </c>
      <c r="J234" s="4">
        <f>P234+Q234+R234+'PresenceAbsence kleine Plots'!C234</f>
        <v>3</v>
      </c>
      <c r="K234" s="4">
        <v>5</v>
      </c>
      <c r="L234" s="4">
        <v>0</v>
      </c>
      <c r="M234" s="4">
        <v>2</v>
      </c>
      <c r="N234" s="4">
        <v>2</v>
      </c>
      <c r="O234" s="4">
        <v>1</v>
      </c>
      <c r="P234" s="4">
        <v>0</v>
      </c>
      <c r="Q234" s="4">
        <v>1</v>
      </c>
      <c r="R234" s="4">
        <v>1</v>
      </c>
    </row>
    <row r="235" spans="1:18" x14ac:dyDescent="0.2">
      <c r="A235" s="5" t="s">
        <v>332</v>
      </c>
      <c r="B235" s="22" t="s">
        <v>804</v>
      </c>
      <c r="C235" s="4" t="str">
        <f t="shared" si="6"/>
        <v>B3</v>
      </c>
      <c r="D235" s="4" t="str">
        <f t="shared" si="7"/>
        <v>B031</v>
      </c>
      <c r="E235" s="23">
        <v>0</v>
      </c>
      <c r="F235" s="23">
        <v>0</v>
      </c>
      <c r="G235" s="23">
        <v>0</v>
      </c>
      <c r="H235" s="23">
        <v>1</v>
      </c>
      <c r="I235" s="4">
        <v>3</v>
      </c>
      <c r="J235" s="4">
        <v>2</v>
      </c>
      <c r="K235" s="4">
        <v>2</v>
      </c>
      <c r="L235" s="4">
        <v>0</v>
      </c>
      <c r="M235" s="4">
        <v>1</v>
      </c>
      <c r="N235" s="4">
        <v>0</v>
      </c>
      <c r="O235" s="4">
        <v>1</v>
      </c>
      <c r="P235" s="4">
        <v>0</v>
      </c>
      <c r="Q235" s="4">
        <v>1</v>
      </c>
      <c r="R235" s="4">
        <v>0</v>
      </c>
    </row>
    <row r="236" spans="1:18" x14ac:dyDescent="0.2">
      <c r="A236" s="5" t="s">
        <v>333</v>
      </c>
      <c r="B236" s="22" t="s">
        <v>718</v>
      </c>
      <c r="C236" s="4" t="str">
        <f t="shared" si="6"/>
        <v>B3</v>
      </c>
      <c r="D236" s="4" t="str">
        <f t="shared" si="7"/>
        <v>B032</v>
      </c>
      <c r="E236" s="23">
        <v>1</v>
      </c>
      <c r="F236" s="23">
        <v>0</v>
      </c>
      <c r="G236" s="23">
        <v>0</v>
      </c>
      <c r="H236" s="23">
        <v>0</v>
      </c>
      <c r="I236" s="4">
        <v>1</v>
      </c>
      <c r="J236" s="4">
        <f>P236+Q236+R236+'PresenceAbsence kleine Plots'!C236</f>
        <v>1</v>
      </c>
      <c r="K236" s="4">
        <v>0</v>
      </c>
      <c r="L236" s="4">
        <v>0</v>
      </c>
      <c r="M236" s="4">
        <v>1</v>
      </c>
      <c r="N236" s="4">
        <v>0</v>
      </c>
      <c r="O236" s="4">
        <v>0</v>
      </c>
      <c r="P236" s="4">
        <v>0</v>
      </c>
      <c r="Q236" s="4">
        <v>1</v>
      </c>
      <c r="R236" s="4">
        <v>0</v>
      </c>
    </row>
    <row r="237" spans="1:18" x14ac:dyDescent="0.2">
      <c r="A237" s="5" t="s">
        <v>334</v>
      </c>
      <c r="B237" s="22" t="s">
        <v>746</v>
      </c>
      <c r="C237" s="4" t="str">
        <f t="shared" si="6"/>
        <v>B3</v>
      </c>
      <c r="D237" s="4" t="str">
        <f t="shared" si="7"/>
        <v>B033</v>
      </c>
      <c r="E237" s="23">
        <v>0</v>
      </c>
      <c r="F237" s="23">
        <v>0</v>
      </c>
      <c r="G237" s="23">
        <v>0</v>
      </c>
      <c r="H237" s="23">
        <v>1</v>
      </c>
      <c r="I237" s="4">
        <v>2</v>
      </c>
      <c r="J237" s="4">
        <v>2</v>
      </c>
      <c r="K237" s="4">
        <v>1</v>
      </c>
      <c r="L237" s="4">
        <v>0</v>
      </c>
      <c r="M237" s="4">
        <v>1</v>
      </c>
      <c r="N237" s="4">
        <v>0</v>
      </c>
      <c r="O237" s="4">
        <v>1</v>
      </c>
      <c r="P237" s="4">
        <v>0</v>
      </c>
      <c r="Q237" s="4">
        <v>1</v>
      </c>
      <c r="R237" s="4">
        <v>0</v>
      </c>
    </row>
    <row r="238" spans="1:18" x14ac:dyDescent="0.2">
      <c r="A238" s="5" t="s">
        <v>335</v>
      </c>
      <c r="B238" s="22" t="s">
        <v>730</v>
      </c>
      <c r="C238" s="4" t="str">
        <f t="shared" si="6"/>
        <v>B3</v>
      </c>
      <c r="D238" s="4" t="str">
        <f t="shared" si="7"/>
        <v>B034</v>
      </c>
      <c r="E238" s="23">
        <v>1</v>
      </c>
      <c r="F238" s="23">
        <v>0</v>
      </c>
      <c r="G238" s="23">
        <v>0</v>
      </c>
      <c r="H238" s="23">
        <v>0</v>
      </c>
      <c r="I238" s="4">
        <v>1</v>
      </c>
      <c r="J238" s="4">
        <f>P238+Q238+R238+'PresenceAbsence kleine Plots'!C238</f>
        <v>1</v>
      </c>
      <c r="K238" s="4">
        <v>0</v>
      </c>
      <c r="L238" s="4">
        <v>0</v>
      </c>
      <c r="M238" s="4">
        <v>0</v>
      </c>
      <c r="N238" s="4">
        <v>1</v>
      </c>
      <c r="O238" s="4">
        <v>0</v>
      </c>
      <c r="P238" s="4">
        <v>0</v>
      </c>
      <c r="Q238" s="4">
        <v>0</v>
      </c>
      <c r="R238" s="4">
        <v>1</v>
      </c>
    </row>
    <row r="239" spans="1:18" x14ac:dyDescent="0.2">
      <c r="A239" s="5" t="s">
        <v>336</v>
      </c>
      <c r="B239" s="22" t="s">
        <v>724</v>
      </c>
      <c r="C239" s="4" t="str">
        <f t="shared" si="6"/>
        <v>B3</v>
      </c>
      <c r="D239" s="4" t="str">
        <f t="shared" si="7"/>
        <v>B035</v>
      </c>
      <c r="E239" s="23">
        <v>1</v>
      </c>
      <c r="F239" s="23">
        <v>0</v>
      </c>
      <c r="G239" s="23">
        <v>0</v>
      </c>
      <c r="H239" s="23">
        <v>0</v>
      </c>
      <c r="I239" s="4">
        <v>1</v>
      </c>
      <c r="J239" s="4">
        <f>P239+Q239+R239+'PresenceAbsence kleine Plots'!C239</f>
        <v>1</v>
      </c>
      <c r="K239" s="4">
        <v>0</v>
      </c>
      <c r="L239" s="4">
        <v>0</v>
      </c>
      <c r="M239" s="4">
        <v>0</v>
      </c>
      <c r="N239" s="4">
        <v>1</v>
      </c>
      <c r="O239" s="4">
        <v>0</v>
      </c>
      <c r="P239" s="4">
        <v>0</v>
      </c>
      <c r="Q239" s="4">
        <v>0</v>
      </c>
      <c r="R239" s="4">
        <v>1</v>
      </c>
    </row>
    <row r="240" spans="1:18" x14ac:dyDescent="0.2">
      <c r="A240" s="5" t="s">
        <v>337</v>
      </c>
      <c r="B240" s="22" t="s">
        <v>792</v>
      </c>
      <c r="C240" s="4" t="str">
        <f t="shared" si="6"/>
        <v>B3</v>
      </c>
      <c r="D240" s="4" t="str">
        <f t="shared" si="7"/>
        <v>B036</v>
      </c>
      <c r="E240" s="23">
        <v>0</v>
      </c>
      <c r="F240" s="23">
        <v>0</v>
      </c>
      <c r="G240" s="23">
        <v>0</v>
      </c>
      <c r="H240" s="23">
        <v>1</v>
      </c>
      <c r="I240" s="4">
        <v>4</v>
      </c>
      <c r="J240" s="4">
        <v>3</v>
      </c>
      <c r="K240" s="4">
        <v>2</v>
      </c>
      <c r="L240" s="4">
        <v>0</v>
      </c>
      <c r="M240" s="4">
        <v>1</v>
      </c>
      <c r="N240" s="4">
        <v>1</v>
      </c>
      <c r="O240" s="4">
        <v>1</v>
      </c>
      <c r="P240" s="4">
        <v>0</v>
      </c>
      <c r="Q240" s="4">
        <v>1</v>
      </c>
      <c r="R240" s="4">
        <v>1</v>
      </c>
    </row>
    <row r="241" spans="1:18" x14ac:dyDescent="0.2">
      <c r="A241" s="5" t="s">
        <v>338</v>
      </c>
      <c r="B241" s="22" t="s">
        <v>531</v>
      </c>
      <c r="C241" s="4" t="str">
        <f t="shared" si="6"/>
        <v>B3</v>
      </c>
      <c r="D241" s="4" t="str">
        <f t="shared" si="7"/>
        <v>B037</v>
      </c>
      <c r="E241" s="23">
        <v>0</v>
      </c>
      <c r="F241" s="23">
        <v>1</v>
      </c>
      <c r="G241" s="23">
        <v>1</v>
      </c>
      <c r="H241" s="23">
        <v>0</v>
      </c>
      <c r="I241" s="4">
        <v>8</v>
      </c>
      <c r="J241" s="4">
        <v>4</v>
      </c>
      <c r="K241" s="4">
        <v>2</v>
      </c>
      <c r="L241" s="4">
        <v>2</v>
      </c>
      <c r="M241" s="4">
        <v>2</v>
      </c>
      <c r="N241" s="4">
        <v>2</v>
      </c>
      <c r="O241" s="4">
        <v>1</v>
      </c>
      <c r="P241" s="4">
        <v>1</v>
      </c>
      <c r="Q241" s="4">
        <v>1</v>
      </c>
      <c r="R241" s="4">
        <v>1</v>
      </c>
    </row>
    <row r="242" spans="1:18" x14ac:dyDescent="0.2">
      <c r="A242" s="5" t="s">
        <v>339</v>
      </c>
      <c r="B242" s="22" t="s">
        <v>701</v>
      </c>
      <c r="C242" s="4" t="str">
        <f t="shared" si="6"/>
        <v>B3</v>
      </c>
      <c r="D242" s="4" t="str">
        <f t="shared" si="7"/>
        <v>B038</v>
      </c>
      <c r="E242" s="23">
        <v>1</v>
      </c>
      <c r="F242" s="23">
        <v>0</v>
      </c>
      <c r="G242" s="23">
        <v>0</v>
      </c>
      <c r="H242" s="23">
        <v>0</v>
      </c>
      <c r="I242" s="4">
        <v>1</v>
      </c>
      <c r="J242" s="4">
        <f>P242+Q242+R242+'PresenceAbsence kleine Plots'!C242</f>
        <v>1</v>
      </c>
      <c r="K242" s="4">
        <v>0</v>
      </c>
      <c r="L242" s="4">
        <v>1</v>
      </c>
      <c r="M242" s="4">
        <v>0</v>
      </c>
      <c r="N242" s="4">
        <v>0</v>
      </c>
      <c r="O242" s="4">
        <v>0</v>
      </c>
      <c r="P242" s="4">
        <v>1</v>
      </c>
      <c r="Q242" s="4">
        <v>0</v>
      </c>
      <c r="R242" s="4">
        <v>0</v>
      </c>
    </row>
    <row r="243" spans="1:18" x14ac:dyDescent="0.2">
      <c r="A243" s="5" t="s">
        <v>340</v>
      </c>
      <c r="B243" s="22" t="s">
        <v>722</v>
      </c>
      <c r="C243" s="4" t="str">
        <f t="shared" si="6"/>
        <v>B3</v>
      </c>
      <c r="D243" s="4" t="str">
        <f t="shared" si="7"/>
        <v>B039</v>
      </c>
      <c r="E243" s="23">
        <v>1</v>
      </c>
      <c r="F243" s="23">
        <v>0</v>
      </c>
      <c r="G243" s="23">
        <v>0</v>
      </c>
      <c r="H243" s="23">
        <v>0</v>
      </c>
      <c r="I243" s="4">
        <v>1</v>
      </c>
      <c r="J243" s="4">
        <f>P243+Q243+R243+'PresenceAbsence kleine Plots'!C243</f>
        <v>1</v>
      </c>
      <c r="K243" s="4">
        <v>0</v>
      </c>
      <c r="L243" s="4">
        <v>1</v>
      </c>
      <c r="M243" s="4">
        <v>0</v>
      </c>
      <c r="N243" s="4">
        <v>0</v>
      </c>
      <c r="O243" s="4">
        <v>0</v>
      </c>
      <c r="P243" s="4">
        <v>1</v>
      </c>
      <c r="Q243" s="4">
        <v>0</v>
      </c>
      <c r="R243" s="4">
        <v>0</v>
      </c>
    </row>
    <row r="244" spans="1:18" x14ac:dyDescent="0.2">
      <c r="A244" s="5" t="s">
        <v>341</v>
      </c>
      <c r="B244" s="22" t="s">
        <v>715</v>
      </c>
      <c r="C244" s="4" t="str">
        <f t="shared" si="6"/>
        <v>B3</v>
      </c>
      <c r="D244" s="4" t="str">
        <f t="shared" si="7"/>
        <v>B040</v>
      </c>
      <c r="E244" s="23">
        <v>1</v>
      </c>
      <c r="F244" s="23">
        <v>0</v>
      </c>
      <c r="G244" s="23">
        <v>0</v>
      </c>
      <c r="H244" s="23">
        <v>0</v>
      </c>
      <c r="I244" s="4">
        <v>1</v>
      </c>
      <c r="J244" s="4">
        <f>P244+Q244+R244+'PresenceAbsence kleine Plots'!C244</f>
        <v>1</v>
      </c>
      <c r="K244" s="4">
        <v>0</v>
      </c>
      <c r="L244" s="4">
        <v>1</v>
      </c>
      <c r="M244" s="4">
        <v>0</v>
      </c>
      <c r="N244" s="4">
        <v>0</v>
      </c>
      <c r="O244" s="4">
        <v>0</v>
      </c>
      <c r="P244" s="4">
        <v>1</v>
      </c>
      <c r="Q244" s="4">
        <v>0</v>
      </c>
      <c r="R244" s="4">
        <v>0</v>
      </c>
    </row>
    <row r="245" spans="1:18" x14ac:dyDescent="0.2">
      <c r="A245" s="5" t="s">
        <v>342</v>
      </c>
      <c r="B245" s="22" t="s">
        <v>776</v>
      </c>
      <c r="C245" s="4" t="str">
        <f t="shared" si="6"/>
        <v>B3</v>
      </c>
      <c r="D245" s="4" t="str">
        <f t="shared" si="7"/>
        <v>B041</v>
      </c>
      <c r="E245" s="23">
        <v>0</v>
      </c>
      <c r="F245" s="23">
        <v>0</v>
      </c>
      <c r="G245" s="23">
        <v>0</v>
      </c>
      <c r="H245" s="23">
        <v>1</v>
      </c>
      <c r="I245" s="4">
        <v>3</v>
      </c>
      <c r="J245" s="4">
        <f>P245+Q245+R245+'PresenceAbsence kleine Plots'!C245</f>
        <v>2</v>
      </c>
      <c r="K245" s="4">
        <v>2</v>
      </c>
      <c r="L245" s="4">
        <v>0</v>
      </c>
      <c r="M245" s="4">
        <v>0</v>
      </c>
      <c r="N245" s="4">
        <v>1</v>
      </c>
      <c r="O245" s="4">
        <v>1</v>
      </c>
      <c r="P245" s="4">
        <v>0</v>
      </c>
      <c r="Q245" s="4">
        <v>0</v>
      </c>
      <c r="R245" s="4">
        <v>1</v>
      </c>
    </row>
    <row r="246" spans="1:18" x14ac:dyDescent="0.2">
      <c r="A246" s="5" t="s">
        <v>343</v>
      </c>
      <c r="B246" s="22" t="s">
        <v>672</v>
      </c>
      <c r="C246" s="4" t="str">
        <f t="shared" si="6"/>
        <v>B3</v>
      </c>
      <c r="D246" s="4" t="str">
        <f t="shared" si="7"/>
        <v>B042</v>
      </c>
      <c r="E246" s="23">
        <v>1</v>
      </c>
      <c r="F246" s="23">
        <v>0</v>
      </c>
      <c r="G246" s="23">
        <v>0</v>
      </c>
      <c r="H246" s="23">
        <v>0</v>
      </c>
      <c r="I246" s="4">
        <v>1</v>
      </c>
      <c r="J246" s="4">
        <f>P246+Q246+R246+'PresenceAbsence kleine Plots'!C246</f>
        <v>1</v>
      </c>
      <c r="K246" s="4">
        <v>0</v>
      </c>
      <c r="L246" s="4">
        <v>1</v>
      </c>
      <c r="M246" s="4">
        <v>0</v>
      </c>
      <c r="N246" s="4">
        <v>0</v>
      </c>
      <c r="O246" s="4">
        <v>0</v>
      </c>
      <c r="P246" s="4">
        <v>1</v>
      </c>
      <c r="Q246" s="4">
        <v>0</v>
      </c>
      <c r="R246" s="4">
        <v>0</v>
      </c>
    </row>
    <row r="247" spans="1:18" x14ac:dyDescent="0.2">
      <c r="A247" s="5" t="s">
        <v>344</v>
      </c>
      <c r="B247" s="22" t="s">
        <v>781</v>
      </c>
      <c r="C247" s="4" t="str">
        <f t="shared" si="6"/>
        <v>B3</v>
      </c>
      <c r="D247" s="4" t="str">
        <f t="shared" si="7"/>
        <v>B043</v>
      </c>
      <c r="E247" s="23">
        <v>0</v>
      </c>
      <c r="F247" s="23">
        <v>0</v>
      </c>
      <c r="G247" s="23">
        <v>0</v>
      </c>
      <c r="H247" s="23">
        <v>1</v>
      </c>
      <c r="I247" s="4">
        <v>3</v>
      </c>
      <c r="J247" s="4">
        <v>2</v>
      </c>
      <c r="K247" s="4">
        <v>1</v>
      </c>
      <c r="L247" s="4">
        <v>0</v>
      </c>
      <c r="M247" s="4">
        <v>0</v>
      </c>
      <c r="N247" s="4">
        <v>2</v>
      </c>
      <c r="O247" s="4">
        <v>1</v>
      </c>
      <c r="P247" s="4">
        <v>0</v>
      </c>
      <c r="Q247" s="4">
        <v>0</v>
      </c>
      <c r="R247" s="4">
        <v>1</v>
      </c>
    </row>
    <row r="248" spans="1:18" x14ac:dyDescent="0.2">
      <c r="A248" s="5" t="s">
        <v>345</v>
      </c>
      <c r="B248" s="22" t="s">
        <v>523</v>
      </c>
      <c r="C248" s="4" t="str">
        <f t="shared" si="6"/>
        <v>B3</v>
      </c>
      <c r="D248" s="4" t="str">
        <f t="shared" si="7"/>
        <v>B044</v>
      </c>
      <c r="E248" s="23">
        <v>0</v>
      </c>
      <c r="F248" s="23">
        <v>1</v>
      </c>
      <c r="G248" s="23">
        <v>1</v>
      </c>
      <c r="H248" s="23">
        <v>0</v>
      </c>
      <c r="I248" s="4">
        <v>16</v>
      </c>
      <c r="J248" s="4">
        <f>P248+Q248+R248+'PresenceAbsence kleine Plots'!C248</f>
        <v>2</v>
      </c>
      <c r="K248" s="4">
        <v>8</v>
      </c>
      <c r="L248" s="4">
        <v>0</v>
      </c>
      <c r="M248" s="4">
        <v>8</v>
      </c>
      <c r="N248" s="4">
        <v>0</v>
      </c>
      <c r="O248" s="4">
        <v>1</v>
      </c>
      <c r="P248" s="4">
        <v>0</v>
      </c>
      <c r="Q248" s="4">
        <v>1</v>
      </c>
      <c r="R248" s="4">
        <v>0</v>
      </c>
    </row>
    <row r="249" spans="1:18" x14ac:dyDescent="0.2">
      <c r="A249" s="5" t="s">
        <v>346</v>
      </c>
      <c r="B249" s="22" t="s">
        <v>710</v>
      </c>
      <c r="C249" s="4" t="str">
        <f t="shared" si="6"/>
        <v>B3</v>
      </c>
      <c r="D249" s="4" t="str">
        <f t="shared" si="7"/>
        <v>B045</v>
      </c>
      <c r="E249" s="23">
        <v>1</v>
      </c>
      <c r="F249" s="23">
        <v>0</v>
      </c>
      <c r="G249" s="23">
        <v>0</v>
      </c>
      <c r="H249" s="23">
        <v>0</v>
      </c>
      <c r="I249" s="4">
        <v>1</v>
      </c>
      <c r="J249" s="4">
        <v>1</v>
      </c>
      <c r="K249" s="4">
        <v>1</v>
      </c>
      <c r="L249" s="4">
        <v>0</v>
      </c>
      <c r="M249" s="4">
        <v>0</v>
      </c>
      <c r="N249" s="4">
        <v>0</v>
      </c>
      <c r="O249" s="4">
        <v>1</v>
      </c>
      <c r="P249" s="4">
        <v>0</v>
      </c>
      <c r="Q249" s="4">
        <v>0</v>
      </c>
      <c r="R249" s="4">
        <v>0</v>
      </c>
    </row>
    <row r="250" spans="1:18" x14ac:dyDescent="0.2">
      <c r="A250" s="5" t="s">
        <v>347</v>
      </c>
      <c r="B250" s="22" t="s">
        <v>765</v>
      </c>
      <c r="C250" s="4" t="str">
        <f t="shared" si="6"/>
        <v>B3</v>
      </c>
      <c r="D250" s="4" t="str">
        <f t="shared" si="7"/>
        <v>B046</v>
      </c>
      <c r="E250" s="23">
        <v>0</v>
      </c>
      <c r="F250" s="23">
        <v>0</v>
      </c>
      <c r="G250" s="23">
        <v>0</v>
      </c>
      <c r="H250" s="23">
        <v>1</v>
      </c>
      <c r="I250" s="4">
        <v>2</v>
      </c>
      <c r="J250" s="4">
        <v>2</v>
      </c>
      <c r="K250" s="4">
        <v>1</v>
      </c>
      <c r="L250" s="4">
        <v>0</v>
      </c>
      <c r="M250" s="4">
        <v>0</v>
      </c>
      <c r="N250" s="4">
        <v>1</v>
      </c>
      <c r="O250" s="4">
        <v>1</v>
      </c>
      <c r="P250" s="4">
        <v>0</v>
      </c>
      <c r="Q250" s="4">
        <v>0</v>
      </c>
      <c r="R250" s="4">
        <v>1</v>
      </c>
    </row>
    <row r="251" spans="1:18" x14ac:dyDescent="0.2">
      <c r="A251" s="5" t="s">
        <v>348</v>
      </c>
      <c r="B251" s="22" t="s">
        <v>725</v>
      </c>
      <c r="C251" s="4" t="str">
        <f t="shared" si="6"/>
        <v>B3</v>
      </c>
      <c r="D251" s="4" t="str">
        <f t="shared" si="7"/>
        <v>B047</v>
      </c>
      <c r="E251" s="23">
        <v>1</v>
      </c>
      <c r="F251" s="23">
        <v>0</v>
      </c>
      <c r="G251" s="23">
        <v>0</v>
      </c>
      <c r="H251" s="23">
        <v>0</v>
      </c>
      <c r="I251" s="4">
        <v>1</v>
      </c>
      <c r="J251" s="4">
        <f>P251+Q251+R251+'PresenceAbsence kleine Plots'!C251</f>
        <v>1</v>
      </c>
      <c r="K251" s="4">
        <v>0</v>
      </c>
      <c r="L251" s="4">
        <v>0</v>
      </c>
      <c r="M251" s="4">
        <v>0</v>
      </c>
      <c r="N251" s="4">
        <v>1</v>
      </c>
      <c r="O251" s="4">
        <v>0</v>
      </c>
      <c r="P251" s="4">
        <v>0</v>
      </c>
      <c r="Q251" s="4">
        <v>0</v>
      </c>
      <c r="R251" s="4">
        <v>1</v>
      </c>
    </row>
    <row r="252" spans="1:18" x14ac:dyDescent="0.2">
      <c r="A252" s="5" t="s">
        <v>349</v>
      </c>
      <c r="B252" s="22" t="s">
        <v>732</v>
      </c>
      <c r="C252" s="4" t="str">
        <f t="shared" si="6"/>
        <v>B3</v>
      </c>
      <c r="D252" s="4" t="str">
        <f t="shared" si="7"/>
        <v>B048</v>
      </c>
      <c r="E252" s="23">
        <v>0</v>
      </c>
      <c r="F252" s="23">
        <v>0</v>
      </c>
      <c r="G252" s="23">
        <v>0</v>
      </c>
      <c r="H252" s="23">
        <v>1</v>
      </c>
      <c r="I252" s="4">
        <v>2</v>
      </c>
      <c r="J252" s="4">
        <f>P252+Q252+R252+'PresenceAbsence kleine Plots'!C252</f>
        <v>2</v>
      </c>
      <c r="K252" s="4">
        <v>1</v>
      </c>
      <c r="L252" s="4">
        <v>0</v>
      </c>
      <c r="M252" s="4">
        <v>1</v>
      </c>
      <c r="N252" s="4">
        <v>0</v>
      </c>
      <c r="O252" s="4">
        <v>1</v>
      </c>
      <c r="P252" s="4">
        <v>0</v>
      </c>
      <c r="Q252" s="4">
        <v>1</v>
      </c>
      <c r="R252" s="4">
        <v>0</v>
      </c>
    </row>
    <row r="253" spans="1:18" x14ac:dyDescent="0.2">
      <c r="A253" s="5" t="s">
        <v>350</v>
      </c>
      <c r="B253" s="22" t="s">
        <v>540</v>
      </c>
      <c r="C253" s="4" t="str">
        <f t="shared" si="6"/>
        <v>B3</v>
      </c>
      <c r="D253" s="4" t="str">
        <f t="shared" si="7"/>
        <v>B049</v>
      </c>
      <c r="E253" s="23">
        <v>0</v>
      </c>
      <c r="F253" s="23">
        <v>1</v>
      </c>
      <c r="G253" s="23">
        <v>1</v>
      </c>
      <c r="H253" s="23">
        <v>0</v>
      </c>
      <c r="I253" s="4">
        <v>4</v>
      </c>
      <c r="J253" s="4">
        <v>4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</row>
    <row r="254" spans="1:18" x14ac:dyDescent="0.2">
      <c r="A254" s="5" t="s">
        <v>351</v>
      </c>
      <c r="B254" s="22" t="s">
        <v>524</v>
      </c>
      <c r="C254" s="4" t="str">
        <f t="shared" si="6"/>
        <v>B3</v>
      </c>
      <c r="D254" s="4" t="str">
        <f t="shared" si="7"/>
        <v>B050</v>
      </c>
      <c r="E254" s="23">
        <v>0</v>
      </c>
      <c r="F254" s="23">
        <v>1</v>
      </c>
      <c r="G254" s="23">
        <v>1</v>
      </c>
      <c r="H254" s="23">
        <v>0</v>
      </c>
      <c r="I254" s="4">
        <v>2</v>
      </c>
      <c r="J254" s="4">
        <f>P254+Q254+R254+'PresenceAbsence kleine Plots'!C254</f>
        <v>1</v>
      </c>
      <c r="K254" s="4">
        <v>0</v>
      </c>
      <c r="L254" s="4">
        <v>0</v>
      </c>
      <c r="M254" s="4">
        <v>2</v>
      </c>
      <c r="N254" s="4">
        <v>0</v>
      </c>
      <c r="O254" s="4">
        <v>0</v>
      </c>
      <c r="P254" s="4">
        <v>0</v>
      </c>
      <c r="Q254" s="4">
        <v>1</v>
      </c>
      <c r="R254" s="4">
        <v>0</v>
      </c>
    </row>
    <row r="255" spans="1:18" x14ac:dyDescent="0.2">
      <c r="A255" s="5" t="s">
        <v>352</v>
      </c>
      <c r="B255" s="22" t="s">
        <v>793</v>
      </c>
      <c r="C255" s="4" t="str">
        <f t="shared" si="6"/>
        <v>B3</v>
      </c>
      <c r="D255" s="4" t="str">
        <f t="shared" si="7"/>
        <v>B051</v>
      </c>
      <c r="E255" s="23">
        <v>0</v>
      </c>
      <c r="F255" s="23">
        <v>0</v>
      </c>
      <c r="G255" s="23">
        <v>0</v>
      </c>
      <c r="H255" s="23">
        <v>1</v>
      </c>
      <c r="I255" s="4">
        <v>4</v>
      </c>
      <c r="J255" s="4">
        <v>3</v>
      </c>
      <c r="K255" s="4">
        <v>1</v>
      </c>
      <c r="L255" s="4">
        <v>0</v>
      </c>
      <c r="M255" s="4">
        <v>2</v>
      </c>
      <c r="N255" s="4">
        <v>1</v>
      </c>
      <c r="O255" s="4">
        <v>1</v>
      </c>
      <c r="P255" s="4">
        <v>0</v>
      </c>
      <c r="Q255" s="4">
        <v>1</v>
      </c>
      <c r="R255" s="4">
        <v>1</v>
      </c>
    </row>
    <row r="256" spans="1:18" x14ac:dyDescent="0.2">
      <c r="A256" s="5" t="s">
        <v>353</v>
      </c>
      <c r="B256" s="22" t="s">
        <v>580</v>
      </c>
      <c r="C256" s="4" t="str">
        <f t="shared" si="6"/>
        <v>B3</v>
      </c>
      <c r="D256" s="4" t="str">
        <f t="shared" si="7"/>
        <v>B052</v>
      </c>
      <c r="E256" s="23">
        <v>1</v>
      </c>
      <c r="F256" s="23">
        <v>1</v>
      </c>
      <c r="G256" s="23">
        <v>1</v>
      </c>
      <c r="H256" s="23">
        <v>0</v>
      </c>
      <c r="I256" s="4">
        <v>1</v>
      </c>
      <c r="J256" s="4">
        <f>P256+Q256+R256+'PresenceAbsence kleine Plots'!C256</f>
        <v>1</v>
      </c>
      <c r="K256" s="4">
        <v>0</v>
      </c>
      <c r="L256" s="4">
        <v>1</v>
      </c>
      <c r="M256" s="4">
        <v>0</v>
      </c>
      <c r="N256" s="4">
        <v>0</v>
      </c>
      <c r="O256" s="4">
        <v>0</v>
      </c>
      <c r="P256" s="4">
        <v>1</v>
      </c>
      <c r="Q256" s="4">
        <v>0</v>
      </c>
      <c r="R256" s="4">
        <v>0</v>
      </c>
    </row>
    <row r="257" spans="1:18" x14ac:dyDescent="0.2">
      <c r="A257" s="5" t="s">
        <v>354</v>
      </c>
      <c r="B257" s="22" t="s">
        <v>588</v>
      </c>
      <c r="C257" s="4" t="str">
        <f t="shared" si="6"/>
        <v>B3</v>
      </c>
      <c r="D257" s="4" t="str">
        <f t="shared" si="7"/>
        <v>B053</v>
      </c>
      <c r="E257" s="23">
        <v>1</v>
      </c>
      <c r="F257" s="23">
        <v>1</v>
      </c>
      <c r="G257" s="23">
        <v>1</v>
      </c>
      <c r="H257" s="23">
        <v>0</v>
      </c>
      <c r="I257" s="4">
        <v>1</v>
      </c>
      <c r="J257" s="4">
        <v>1</v>
      </c>
      <c r="K257" s="4">
        <v>1</v>
      </c>
      <c r="L257" s="4">
        <v>0</v>
      </c>
      <c r="M257" s="4">
        <v>0</v>
      </c>
      <c r="N257" s="4">
        <v>0</v>
      </c>
      <c r="O257" s="4">
        <v>1</v>
      </c>
      <c r="P257" s="4">
        <v>0</v>
      </c>
      <c r="Q257" s="4">
        <v>0</v>
      </c>
      <c r="R257" s="4">
        <v>0</v>
      </c>
    </row>
    <row r="258" spans="1:18" x14ac:dyDescent="0.2">
      <c r="A258" s="5" t="s">
        <v>355</v>
      </c>
      <c r="B258" s="22" t="s">
        <v>737</v>
      </c>
      <c r="C258" s="4" t="str">
        <f t="shared" ref="C258:C321" si="8">LEFT(A258,2)</f>
        <v>B3</v>
      </c>
      <c r="D258" s="4" t="str">
        <f t="shared" ref="D258:D321" si="9">RIGHT(A258,4)</f>
        <v>B054</v>
      </c>
      <c r="E258" s="23">
        <v>0</v>
      </c>
      <c r="F258" s="23">
        <v>0</v>
      </c>
      <c r="G258" s="23">
        <v>0</v>
      </c>
      <c r="H258" s="23">
        <v>1</v>
      </c>
      <c r="I258" s="4">
        <v>2</v>
      </c>
      <c r="J258" s="4">
        <v>1</v>
      </c>
      <c r="K258" s="4">
        <v>2</v>
      </c>
      <c r="L258" s="4">
        <v>0</v>
      </c>
      <c r="M258" s="4">
        <v>0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</row>
    <row r="259" spans="1:18" x14ac:dyDescent="0.2">
      <c r="A259" s="5" t="s">
        <v>356</v>
      </c>
      <c r="B259" s="22" t="s">
        <v>742</v>
      </c>
      <c r="C259" s="4" t="str">
        <f t="shared" si="8"/>
        <v>B3</v>
      </c>
      <c r="D259" s="4" t="str">
        <f t="shared" si="9"/>
        <v>B055</v>
      </c>
      <c r="E259" s="23">
        <v>0</v>
      </c>
      <c r="F259" s="23">
        <v>0</v>
      </c>
      <c r="G259" s="23">
        <v>0</v>
      </c>
      <c r="H259" s="23">
        <v>1</v>
      </c>
      <c r="I259" s="4">
        <v>2</v>
      </c>
      <c r="J259" s="4">
        <f>P259+Q259+R259+'PresenceAbsence kleine Plots'!C259</f>
        <v>1</v>
      </c>
      <c r="K259" s="4">
        <v>2</v>
      </c>
      <c r="L259" s="4">
        <v>0</v>
      </c>
      <c r="M259" s="4">
        <v>0</v>
      </c>
      <c r="N259" s="4">
        <v>0</v>
      </c>
      <c r="O259" s="4">
        <v>1</v>
      </c>
      <c r="P259" s="4">
        <v>0</v>
      </c>
      <c r="Q259" s="4">
        <v>0</v>
      </c>
      <c r="R259" s="4">
        <v>0</v>
      </c>
    </row>
    <row r="260" spans="1:18" x14ac:dyDescent="0.2">
      <c r="A260" s="5" t="s">
        <v>357</v>
      </c>
      <c r="B260" s="22" t="s">
        <v>726</v>
      </c>
      <c r="C260" s="4" t="str">
        <f t="shared" si="8"/>
        <v>B3</v>
      </c>
      <c r="D260" s="4" t="str">
        <f t="shared" si="9"/>
        <v>B056</v>
      </c>
      <c r="E260" s="23">
        <v>1</v>
      </c>
      <c r="F260" s="23">
        <v>0</v>
      </c>
      <c r="G260" s="23">
        <v>0</v>
      </c>
      <c r="H260" s="23">
        <v>0</v>
      </c>
      <c r="I260" s="4">
        <v>1</v>
      </c>
      <c r="J260" s="4">
        <v>1</v>
      </c>
      <c r="K260" s="4">
        <v>1</v>
      </c>
      <c r="L260" s="4">
        <v>0</v>
      </c>
      <c r="M260" s="4">
        <v>0</v>
      </c>
      <c r="N260" s="4">
        <v>0</v>
      </c>
      <c r="O260" s="4">
        <v>1</v>
      </c>
      <c r="P260" s="4">
        <v>0</v>
      </c>
      <c r="Q260" s="4">
        <v>0</v>
      </c>
      <c r="R260" s="4">
        <v>0</v>
      </c>
    </row>
    <row r="261" spans="1:18" x14ac:dyDescent="0.2">
      <c r="A261" s="5" t="s">
        <v>358</v>
      </c>
      <c r="B261" s="22" t="s">
        <v>691</v>
      </c>
      <c r="C261" s="4" t="str">
        <f t="shared" si="8"/>
        <v>B3</v>
      </c>
      <c r="D261" s="4" t="str">
        <f t="shared" si="9"/>
        <v>B057</v>
      </c>
      <c r="E261" s="23">
        <v>1</v>
      </c>
      <c r="F261" s="23">
        <v>0</v>
      </c>
      <c r="G261" s="23">
        <v>0</v>
      </c>
      <c r="H261" s="23">
        <v>1</v>
      </c>
      <c r="I261" s="4">
        <v>1</v>
      </c>
      <c r="J261" s="4">
        <v>1</v>
      </c>
      <c r="K261" s="4">
        <v>1</v>
      </c>
      <c r="L261" s="4">
        <v>0</v>
      </c>
      <c r="M261" s="4">
        <v>0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</row>
    <row r="262" spans="1:18" x14ac:dyDescent="0.2">
      <c r="A262" s="5" t="s">
        <v>359</v>
      </c>
      <c r="B262" s="22" t="s">
        <v>702</v>
      </c>
      <c r="C262" s="4" t="str">
        <f t="shared" si="8"/>
        <v>B3</v>
      </c>
      <c r="D262" s="4" t="str">
        <f t="shared" si="9"/>
        <v>B058</v>
      </c>
      <c r="E262" s="23">
        <v>1</v>
      </c>
      <c r="F262" s="23">
        <v>0</v>
      </c>
      <c r="G262" s="23">
        <v>0</v>
      </c>
      <c r="H262" s="23">
        <v>0</v>
      </c>
      <c r="I262" s="4">
        <v>1</v>
      </c>
      <c r="J262" s="4">
        <f>P262+Q262+R262+'PresenceAbsence kleine Plots'!C262</f>
        <v>1</v>
      </c>
      <c r="K262" s="4">
        <v>0</v>
      </c>
      <c r="L262" s="4">
        <v>0</v>
      </c>
      <c r="M262" s="4">
        <v>1</v>
      </c>
      <c r="N262" s="4">
        <v>0</v>
      </c>
      <c r="O262" s="4">
        <v>0</v>
      </c>
      <c r="P262" s="4">
        <v>0</v>
      </c>
      <c r="Q262" s="4">
        <v>1</v>
      </c>
      <c r="R262" s="4">
        <v>0</v>
      </c>
    </row>
    <row r="263" spans="1:18" x14ac:dyDescent="0.2">
      <c r="A263" s="5" t="s">
        <v>360</v>
      </c>
      <c r="B263" s="22" t="s">
        <v>579</v>
      </c>
      <c r="C263" s="4" t="str">
        <f t="shared" si="8"/>
        <v>B3</v>
      </c>
      <c r="D263" s="4" t="str">
        <f t="shared" si="9"/>
        <v>B059</v>
      </c>
      <c r="E263" s="23">
        <v>0</v>
      </c>
      <c r="F263" s="23">
        <v>1</v>
      </c>
      <c r="G263" s="23">
        <v>1</v>
      </c>
      <c r="H263" s="23">
        <v>0</v>
      </c>
      <c r="I263" s="4">
        <v>16</v>
      </c>
      <c r="J263" s="4">
        <v>3</v>
      </c>
      <c r="K263" s="4">
        <v>5</v>
      </c>
      <c r="L263" s="4">
        <v>5</v>
      </c>
      <c r="M263" s="4">
        <v>6</v>
      </c>
      <c r="N263" s="4">
        <v>0</v>
      </c>
      <c r="O263" s="4">
        <v>1</v>
      </c>
      <c r="P263" s="4">
        <v>1</v>
      </c>
      <c r="Q263" s="4">
        <v>1</v>
      </c>
      <c r="R263" s="4">
        <v>0</v>
      </c>
    </row>
    <row r="264" spans="1:18" x14ac:dyDescent="0.2">
      <c r="A264" s="5" t="s">
        <v>361</v>
      </c>
      <c r="B264" s="22" t="s">
        <v>567</v>
      </c>
      <c r="C264" s="4" t="str">
        <f t="shared" si="8"/>
        <v>B3</v>
      </c>
      <c r="D264" s="4" t="str">
        <f t="shared" si="9"/>
        <v>B060</v>
      </c>
      <c r="E264" s="23">
        <v>0</v>
      </c>
      <c r="F264" s="23">
        <v>1</v>
      </c>
      <c r="G264" s="23">
        <v>1</v>
      </c>
      <c r="H264" s="23">
        <v>0</v>
      </c>
      <c r="I264" s="4">
        <v>16</v>
      </c>
      <c r="J264" s="4">
        <f>P264+Q264+R264+'PresenceAbsence kleine Plots'!C264</f>
        <v>1</v>
      </c>
      <c r="K264" s="4">
        <v>16</v>
      </c>
      <c r="L264" s="4">
        <v>0</v>
      </c>
      <c r="M264" s="4">
        <v>0</v>
      </c>
      <c r="N264" s="4">
        <v>0</v>
      </c>
      <c r="O264" s="4">
        <v>1</v>
      </c>
      <c r="P264" s="4">
        <v>0</v>
      </c>
      <c r="Q264" s="4">
        <v>0</v>
      </c>
      <c r="R264" s="4">
        <v>0</v>
      </c>
    </row>
    <row r="265" spans="1:18" x14ac:dyDescent="0.2">
      <c r="A265" s="5" t="s">
        <v>362</v>
      </c>
      <c r="B265" s="22" t="s">
        <v>700</v>
      </c>
      <c r="C265" s="4" t="str">
        <f t="shared" si="8"/>
        <v>B3</v>
      </c>
      <c r="D265" s="4" t="str">
        <f t="shared" si="9"/>
        <v>B061</v>
      </c>
      <c r="E265" s="23">
        <v>1</v>
      </c>
      <c r="F265" s="23">
        <v>0</v>
      </c>
      <c r="G265" s="23">
        <v>0</v>
      </c>
      <c r="H265" s="23">
        <v>0</v>
      </c>
      <c r="I265" s="4">
        <v>1</v>
      </c>
      <c r="J265" s="4">
        <f>P265+Q265+R265+'PresenceAbsence kleine Plots'!C265</f>
        <v>1</v>
      </c>
      <c r="K265" s="4">
        <v>0</v>
      </c>
      <c r="L265" s="4">
        <v>0</v>
      </c>
      <c r="M265" s="4">
        <v>1</v>
      </c>
      <c r="N265" s="4">
        <v>0</v>
      </c>
      <c r="O265" s="4">
        <v>0</v>
      </c>
      <c r="P265" s="4">
        <v>0</v>
      </c>
      <c r="Q265" s="4">
        <v>1</v>
      </c>
      <c r="R265" s="4">
        <v>0</v>
      </c>
    </row>
    <row r="266" spans="1:18" x14ac:dyDescent="0.2">
      <c r="A266" s="5" t="s">
        <v>363</v>
      </c>
      <c r="B266" s="22" t="s">
        <v>808</v>
      </c>
      <c r="C266" s="4" t="str">
        <f t="shared" si="8"/>
        <v>B3</v>
      </c>
      <c r="D266" s="4" t="str">
        <f t="shared" si="9"/>
        <v>B062</v>
      </c>
      <c r="E266" s="23">
        <v>0</v>
      </c>
      <c r="F266" s="23">
        <v>0</v>
      </c>
      <c r="G266" s="23">
        <v>0</v>
      </c>
      <c r="H266" s="23">
        <v>1</v>
      </c>
      <c r="I266" s="4">
        <v>3</v>
      </c>
      <c r="J266" s="4">
        <v>2</v>
      </c>
      <c r="K266" s="4">
        <v>2</v>
      </c>
      <c r="L266" s="4">
        <v>0</v>
      </c>
      <c r="M266" s="4">
        <v>1</v>
      </c>
      <c r="N266" s="4">
        <v>0</v>
      </c>
      <c r="O266" s="4">
        <v>1</v>
      </c>
      <c r="P266" s="4">
        <v>0</v>
      </c>
      <c r="Q266" s="4">
        <v>1</v>
      </c>
      <c r="R266" s="4">
        <v>0</v>
      </c>
    </row>
    <row r="267" spans="1:18" x14ac:dyDescent="0.2">
      <c r="A267" s="5" t="s">
        <v>364</v>
      </c>
      <c r="B267" s="22" t="s">
        <v>533</v>
      </c>
      <c r="C267" s="4" t="str">
        <f t="shared" si="8"/>
        <v>B3</v>
      </c>
      <c r="D267" s="4" t="str">
        <f t="shared" si="9"/>
        <v>B063</v>
      </c>
      <c r="E267" s="23">
        <v>0</v>
      </c>
      <c r="F267" s="23">
        <v>1</v>
      </c>
      <c r="G267" s="23">
        <v>1</v>
      </c>
      <c r="H267" s="23">
        <v>0</v>
      </c>
      <c r="I267" s="4">
        <v>2</v>
      </c>
      <c r="J267" s="4">
        <v>2</v>
      </c>
      <c r="K267" s="4">
        <v>1</v>
      </c>
      <c r="L267" s="4">
        <v>1</v>
      </c>
      <c r="M267" s="4">
        <v>0</v>
      </c>
      <c r="N267" s="4">
        <v>0</v>
      </c>
      <c r="O267" s="4">
        <v>1</v>
      </c>
      <c r="P267" s="4">
        <v>1</v>
      </c>
      <c r="Q267" s="4">
        <v>0</v>
      </c>
      <c r="R267" s="4">
        <v>0</v>
      </c>
    </row>
    <row r="268" spans="1:18" x14ac:dyDescent="0.2">
      <c r="A268" s="5" t="s">
        <v>365</v>
      </c>
      <c r="B268" s="22" t="s">
        <v>681</v>
      </c>
      <c r="C268" s="4" t="str">
        <f t="shared" si="8"/>
        <v>B3</v>
      </c>
      <c r="D268" s="4" t="str">
        <f t="shared" si="9"/>
        <v>B064</v>
      </c>
      <c r="E268" s="23">
        <v>0</v>
      </c>
      <c r="F268" s="23">
        <v>0</v>
      </c>
      <c r="G268" s="23">
        <v>0</v>
      </c>
      <c r="H268" s="23">
        <v>1</v>
      </c>
      <c r="I268" s="4">
        <v>6</v>
      </c>
      <c r="J268" s="4">
        <v>3</v>
      </c>
      <c r="K268" s="4">
        <v>3</v>
      </c>
      <c r="L268" s="4">
        <v>0</v>
      </c>
      <c r="M268" s="4">
        <v>2</v>
      </c>
      <c r="N268" s="4">
        <v>1</v>
      </c>
      <c r="O268" s="4">
        <v>1</v>
      </c>
      <c r="P268" s="4">
        <v>0</v>
      </c>
      <c r="Q268" s="4">
        <v>1</v>
      </c>
      <c r="R268" s="4">
        <v>1</v>
      </c>
    </row>
    <row r="269" spans="1:18" x14ac:dyDescent="0.2">
      <c r="A269" s="5" t="s">
        <v>366</v>
      </c>
      <c r="B269" s="22" t="s">
        <v>530</v>
      </c>
      <c r="C269" s="4" t="str">
        <f t="shared" si="8"/>
        <v>B3</v>
      </c>
      <c r="D269" s="4" t="str">
        <f t="shared" si="9"/>
        <v>B065</v>
      </c>
      <c r="E269" s="23">
        <v>0</v>
      </c>
      <c r="F269" s="23">
        <v>1</v>
      </c>
      <c r="G269" s="23">
        <v>1</v>
      </c>
      <c r="H269" s="23">
        <v>0</v>
      </c>
      <c r="I269" s="4">
        <v>4</v>
      </c>
      <c r="J269" s="4">
        <f>P269+Q269+R269+'PresenceAbsence kleine Plots'!C269</f>
        <v>1</v>
      </c>
      <c r="K269" s="4">
        <v>0</v>
      </c>
      <c r="L269" s="4">
        <v>0</v>
      </c>
      <c r="M269" s="4">
        <v>0</v>
      </c>
      <c r="N269" s="4">
        <v>4</v>
      </c>
      <c r="O269" s="4">
        <v>0</v>
      </c>
      <c r="P269" s="4">
        <v>0</v>
      </c>
      <c r="Q269" s="4">
        <v>0</v>
      </c>
      <c r="R269" s="4">
        <v>1</v>
      </c>
    </row>
    <row r="270" spans="1:18" x14ac:dyDescent="0.2">
      <c r="A270" s="5" t="s">
        <v>367</v>
      </c>
      <c r="B270" s="22" t="s">
        <v>752</v>
      </c>
      <c r="C270" s="4" t="str">
        <f t="shared" si="8"/>
        <v>B3</v>
      </c>
      <c r="D270" s="4" t="str">
        <f t="shared" si="9"/>
        <v>B066</v>
      </c>
      <c r="E270" s="23">
        <v>0</v>
      </c>
      <c r="F270" s="23">
        <v>0</v>
      </c>
      <c r="G270" s="23">
        <v>0</v>
      </c>
      <c r="H270" s="23">
        <v>1</v>
      </c>
      <c r="I270" s="4">
        <v>2</v>
      </c>
      <c r="J270" s="4">
        <v>1</v>
      </c>
      <c r="K270" s="4">
        <v>2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0</v>
      </c>
    </row>
    <row r="271" spans="1:18" x14ac:dyDescent="0.2">
      <c r="A271" s="5" t="s">
        <v>368</v>
      </c>
      <c r="B271" s="22" t="s">
        <v>551</v>
      </c>
      <c r="C271" s="4" t="str">
        <f t="shared" si="8"/>
        <v>B3</v>
      </c>
      <c r="D271" s="4" t="str">
        <f t="shared" si="9"/>
        <v>B067</v>
      </c>
      <c r="E271" s="23">
        <v>1</v>
      </c>
      <c r="F271" s="23">
        <v>1</v>
      </c>
      <c r="G271" s="23">
        <v>1</v>
      </c>
      <c r="H271" s="23">
        <v>0</v>
      </c>
      <c r="I271" s="4">
        <v>1</v>
      </c>
      <c r="J271" s="4">
        <f>P271+Q271+R271+'PresenceAbsence kleine Plots'!C271</f>
        <v>1</v>
      </c>
      <c r="K271" s="4">
        <v>0</v>
      </c>
      <c r="L271" s="4">
        <v>0</v>
      </c>
      <c r="M271" s="4">
        <v>0</v>
      </c>
      <c r="N271" s="4">
        <v>1</v>
      </c>
      <c r="O271" s="4">
        <v>0</v>
      </c>
      <c r="P271" s="4">
        <v>0</v>
      </c>
      <c r="Q271" s="4">
        <v>0</v>
      </c>
      <c r="R271" s="4">
        <v>1</v>
      </c>
    </row>
    <row r="272" spans="1:18" x14ac:dyDescent="0.2">
      <c r="A272" s="5" t="s">
        <v>369</v>
      </c>
      <c r="B272" s="22" t="s">
        <v>794</v>
      </c>
      <c r="C272" s="4" t="str">
        <f t="shared" si="8"/>
        <v>B3</v>
      </c>
      <c r="D272" s="4" t="str">
        <f t="shared" si="9"/>
        <v>B068</v>
      </c>
      <c r="E272" s="23">
        <v>0</v>
      </c>
      <c r="F272" s="23">
        <v>0</v>
      </c>
      <c r="G272" s="23">
        <v>0</v>
      </c>
      <c r="H272" s="23">
        <v>1</v>
      </c>
      <c r="I272" s="4">
        <v>4</v>
      </c>
      <c r="J272" s="4">
        <v>3</v>
      </c>
      <c r="K272" s="4">
        <v>2</v>
      </c>
      <c r="L272" s="4">
        <v>0</v>
      </c>
      <c r="M272" s="4">
        <v>1</v>
      </c>
      <c r="N272" s="4">
        <v>1</v>
      </c>
      <c r="O272" s="4">
        <v>1</v>
      </c>
      <c r="P272" s="4">
        <v>0</v>
      </c>
      <c r="Q272" s="4">
        <v>1</v>
      </c>
      <c r="R272" s="4">
        <v>1</v>
      </c>
    </row>
    <row r="273" spans="1:18" x14ac:dyDescent="0.2">
      <c r="A273" s="5" t="s">
        <v>370</v>
      </c>
      <c r="B273" s="22" t="s">
        <v>539</v>
      </c>
      <c r="C273" s="4" t="str">
        <f t="shared" si="8"/>
        <v>B3</v>
      </c>
      <c r="D273" s="4" t="str">
        <f t="shared" si="9"/>
        <v>B069</v>
      </c>
      <c r="E273" s="23">
        <v>0</v>
      </c>
      <c r="F273" s="23">
        <v>1</v>
      </c>
      <c r="G273" s="23">
        <v>0</v>
      </c>
      <c r="H273" s="23">
        <v>0</v>
      </c>
      <c r="I273" s="4">
        <v>60</v>
      </c>
      <c r="J273" s="4">
        <f>P273+Q273+R273+'PresenceAbsence kleine Plots'!C273</f>
        <v>4</v>
      </c>
      <c r="K273" s="4">
        <v>16</v>
      </c>
      <c r="L273" s="4">
        <v>12</v>
      </c>
      <c r="M273" s="4">
        <v>20</v>
      </c>
      <c r="N273" s="4">
        <v>12</v>
      </c>
      <c r="O273" s="4">
        <v>1</v>
      </c>
      <c r="P273" s="4">
        <v>1</v>
      </c>
      <c r="Q273" s="4">
        <v>1</v>
      </c>
      <c r="R273" s="4">
        <v>1</v>
      </c>
    </row>
    <row r="274" spans="1:18" x14ac:dyDescent="0.2">
      <c r="A274" s="5" t="s">
        <v>371</v>
      </c>
      <c r="B274" s="18" t="s">
        <v>527</v>
      </c>
      <c r="C274" s="4" t="str">
        <f t="shared" si="8"/>
        <v>B3</v>
      </c>
      <c r="D274" s="4" t="str">
        <f t="shared" si="9"/>
        <v>B070</v>
      </c>
      <c r="E274" s="23">
        <v>0</v>
      </c>
      <c r="F274" s="23">
        <v>1</v>
      </c>
      <c r="G274" s="23">
        <v>0</v>
      </c>
      <c r="H274" s="23">
        <v>0</v>
      </c>
      <c r="I274" s="4">
        <v>0</v>
      </c>
      <c r="J274" s="4">
        <f>P274+Q274+R274+'PresenceAbsence kleine Plots'!C274</f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</row>
    <row r="275" spans="1:18" x14ac:dyDescent="0.2">
      <c r="A275" s="5" t="s">
        <v>372</v>
      </c>
      <c r="B275" s="22" t="s">
        <v>736</v>
      </c>
      <c r="C275" s="4" t="str">
        <f t="shared" si="8"/>
        <v>B3</v>
      </c>
      <c r="D275" s="4" t="str">
        <f t="shared" si="9"/>
        <v>B071</v>
      </c>
      <c r="E275" s="23">
        <v>0</v>
      </c>
      <c r="F275" s="23">
        <v>0</v>
      </c>
      <c r="G275" s="23">
        <v>0</v>
      </c>
      <c r="H275" s="23">
        <v>1</v>
      </c>
      <c r="I275" s="4">
        <v>2</v>
      </c>
      <c r="J275" s="4">
        <v>2</v>
      </c>
      <c r="K275" s="4">
        <v>1</v>
      </c>
      <c r="L275" s="4">
        <v>0</v>
      </c>
      <c r="M275" s="4">
        <v>1</v>
      </c>
      <c r="N275" s="4">
        <v>0</v>
      </c>
      <c r="O275" s="4">
        <v>1</v>
      </c>
      <c r="P275" s="4">
        <v>0</v>
      </c>
      <c r="Q275" s="4">
        <v>1</v>
      </c>
      <c r="R275" s="4">
        <v>0</v>
      </c>
    </row>
    <row r="276" spans="1:18" x14ac:dyDescent="0.2">
      <c r="A276" s="5" t="s">
        <v>373</v>
      </c>
      <c r="B276" s="22" t="s">
        <v>738</v>
      </c>
      <c r="C276" s="4" t="str">
        <f t="shared" si="8"/>
        <v>B3</v>
      </c>
      <c r="D276" s="4" t="str">
        <f t="shared" si="9"/>
        <v>B072</v>
      </c>
      <c r="E276" s="23">
        <v>0</v>
      </c>
      <c r="F276" s="23">
        <v>0</v>
      </c>
      <c r="G276" s="23">
        <v>0</v>
      </c>
      <c r="H276" s="23">
        <v>1</v>
      </c>
      <c r="I276" s="4">
        <v>2</v>
      </c>
      <c r="J276" s="4">
        <f>P276+Q276+R276+'PresenceAbsence kleine Plots'!C276</f>
        <v>2</v>
      </c>
      <c r="K276" s="4">
        <v>1</v>
      </c>
      <c r="L276" s="4">
        <v>0</v>
      </c>
      <c r="M276" s="4">
        <v>1</v>
      </c>
      <c r="N276" s="4">
        <v>0</v>
      </c>
      <c r="O276" s="4">
        <v>1</v>
      </c>
      <c r="P276" s="4">
        <v>0</v>
      </c>
      <c r="Q276" s="4">
        <v>1</v>
      </c>
      <c r="R276" s="4">
        <v>0</v>
      </c>
    </row>
    <row r="277" spans="1:18" x14ac:dyDescent="0.2">
      <c r="A277" s="5" t="s">
        <v>374</v>
      </c>
      <c r="B277" s="22" t="s">
        <v>709</v>
      </c>
      <c r="C277" s="4" t="str">
        <f t="shared" si="8"/>
        <v>B3</v>
      </c>
      <c r="D277" s="4" t="str">
        <f t="shared" si="9"/>
        <v>B073</v>
      </c>
      <c r="E277" s="23">
        <v>1</v>
      </c>
      <c r="F277" s="23">
        <v>0</v>
      </c>
      <c r="G277" s="23">
        <v>0</v>
      </c>
      <c r="H277" s="23">
        <v>0</v>
      </c>
      <c r="I277" s="4">
        <v>1</v>
      </c>
      <c r="J277" s="4">
        <f>P277+Q277+R277+'PresenceAbsence kleine Plots'!C277</f>
        <v>1</v>
      </c>
      <c r="K277" s="4">
        <v>0</v>
      </c>
      <c r="L277" s="4">
        <v>0</v>
      </c>
      <c r="M277" s="4">
        <v>0</v>
      </c>
      <c r="N277" s="4">
        <v>1</v>
      </c>
      <c r="O277" s="4">
        <v>0</v>
      </c>
      <c r="P277" s="4">
        <v>0</v>
      </c>
      <c r="Q277" s="4">
        <v>0</v>
      </c>
      <c r="R277" s="4">
        <v>1</v>
      </c>
    </row>
    <row r="278" spans="1:18" x14ac:dyDescent="0.2">
      <c r="A278" s="5" t="s">
        <v>375</v>
      </c>
      <c r="B278" s="22" t="s">
        <v>545</v>
      </c>
      <c r="C278" s="4" t="str">
        <f t="shared" si="8"/>
        <v>B3</v>
      </c>
      <c r="D278" s="4" t="str">
        <f t="shared" si="9"/>
        <v>B074</v>
      </c>
      <c r="E278" s="23">
        <v>0</v>
      </c>
      <c r="F278" s="23">
        <v>1</v>
      </c>
      <c r="G278" s="23">
        <v>1</v>
      </c>
      <c r="H278" s="23">
        <v>0</v>
      </c>
      <c r="I278" s="4">
        <v>2</v>
      </c>
      <c r="J278" s="4">
        <f>P278+Q278+R278+'PresenceAbsence kleine Plots'!C278</f>
        <v>2</v>
      </c>
      <c r="K278" s="4">
        <v>0</v>
      </c>
      <c r="L278" s="4">
        <v>0</v>
      </c>
      <c r="M278" s="4">
        <v>1</v>
      </c>
      <c r="N278" s="4">
        <v>1</v>
      </c>
      <c r="O278" s="4">
        <v>0</v>
      </c>
      <c r="P278" s="4">
        <v>0</v>
      </c>
      <c r="Q278" s="4">
        <v>1</v>
      </c>
      <c r="R278" s="4">
        <v>1</v>
      </c>
    </row>
    <row r="279" spans="1:18" x14ac:dyDescent="0.2">
      <c r="A279" s="5" t="s">
        <v>376</v>
      </c>
      <c r="B279" s="22" t="s">
        <v>805</v>
      </c>
      <c r="C279" s="4" t="str">
        <f t="shared" si="8"/>
        <v>B3</v>
      </c>
      <c r="D279" s="4" t="str">
        <f t="shared" si="9"/>
        <v>B075</v>
      </c>
      <c r="E279" s="23">
        <v>0</v>
      </c>
      <c r="F279" s="23">
        <v>0</v>
      </c>
      <c r="G279" s="23">
        <v>0</v>
      </c>
      <c r="H279" s="23">
        <v>1</v>
      </c>
      <c r="I279" s="4">
        <v>3</v>
      </c>
      <c r="J279" s="4">
        <v>2</v>
      </c>
      <c r="K279" s="4">
        <v>2</v>
      </c>
      <c r="L279" s="4">
        <v>0</v>
      </c>
      <c r="M279" s="4">
        <v>1</v>
      </c>
      <c r="N279" s="4">
        <v>0</v>
      </c>
      <c r="O279" s="4">
        <v>1</v>
      </c>
      <c r="P279" s="4">
        <v>0</v>
      </c>
      <c r="Q279" s="4">
        <v>1</v>
      </c>
      <c r="R279" s="4">
        <v>0</v>
      </c>
    </row>
    <row r="280" spans="1:18" x14ac:dyDescent="0.2">
      <c r="A280" s="5" t="s">
        <v>377</v>
      </c>
      <c r="B280" s="22" t="s">
        <v>598</v>
      </c>
      <c r="C280" s="4" t="str">
        <f t="shared" si="8"/>
        <v>B3</v>
      </c>
      <c r="D280" s="4" t="str">
        <f t="shared" si="9"/>
        <v>B076</v>
      </c>
      <c r="E280" s="23">
        <v>0</v>
      </c>
      <c r="F280" s="23">
        <v>1</v>
      </c>
      <c r="G280" s="23">
        <v>0</v>
      </c>
      <c r="H280" s="23">
        <v>0</v>
      </c>
      <c r="I280" s="4">
        <v>0</v>
      </c>
      <c r="J280" s="4">
        <f>P280+Q280+R280+'PresenceAbsence kleine Plots'!C280</f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</row>
    <row r="281" spans="1:18" x14ac:dyDescent="0.2">
      <c r="A281" s="5" t="s">
        <v>378</v>
      </c>
      <c r="B281" s="22" t="s">
        <v>790</v>
      </c>
      <c r="C281" s="4" t="str">
        <f t="shared" si="8"/>
        <v>B3</v>
      </c>
      <c r="D281" s="4" t="str">
        <f t="shared" si="9"/>
        <v>B077</v>
      </c>
      <c r="E281" s="23">
        <v>0</v>
      </c>
      <c r="F281" s="23">
        <v>0</v>
      </c>
      <c r="G281" s="23">
        <v>0</v>
      </c>
      <c r="H281" s="23">
        <v>1</v>
      </c>
      <c r="I281" s="4">
        <v>4</v>
      </c>
      <c r="J281" s="4">
        <v>2</v>
      </c>
      <c r="K281" s="4">
        <v>3</v>
      </c>
      <c r="L281" s="4">
        <v>0</v>
      </c>
      <c r="M281" s="4">
        <v>0</v>
      </c>
      <c r="N281" s="4">
        <v>1</v>
      </c>
      <c r="O281" s="4">
        <v>1</v>
      </c>
      <c r="P281" s="4">
        <v>0</v>
      </c>
      <c r="Q281" s="4">
        <v>0</v>
      </c>
      <c r="R281" s="4">
        <v>1</v>
      </c>
    </row>
    <row r="282" spans="1:18" x14ac:dyDescent="0.2">
      <c r="A282" s="5" t="s">
        <v>379</v>
      </c>
      <c r="B282" s="22" t="s">
        <v>535</v>
      </c>
      <c r="C282" s="4" t="str">
        <f t="shared" si="8"/>
        <v>B3</v>
      </c>
      <c r="D282" s="4" t="str">
        <f t="shared" si="9"/>
        <v>B078</v>
      </c>
      <c r="E282" s="23">
        <v>1</v>
      </c>
      <c r="F282" s="23">
        <v>1</v>
      </c>
      <c r="G282" s="23">
        <v>0</v>
      </c>
      <c r="H282" s="23">
        <v>0</v>
      </c>
      <c r="I282" s="4">
        <v>1</v>
      </c>
      <c r="J282" s="4">
        <f>P282+Q282+R282+'PresenceAbsence kleine Plots'!C282</f>
        <v>1</v>
      </c>
      <c r="K282" s="4">
        <v>0</v>
      </c>
      <c r="L282" s="4">
        <v>1</v>
      </c>
      <c r="M282" s="4">
        <v>0</v>
      </c>
      <c r="N282" s="4">
        <v>0</v>
      </c>
      <c r="O282" s="4">
        <v>0</v>
      </c>
      <c r="P282" s="4">
        <v>1</v>
      </c>
      <c r="Q282" s="4">
        <v>0</v>
      </c>
      <c r="R282" s="4">
        <v>0</v>
      </c>
    </row>
    <row r="283" spans="1:18" x14ac:dyDescent="0.2">
      <c r="A283" s="5" t="s">
        <v>380</v>
      </c>
      <c r="B283" s="22" t="s">
        <v>803</v>
      </c>
      <c r="C283" s="4" t="str">
        <f t="shared" si="8"/>
        <v>B3</v>
      </c>
      <c r="D283" s="4" t="str">
        <f t="shared" si="9"/>
        <v>B079</v>
      </c>
      <c r="E283" s="23">
        <v>0</v>
      </c>
      <c r="F283" s="23">
        <v>0</v>
      </c>
      <c r="G283" s="23">
        <v>0</v>
      </c>
      <c r="H283" s="23">
        <v>1</v>
      </c>
      <c r="I283" s="4">
        <v>3</v>
      </c>
      <c r="J283" s="4">
        <f>P283+Q283+R283+'PresenceAbsence kleine Plots'!C283</f>
        <v>2</v>
      </c>
      <c r="K283" s="4">
        <v>2</v>
      </c>
      <c r="L283" s="4">
        <v>0</v>
      </c>
      <c r="M283" s="4">
        <v>1</v>
      </c>
      <c r="N283" s="4">
        <v>0</v>
      </c>
      <c r="O283" s="4">
        <v>1</v>
      </c>
      <c r="P283" s="4">
        <v>0</v>
      </c>
      <c r="Q283" s="4">
        <v>1</v>
      </c>
      <c r="R283" s="4">
        <v>0</v>
      </c>
    </row>
    <row r="284" spans="1:18" x14ac:dyDescent="0.2">
      <c r="A284" s="5" t="s">
        <v>381</v>
      </c>
      <c r="B284" s="22" t="s">
        <v>714</v>
      </c>
      <c r="C284" s="4" t="str">
        <f t="shared" si="8"/>
        <v>B3</v>
      </c>
      <c r="D284" s="4" t="str">
        <f t="shared" si="9"/>
        <v>B080</v>
      </c>
      <c r="E284" s="23">
        <v>1</v>
      </c>
      <c r="F284" s="23">
        <v>0</v>
      </c>
      <c r="G284" s="23">
        <v>0</v>
      </c>
      <c r="H284" s="23">
        <v>0</v>
      </c>
      <c r="I284" s="4">
        <v>1</v>
      </c>
      <c r="J284" s="4">
        <f>P284+Q284+R284+'PresenceAbsence kleine Plots'!C284</f>
        <v>1</v>
      </c>
      <c r="K284" s="4">
        <v>0</v>
      </c>
      <c r="L284" s="4">
        <v>0</v>
      </c>
      <c r="M284" s="4">
        <v>1</v>
      </c>
      <c r="N284" s="4">
        <v>0</v>
      </c>
      <c r="O284" s="4">
        <v>0</v>
      </c>
      <c r="P284" s="4">
        <v>0</v>
      </c>
      <c r="Q284" s="4">
        <v>1</v>
      </c>
      <c r="R284" s="4">
        <v>0</v>
      </c>
    </row>
    <row r="285" spans="1:18" x14ac:dyDescent="0.2">
      <c r="A285" s="5" t="s">
        <v>382</v>
      </c>
      <c r="B285" s="22" t="s">
        <v>801</v>
      </c>
      <c r="C285" s="4" t="str">
        <f t="shared" si="8"/>
        <v>B3</v>
      </c>
      <c r="D285" s="4" t="str">
        <f t="shared" si="9"/>
        <v>B081</v>
      </c>
      <c r="E285" s="23">
        <v>0</v>
      </c>
      <c r="F285" s="23">
        <v>0</v>
      </c>
      <c r="G285" s="23">
        <v>0</v>
      </c>
      <c r="H285" s="23">
        <v>1</v>
      </c>
      <c r="I285" s="4">
        <v>3</v>
      </c>
      <c r="J285" s="4">
        <v>2</v>
      </c>
      <c r="K285" s="4">
        <v>2</v>
      </c>
      <c r="L285" s="4">
        <v>0</v>
      </c>
      <c r="M285" s="4">
        <v>1</v>
      </c>
      <c r="N285" s="4">
        <v>0</v>
      </c>
      <c r="O285" s="4">
        <v>1</v>
      </c>
      <c r="P285" s="4">
        <v>0</v>
      </c>
      <c r="Q285" s="4">
        <v>1</v>
      </c>
      <c r="R285" s="4">
        <v>0</v>
      </c>
    </row>
    <row r="286" spans="1:18" x14ac:dyDescent="0.2">
      <c r="A286" s="5" t="s">
        <v>383</v>
      </c>
      <c r="B286" s="22" t="s">
        <v>784</v>
      </c>
      <c r="C286" s="4" t="str">
        <f t="shared" si="8"/>
        <v>B3</v>
      </c>
      <c r="D286" s="4" t="str">
        <f t="shared" si="9"/>
        <v>B082</v>
      </c>
      <c r="E286" s="23">
        <v>0</v>
      </c>
      <c r="F286" s="23">
        <v>0</v>
      </c>
      <c r="G286" s="23">
        <v>0</v>
      </c>
      <c r="H286" s="23">
        <v>1</v>
      </c>
      <c r="I286" s="4">
        <v>4</v>
      </c>
      <c r="J286" s="4">
        <f>P286+Q286+R286+'PresenceAbsence kleine Plots'!C286</f>
        <v>1</v>
      </c>
      <c r="K286" s="4">
        <v>4</v>
      </c>
      <c r="L286" s="4">
        <v>0</v>
      </c>
      <c r="M286" s="4">
        <v>0</v>
      </c>
      <c r="N286" s="4">
        <v>0</v>
      </c>
      <c r="O286" s="4">
        <v>1</v>
      </c>
      <c r="P286" s="4">
        <v>0</v>
      </c>
      <c r="Q286" s="4">
        <v>0</v>
      </c>
      <c r="R286" s="4">
        <v>0</v>
      </c>
    </row>
    <row r="287" spans="1:18" x14ac:dyDescent="0.2">
      <c r="A287" s="5" t="s">
        <v>384</v>
      </c>
      <c r="B287" s="22" t="s">
        <v>526</v>
      </c>
      <c r="C287" s="4" t="str">
        <f t="shared" si="8"/>
        <v>B3</v>
      </c>
      <c r="D287" s="4" t="str">
        <f t="shared" si="9"/>
        <v>B083</v>
      </c>
      <c r="E287" s="23">
        <v>1</v>
      </c>
      <c r="F287" s="23">
        <v>1</v>
      </c>
      <c r="G287" s="23">
        <v>0</v>
      </c>
      <c r="H287" s="23">
        <v>0</v>
      </c>
      <c r="I287" s="4">
        <v>1</v>
      </c>
      <c r="J287" s="4">
        <v>1</v>
      </c>
      <c r="K287" s="4">
        <v>1</v>
      </c>
      <c r="L287" s="4">
        <v>0</v>
      </c>
      <c r="M287" s="4">
        <v>0</v>
      </c>
      <c r="N287" s="4">
        <v>0</v>
      </c>
      <c r="O287" s="4">
        <v>1</v>
      </c>
      <c r="P287" s="4">
        <v>0</v>
      </c>
      <c r="Q287" s="4">
        <v>0</v>
      </c>
      <c r="R287" s="4">
        <v>0</v>
      </c>
    </row>
    <row r="288" spans="1:18" x14ac:dyDescent="0.2">
      <c r="A288" s="5" t="s">
        <v>385</v>
      </c>
      <c r="B288" s="22" t="s">
        <v>788</v>
      </c>
      <c r="C288" s="4" t="str">
        <f t="shared" si="8"/>
        <v>B3</v>
      </c>
      <c r="D288" s="4" t="str">
        <f t="shared" si="9"/>
        <v>B084</v>
      </c>
      <c r="E288" s="23">
        <v>0</v>
      </c>
      <c r="F288" s="23">
        <v>0</v>
      </c>
      <c r="G288" s="23">
        <v>0</v>
      </c>
      <c r="H288" s="23">
        <v>1</v>
      </c>
      <c r="I288" s="4">
        <v>4</v>
      </c>
      <c r="J288" s="4">
        <f>P288+Q288+R288+'PresenceAbsence kleine Plots'!C288</f>
        <v>3</v>
      </c>
      <c r="K288" s="4">
        <v>2</v>
      </c>
      <c r="L288" s="4">
        <v>0</v>
      </c>
      <c r="M288" s="4">
        <v>1</v>
      </c>
      <c r="N288" s="4">
        <v>1</v>
      </c>
      <c r="O288" s="4">
        <v>1</v>
      </c>
      <c r="P288" s="4">
        <v>0</v>
      </c>
      <c r="Q288" s="4">
        <v>1</v>
      </c>
      <c r="R288" s="4">
        <v>1</v>
      </c>
    </row>
    <row r="289" spans="1:18" x14ac:dyDescent="0.2">
      <c r="A289" s="5" t="s">
        <v>386</v>
      </c>
      <c r="B289" s="22" t="s">
        <v>756</v>
      </c>
      <c r="C289" s="4" t="str">
        <f t="shared" si="8"/>
        <v>B3</v>
      </c>
      <c r="D289" s="4" t="str">
        <f t="shared" si="9"/>
        <v>B085</v>
      </c>
      <c r="E289" s="23">
        <v>0</v>
      </c>
      <c r="F289" s="23">
        <v>0</v>
      </c>
      <c r="G289" s="23">
        <v>0</v>
      </c>
      <c r="H289" s="23">
        <v>1</v>
      </c>
      <c r="I289" s="4">
        <v>2</v>
      </c>
      <c r="J289" s="4">
        <v>2</v>
      </c>
      <c r="K289" s="4">
        <v>1</v>
      </c>
      <c r="L289" s="4">
        <v>0</v>
      </c>
      <c r="M289" s="4">
        <v>0</v>
      </c>
      <c r="N289" s="4">
        <v>1</v>
      </c>
      <c r="O289" s="4">
        <v>1</v>
      </c>
      <c r="P289" s="4">
        <v>0</v>
      </c>
      <c r="Q289" s="4">
        <v>0</v>
      </c>
      <c r="R289" s="4">
        <v>1</v>
      </c>
    </row>
    <row r="290" spans="1:18" x14ac:dyDescent="0.2">
      <c r="A290" s="5" t="s">
        <v>387</v>
      </c>
      <c r="B290" s="22" t="s">
        <v>520</v>
      </c>
      <c r="C290" s="4" t="str">
        <f t="shared" si="8"/>
        <v>B3</v>
      </c>
      <c r="D290" s="4" t="str">
        <f t="shared" si="9"/>
        <v>B086</v>
      </c>
      <c r="E290" s="23">
        <v>0</v>
      </c>
      <c r="F290" s="23">
        <v>1</v>
      </c>
      <c r="G290" s="23">
        <v>1</v>
      </c>
      <c r="H290" s="23">
        <v>0</v>
      </c>
      <c r="I290" s="4">
        <v>8</v>
      </c>
      <c r="J290" s="4">
        <v>3</v>
      </c>
      <c r="K290" s="4">
        <v>3</v>
      </c>
      <c r="L290" s="4">
        <v>3</v>
      </c>
      <c r="M290" s="4">
        <v>0</v>
      </c>
      <c r="N290" s="4">
        <v>2</v>
      </c>
      <c r="O290" s="4">
        <v>1</v>
      </c>
      <c r="P290" s="4">
        <v>1</v>
      </c>
      <c r="Q290" s="4">
        <v>0</v>
      </c>
      <c r="R290" s="4">
        <v>1</v>
      </c>
    </row>
    <row r="291" spans="1:18" x14ac:dyDescent="0.2">
      <c r="A291" s="5" t="s">
        <v>388</v>
      </c>
      <c r="B291" s="22" t="s">
        <v>771</v>
      </c>
      <c r="C291" s="4" t="str">
        <f t="shared" si="8"/>
        <v>B3</v>
      </c>
      <c r="D291" s="4" t="str">
        <f t="shared" si="9"/>
        <v>B087</v>
      </c>
      <c r="E291" s="23">
        <v>0</v>
      </c>
      <c r="F291" s="23">
        <v>0</v>
      </c>
      <c r="G291" s="23">
        <v>0</v>
      </c>
      <c r="H291" s="23">
        <v>1</v>
      </c>
      <c r="I291" s="4">
        <v>3</v>
      </c>
      <c r="J291" s="4">
        <f>P291+Q291+R291+'PresenceAbsence kleine Plots'!C291</f>
        <v>2</v>
      </c>
      <c r="K291" s="4">
        <v>0</v>
      </c>
      <c r="L291" s="4">
        <v>0</v>
      </c>
      <c r="M291" s="4">
        <v>2</v>
      </c>
      <c r="N291" s="4">
        <v>1</v>
      </c>
      <c r="O291" s="4">
        <v>0</v>
      </c>
      <c r="P291" s="4">
        <v>0</v>
      </c>
      <c r="Q291" s="4">
        <v>1</v>
      </c>
      <c r="R291" s="4">
        <v>1</v>
      </c>
    </row>
    <row r="292" spans="1:18" x14ac:dyDescent="0.2">
      <c r="A292" s="5" t="s">
        <v>389</v>
      </c>
      <c r="B292" s="22" t="s">
        <v>576</v>
      </c>
      <c r="C292" s="4" t="str">
        <f t="shared" si="8"/>
        <v>B3</v>
      </c>
      <c r="D292" s="4" t="str">
        <f t="shared" si="9"/>
        <v>B088</v>
      </c>
      <c r="E292" s="23">
        <v>0</v>
      </c>
      <c r="F292" s="23">
        <v>1</v>
      </c>
      <c r="G292" s="23">
        <v>1</v>
      </c>
      <c r="H292" s="23">
        <v>0</v>
      </c>
      <c r="I292" s="4">
        <v>16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1</v>
      </c>
      <c r="P292" s="4">
        <v>1</v>
      </c>
      <c r="Q292" s="4">
        <v>1</v>
      </c>
      <c r="R292" s="4">
        <v>1</v>
      </c>
    </row>
    <row r="293" spans="1:18" x14ac:dyDescent="0.2">
      <c r="A293" s="5" t="s">
        <v>390</v>
      </c>
      <c r="B293" s="22" t="s">
        <v>777</v>
      </c>
      <c r="C293" s="4" t="str">
        <f t="shared" si="8"/>
        <v>B3</v>
      </c>
      <c r="D293" s="4" t="str">
        <f t="shared" si="9"/>
        <v>B089</v>
      </c>
      <c r="E293" s="23">
        <v>0</v>
      </c>
      <c r="F293" s="23">
        <v>0</v>
      </c>
      <c r="G293" s="23">
        <v>0</v>
      </c>
      <c r="H293" s="23">
        <v>1</v>
      </c>
      <c r="I293" s="4">
        <v>3</v>
      </c>
      <c r="J293" s="4">
        <v>2</v>
      </c>
      <c r="K293" s="4">
        <v>2</v>
      </c>
      <c r="L293" s="4">
        <v>0</v>
      </c>
      <c r="M293" s="4">
        <v>0</v>
      </c>
      <c r="N293" s="4">
        <v>1</v>
      </c>
      <c r="O293" s="4">
        <v>1</v>
      </c>
      <c r="P293" s="4">
        <v>0</v>
      </c>
      <c r="Q293" s="4">
        <v>0</v>
      </c>
      <c r="R293" s="4">
        <v>1</v>
      </c>
    </row>
    <row r="294" spans="1:18" x14ac:dyDescent="0.2">
      <c r="A294" s="5" t="s">
        <v>391</v>
      </c>
      <c r="B294" s="22" t="s">
        <v>744</v>
      </c>
      <c r="C294" s="4" t="str">
        <f t="shared" si="8"/>
        <v>B3</v>
      </c>
      <c r="D294" s="4" t="str">
        <f t="shared" si="9"/>
        <v>B090</v>
      </c>
      <c r="E294" s="23">
        <v>0</v>
      </c>
      <c r="F294" s="23">
        <v>0</v>
      </c>
      <c r="G294" s="23">
        <v>0</v>
      </c>
      <c r="H294" s="23">
        <v>1</v>
      </c>
      <c r="I294" s="4">
        <v>2</v>
      </c>
      <c r="J294" s="4">
        <v>1</v>
      </c>
      <c r="K294" s="4">
        <v>2</v>
      </c>
      <c r="L294" s="4">
        <v>0</v>
      </c>
      <c r="M294" s="4">
        <v>0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</row>
    <row r="295" spans="1:18" x14ac:dyDescent="0.2">
      <c r="A295" s="5" t="s">
        <v>392</v>
      </c>
      <c r="B295" s="22" t="s">
        <v>677</v>
      </c>
      <c r="C295" s="4" t="str">
        <f t="shared" si="8"/>
        <v>B3</v>
      </c>
      <c r="D295" s="4" t="str">
        <f t="shared" si="9"/>
        <v>B091</v>
      </c>
      <c r="E295" s="23">
        <v>0</v>
      </c>
      <c r="F295" s="23">
        <v>0</v>
      </c>
      <c r="G295" s="23">
        <v>0</v>
      </c>
      <c r="H295" s="23">
        <v>1</v>
      </c>
      <c r="I295" s="4">
        <v>9</v>
      </c>
      <c r="J295" s="4">
        <f>P295+Q295+R295+'PresenceAbsence kleine Plots'!C295</f>
        <v>3</v>
      </c>
      <c r="K295" s="4">
        <v>5</v>
      </c>
      <c r="L295" s="4">
        <v>0</v>
      </c>
      <c r="M295" s="4">
        <v>2</v>
      </c>
      <c r="N295" s="4">
        <v>2</v>
      </c>
      <c r="O295" s="4">
        <v>1</v>
      </c>
      <c r="P295" s="4">
        <v>0</v>
      </c>
      <c r="Q295" s="4">
        <v>1</v>
      </c>
      <c r="R295" s="4">
        <v>1</v>
      </c>
    </row>
    <row r="296" spans="1:18" x14ac:dyDescent="0.2">
      <c r="A296" s="5" t="s">
        <v>393</v>
      </c>
      <c r="B296" s="22" t="s">
        <v>671</v>
      </c>
      <c r="C296" s="4" t="str">
        <f t="shared" si="8"/>
        <v>B3</v>
      </c>
      <c r="D296" s="4" t="str">
        <f t="shared" si="9"/>
        <v>B092</v>
      </c>
      <c r="E296" s="23">
        <v>1</v>
      </c>
      <c r="F296" s="23">
        <v>0</v>
      </c>
      <c r="G296" s="23">
        <v>0</v>
      </c>
      <c r="H296" s="23">
        <v>0</v>
      </c>
      <c r="I296" s="4">
        <v>1</v>
      </c>
      <c r="J296" s="4">
        <f>P296+Q296+R296+'PresenceAbsence kleine Plots'!C296</f>
        <v>1</v>
      </c>
      <c r="K296" s="4">
        <v>0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>
        <v>1</v>
      </c>
      <c r="R296" s="4">
        <v>0</v>
      </c>
    </row>
    <row r="297" spans="1:18" x14ac:dyDescent="0.2">
      <c r="A297" s="5" t="s">
        <v>394</v>
      </c>
      <c r="B297" s="22" t="s">
        <v>761</v>
      </c>
      <c r="C297" s="4" t="str">
        <f t="shared" si="8"/>
        <v>B3</v>
      </c>
      <c r="D297" s="4" t="str">
        <f t="shared" si="9"/>
        <v>B093</v>
      </c>
      <c r="E297" s="23">
        <v>0</v>
      </c>
      <c r="F297" s="23">
        <v>0</v>
      </c>
      <c r="G297" s="23">
        <v>0</v>
      </c>
      <c r="H297" s="23">
        <v>1</v>
      </c>
      <c r="I297" s="4">
        <v>2</v>
      </c>
      <c r="J297" s="4">
        <f>P297+Q297+R297+'PresenceAbsence kleine Plots'!C297</f>
        <v>2</v>
      </c>
      <c r="K297" s="4">
        <v>0</v>
      </c>
      <c r="L297" s="4">
        <v>0</v>
      </c>
      <c r="M297" s="4">
        <v>1</v>
      </c>
      <c r="N297" s="4">
        <v>1</v>
      </c>
      <c r="O297" s="4">
        <v>0</v>
      </c>
      <c r="P297" s="4">
        <v>0</v>
      </c>
      <c r="Q297" s="4">
        <v>1</v>
      </c>
      <c r="R297" s="4">
        <v>1</v>
      </c>
    </row>
    <row r="298" spans="1:18" x14ac:dyDescent="0.2">
      <c r="A298" s="5" t="s">
        <v>395</v>
      </c>
      <c r="B298" s="22" t="s">
        <v>807</v>
      </c>
      <c r="C298" s="4" t="str">
        <f t="shared" si="8"/>
        <v>B3</v>
      </c>
      <c r="D298" s="4" t="str">
        <f t="shared" si="9"/>
        <v>B094</v>
      </c>
      <c r="E298" s="23">
        <v>0</v>
      </c>
      <c r="F298" s="23">
        <v>0</v>
      </c>
      <c r="G298" s="23">
        <v>0</v>
      </c>
      <c r="H298" s="23">
        <v>1</v>
      </c>
      <c r="I298" s="4">
        <v>3</v>
      </c>
      <c r="J298" s="4">
        <f>P298+Q298+R298+'PresenceAbsence kleine Plots'!C298</f>
        <v>2</v>
      </c>
      <c r="K298" s="4">
        <v>2</v>
      </c>
      <c r="L298" s="4">
        <v>0</v>
      </c>
      <c r="M298" s="4">
        <v>1</v>
      </c>
      <c r="N298" s="4">
        <v>0</v>
      </c>
      <c r="O298" s="4">
        <v>1</v>
      </c>
      <c r="P298" s="4">
        <v>0</v>
      </c>
      <c r="Q298" s="4">
        <v>1</v>
      </c>
      <c r="R298" s="4">
        <v>0</v>
      </c>
    </row>
    <row r="299" spans="1:18" x14ac:dyDescent="0.2">
      <c r="A299" s="5" t="s">
        <v>396</v>
      </c>
      <c r="B299" s="22" t="s">
        <v>532</v>
      </c>
      <c r="C299" s="4" t="str">
        <f t="shared" si="8"/>
        <v>B3</v>
      </c>
      <c r="D299" s="4" t="str">
        <f t="shared" si="9"/>
        <v>B095</v>
      </c>
      <c r="E299" s="23">
        <v>1</v>
      </c>
      <c r="F299" s="23">
        <v>1</v>
      </c>
      <c r="G299" s="23">
        <v>0</v>
      </c>
      <c r="H299" s="23">
        <v>0</v>
      </c>
      <c r="I299" s="4">
        <v>1</v>
      </c>
      <c r="J299" s="4">
        <f>P299+Q299+R299+'PresenceAbsence kleine Plots'!C299</f>
        <v>1</v>
      </c>
      <c r="K299" s="4">
        <v>0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>
        <v>1</v>
      </c>
      <c r="R299" s="4">
        <v>0</v>
      </c>
    </row>
    <row r="300" spans="1:18" x14ac:dyDescent="0.2">
      <c r="A300" s="5" t="s">
        <v>397</v>
      </c>
      <c r="B300" s="22" t="s">
        <v>682</v>
      </c>
      <c r="C300" s="4" t="str">
        <f t="shared" si="8"/>
        <v>B3</v>
      </c>
      <c r="D300" s="4" t="str">
        <f t="shared" si="9"/>
        <v>B096</v>
      </c>
      <c r="E300" s="23">
        <v>0</v>
      </c>
      <c r="F300" s="23">
        <v>0</v>
      </c>
      <c r="G300" s="23">
        <v>0</v>
      </c>
      <c r="H300" s="23">
        <v>1</v>
      </c>
      <c r="I300" s="4">
        <v>6</v>
      </c>
      <c r="J300" s="4">
        <f>P300+Q300+R300+'PresenceAbsence kleine Plots'!C300</f>
        <v>3</v>
      </c>
      <c r="K300" s="4">
        <v>4</v>
      </c>
      <c r="L300" s="4">
        <v>0</v>
      </c>
      <c r="M300" s="4">
        <v>1</v>
      </c>
      <c r="N300" s="4">
        <v>1</v>
      </c>
      <c r="O300" s="4">
        <v>1</v>
      </c>
      <c r="P300" s="4">
        <v>0</v>
      </c>
      <c r="Q300" s="4">
        <v>1</v>
      </c>
      <c r="R300" s="4">
        <v>1</v>
      </c>
    </row>
    <row r="301" spans="1:18" x14ac:dyDescent="0.2">
      <c r="A301" s="5" t="s">
        <v>398</v>
      </c>
      <c r="B301" s="22" t="s">
        <v>748</v>
      </c>
      <c r="C301" s="4" t="str">
        <f t="shared" si="8"/>
        <v>B3</v>
      </c>
      <c r="D301" s="4" t="str">
        <f t="shared" si="9"/>
        <v>B097</v>
      </c>
      <c r="E301" s="23">
        <v>0</v>
      </c>
      <c r="F301" s="23">
        <v>0</v>
      </c>
      <c r="G301" s="23">
        <v>0</v>
      </c>
      <c r="H301" s="23">
        <v>1</v>
      </c>
      <c r="I301" s="4">
        <v>2</v>
      </c>
      <c r="J301" s="4">
        <v>2</v>
      </c>
      <c r="K301" s="4">
        <v>1</v>
      </c>
      <c r="L301" s="4">
        <v>0</v>
      </c>
      <c r="M301" s="4">
        <v>1</v>
      </c>
      <c r="N301" s="4">
        <v>0</v>
      </c>
      <c r="O301" s="4">
        <v>1</v>
      </c>
      <c r="P301" s="4">
        <v>0</v>
      </c>
      <c r="Q301" s="4">
        <v>1</v>
      </c>
      <c r="R301" s="4">
        <v>0</v>
      </c>
    </row>
    <row r="302" spans="1:18" x14ac:dyDescent="0.2">
      <c r="A302" s="5" t="s">
        <v>399</v>
      </c>
      <c r="B302" s="22" t="s">
        <v>769</v>
      </c>
      <c r="C302" s="4" t="str">
        <f t="shared" si="8"/>
        <v>B3</v>
      </c>
      <c r="D302" s="4" t="str">
        <f t="shared" si="9"/>
        <v>B098</v>
      </c>
      <c r="E302" s="23">
        <v>0</v>
      </c>
      <c r="F302" s="23">
        <v>0</v>
      </c>
      <c r="G302" s="23">
        <v>0</v>
      </c>
      <c r="H302" s="23">
        <v>1</v>
      </c>
      <c r="I302" s="4">
        <v>3</v>
      </c>
      <c r="J302" s="4">
        <f>P302+Q302+R302+'PresenceAbsence kleine Plots'!C302</f>
        <v>2</v>
      </c>
      <c r="K302" s="4">
        <v>2</v>
      </c>
      <c r="L302" s="4">
        <v>0</v>
      </c>
      <c r="M302" s="4">
        <v>0</v>
      </c>
      <c r="N302" s="4">
        <v>1</v>
      </c>
      <c r="O302" s="4">
        <v>1</v>
      </c>
      <c r="P302" s="4">
        <v>0</v>
      </c>
      <c r="Q302" s="4">
        <v>0</v>
      </c>
      <c r="R302" s="4">
        <v>1</v>
      </c>
    </row>
    <row r="303" spans="1:18" x14ac:dyDescent="0.2">
      <c r="A303" s="5" t="s">
        <v>400</v>
      </c>
      <c r="B303" s="22" t="s">
        <v>675</v>
      </c>
      <c r="C303" s="4" t="str">
        <f t="shared" si="8"/>
        <v>B3</v>
      </c>
      <c r="D303" s="4" t="str">
        <f t="shared" si="9"/>
        <v>B099</v>
      </c>
      <c r="E303" s="23">
        <v>1</v>
      </c>
      <c r="F303" s="23">
        <v>0</v>
      </c>
      <c r="G303" s="23">
        <v>0</v>
      </c>
      <c r="H303" s="23">
        <v>0</v>
      </c>
      <c r="I303" s="4">
        <v>1</v>
      </c>
      <c r="J303" s="4">
        <f>P303+Q303+R303+'PresenceAbsence kleine Plots'!C303</f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</row>
    <row r="304" spans="1:18" x14ac:dyDescent="0.2">
      <c r="A304" s="5" t="s">
        <v>401</v>
      </c>
      <c r="B304" s="22" t="s">
        <v>675</v>
      </c>
      <c r="C304" s="4" t="str">
        <f t="shared" si="8"/>
        <v>B3</v>
      </c>
      <c r="D304" s="4" t="str">
        <f t="shared" si="9"/>
        <v>B100</v>
      </c>
      <c r="E304" s="23">
        <v>1</v>
      </c>
      <c r="F304" s="23">
        <v>0</v>
      </c>
      <c r="G304" s="23">
        <v>0</v>
      </c>
      <c r="H304" s="23">
        <v>0</v>
      </c>
      <c r="I304" s="4">
        <v>1</v>
      </c>
      <c r="J304" s="4">
        <f>P304+Q304+R304+'PresenceAbsence kleine Plots'!C304</f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</row>
    <row r="305" spans="1:18" x14ac:dyDescent="0.2">
      <c r="A305" s="5" t="s">
        <v>402</v>
      </c>
      <c r="B305" s="22" t="s">
        <v>675</v>
      </c>
      <c r="C305" s="4" t="str">
        <f t="shared" si="8"/>
        <v>B3</v>
      </c>
      <c r="D305" s="4" t="str">
        <f t="shared" si="9"/>
        <v>B101</v>
      </c>
      <c r="E305" s="23">
        <v>1</v>
      </c>
      <c r="F305" s="23">
        <v>0</v>
      </c>
      <c r="G305" s="23">
        <v>0</v>
      </c>
      <c r="H305" s="23">
        <v>0</v>
      </c>
      <c r="I305" s="4">
        <v>1</v>
      </c>
      <c r="J305" s="4">
        <f>P305+Q305+R305+'PresenceAbsence kleine Plots'!C305</f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</row>
    <row r="306" spans="1:18" x14ac:dyDescent="0.2">
      <c r="A306" s="5" t="s">
        <v>403</v>
      </c>
      <c r="B306" s="22" t="s">
        <v>731</v>
      </c>
      <c r="C306" s="4" t="str">
        <f t="shared" si="8"/>
        <v>B3</v>
      </c>
      <c r="D306" s="4" t="str">
        <f t="shared" si="9"/>
        <v>B102</v>
      </c>
      <c r="E306" s="23">
        <v>1</v>
      </c>
      <c r="F306" s="23">
        <v>0</v>
      </c>
      <c r="G306" s="23">
        <v>0</v>
      </c>
      <c r="H306" s="23">
        <v>0</v>
      </c>
      <c r="I306" s="4">
        <v>1</v>
      </c>
      <c r="J306" s="4">
        <f>P306+Q306+R306+'PresenceAbsence kleine Plots'!C306</f>
        <v>1</v>
      </c>
      <c r="K306" s="4">
        <v>0</v>
      </c>
      <c r="L306" s="4">
        <v>0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1</v>
      </c>
    </row>
    <row r="307" spans="1:18" x14ac:dyDescent="0.2">
      <c r="A307" s="5" t="s">
        <v>404</v>
      </c>
      <c r="B307" s="22" t="s">
        <v>696</v>
      </c>
      <c r="C307" s="4" t="str">
        <f t="shared" si="8"/>
        <v>B4</v>
      </c>
      <c r="D307" s="4" t="str">
        <f t="shared" si="9"/>
        <v>B001</v>
      </c>
      <c r="E307" s="23">
        <v>1</v>
      </c>
      <c r="F307" s="23">
        <v>0</v>
      </c>
      <c r="G307" s="23">
        <v>0</v>
      </c>
      <c r="H307" s="23">
        <v>0</v>
      </c>
      <c r="I307" s="4">
        <v>1</v>
      </c>
      <c r="J307" s="4">
        <f>P307+Q307+R307+'PresenceAbsence kleine Plots'!C307</f>
        <v>1</v>
      </c>
      <c r="K307" s="4">
        <v>0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  <c r="Q307" s="4">
        <v>1</v>
      </c>
      <c r="R307" s="4">
        <v>0</v>
      </c>
    </row>
    <row r="308" spans="1:18" x14ac:dyDescent="0.2">
      <c r="A308" s="5" t="s">
        <v>405</v>
      </c>
      <c r="B308" s="22" t="s">
        <v>753</v>
      </c>
      <c r="C308" s="4" t="str">
        <f t="shared" si="8"/>
        <v>B4</v>
      </c>
      <c r="D308" s="4" t="str">
        <f t="shared" si="9"/>
        <v>B002</v>
      </c>
      <c r="E308" s="23">
        <v>0</v>
      </c>
      <c r="F308" s="23">
        <v>0</v>
      </c>
      <c r="G308" s="23">
        <v>0</v>
      </c>
      <c r="H308" s="23">
        <v>1</v>
      </c>
      <c r="I308" s="4">
        <v>2</v>
      </c>
      <c r="J308" s="4">
        <f>P308+Q308+R308+'PresenceAbsence kleine Plots'!C308</f>
        <v>2</v>
      </c>
      <c r="K308" s="4">
        <v>1</v>
      </c>
      <c r="L308" s="4">
        <v>0</v>
      </c>
      <c r="M308" s="4">
        <v>0</v>
      </c>
      <c r="N308" s="4">
        <v>1</v>
      </c>
      <c r="O308" s="4">
        <v>1</v>
      </c>
      <c r="P308" s="4">
        <v>0</v>
      </c>
      <c r="Q308" s="4">
        <v>0</v>
      </c>
      <c r="R308" s="4">
        <v>1</v>
      </c>
    </row>
    <row r="309" spans="1:18" x14ac:dyDescent="0.2">
      <c r="A309" s="5" t="s">
        <v>406</v>
      </c>
      <c r="B309" s="22" t="s">
        <v>757</v>
      </c>
      <c r="C309" s="4" t="str">
        <f t="shared" si="8"/>
        <v>B4</v>
      </c>
      <c r="D309" s="4" t="str">
        <f t="shared" si="9"/>
        <v>B003</v>
      </c>
      <c r="E309" s="23">
        <v>0</v>
      </c>
      <c r="F309" s="23">
        <v>0</v>
      </c>
      <c r="G309" s="23">
        <v>0</v>
      </c>
      <c r="H309" s="23">
        <v>1</v>
      </c>
      <c r="I309" s="4">
        <v>2</v>
      </c>
      <c r="J309" s="4">
        <f>P309+Q309+R309+'PresenceAbsence kleine Plots'!C309</f>
        <v>2</v>
      </c>
      <c r="K309" s="4">
        <v>0</v>
      </c>
      <c r="L309" s="4">
        <v>0</v>
      </c>
      <c r="M309" s="4">
        <v>1</v>
      </c>
      <c r="N309" s="4">
        <v>1</v>
      </c>
      <c r="O309" s="4">
        <v>0</v>
      </c>
      <c r="P309" s="4">
        <v>0</v>
      </c>
      <c r="Q309" s="4">
        <v>1</v>
      </c>
      <c r="R309" s="4">
        <v>1</v>
      </c>
    </row>
    <row r="310" spans="1:18" x14ac:dyDescent="0.2">
      <c r="A310" s="5" t="s">
        <v>407</v>
      </c>
      <c r="B310" s="22" t="s">
        <v>543</v>
      </c>
      <c r="C310" s="4" t="str">
        <f t="shared" si="8"/>
        <v>B4</v>
      </c>
      <c r="D310" s="4" t="str">
        <f t="shared" si="9"/>
        <v>B004</v>
      </c>
      <c r="E310" s="23">
        <v>1</v>
      </c>
      <c r="F310" s="23">
        <v>1</v>
      </c>
      <c r="G310" s="23">
        <v>1</v>
      </c>
      <c r="H310" s="23">
        <v>0</v>
      </c>
      <c r="I310" s="4">
        <v>1</v>
      </c>
      <c r="J310" s="4">
        <v>1</v>
      </c>
      <c r="K310" s="4">
        <v>1</v>
      </c>
      <c r="L310" s="4">
        <v>0</v>
      </c>
      <c r="M310" s="4">
        <v>0</v>
      </c>
      <c r="N310" s="4">
        <v>0</v>
      </c>
      <c r="O310" s="4">
        <v>1</v>
      </c>
      <c r="P310" s="4">
        <v>0</v>
      </c>
      <c r="Q310" s="4">
        <v>0</v>
      </c>
      <c r="R310" s="4">
        <v>0</v>
      </c>
    </row>
    <row r="311" spans="1:18" x14ac:dyDescent="0.2">
      <c r="A311" s="5" t="s">
        <v>408</v>
      </c>
      <c r="B311" s="22" t="s">
        <v>806</v>
      </c>
      <c r="C311" s="4" t="str">
        <f t="shared" si="8"/>
        <v>B4</v>
      </c>
      <c r="D311" s="4" t="str">
        <f t="shared" si="9"/>
        <v>B005</v>
      </c>
      <c r="E311" s="23">
        <v>0</v>
      </c>
      <c r="F311" s="23">
        <v>0</v>
      </c>
      <c r="G311" s="23">
        <v>0</v>
      </c>
      <c r="H311" s="23">
        <v>1</v>
      </c>
      <c r="I311" s="4">
        <v>3</v>
      </c>
      <c r="J311" s="4">
        <v>2</v>
      </c>
      <c r="K311" s="4">
        <v>2</v>
      </c>
      <c r="L311" s="4">
        <v>0</v>
      </c>
      <c r="M311" s="4">
        <v>1</v>
      </c>
      <c r="N311" s="4">
        <v>0</v>
      </c>
      <c r="O311" s="4">
        <v>1</v>
      </c>
      <c r="P311" s="4">
        <v>0</v>
      </c>
      <c r="Q311" s="4">
        <v>1</v>
      </c>
      <c r="R311" s="4">
        <v>0</v>
      </c>
    </row>
    <row r="312" spans="1:18" x14ac:dyDescent="0.2">
      <c r="A312" s="5" t="s">
        <v>409</v>
      </c>
      <c r="B312" s="22" t="s">
        <v>755</v>
      </c>
      <c r="C312" s="4" t="str">
        <f t="shared" si="8"/>
        <v>B4</v>
      </c>
      <c r="D312" s="4" t="str">
        <f t="shared" si="9"/>
        <v>B006</v>
      </c>
      <c r="E312" s="23">
        <v>0</v>
      </c>
      <c r="F312" s="23">
        <v>0</v>
      </c>
      <c r="G312" s="23">
        <v>0</v>
      </c>
      <c r="H312" s="23">
        <v>1</v>
      </c>
      <c r="I312" s="4">
        <v>2</v>
      </c>
      <c r="J312" s="4">
        <v>2</v>
      </c>
      <c r="K312" s="4">
        <v>1</v>
      </c>
      <c r="L312" s="4">
        <v>0</v>
      </c>
      <c r="M312" s="4">
        <v>0</v>
      </c>
      <c r="N312" s="4">
        <v>1</v>
      </c>
      <c r="O312" s="4">
        <v>1</v>
      </c>
      <c r="P312" s="4">
        <v>0</v>
      </c>
      <c r="Q312" s="4">
        <v>0</v>
      </c>
      <c r="R312" s="4">
        <v>1</v>
      </c>
    </row>
    <row r="313" spans="1:18" x14ac:dyDescent="0.2">
      <c r="A313" s="5" t="s">
        <v>410</v>
      </c>
      <c r="B313" s="22" t="s">
        <v>561</v>
      </c>
      <c r="C313" s="4" t="str">
        <f t="shared" si="8"/>
        <v>B4</v>
      </c>
      <c r="D313" s="4" t="str">
        <f t="shared" si="9"/>
        <v>B007</v>
      </c>
      <c r="E313" s="23">
        <v>0</v>
      </c>
      <c r="F313" s="23">
        <v>1</v>
      </c>
      <c r="G313" s="23">
        <v>1</v>
      </c>
      <c r="H313" s="23">
        <v>0</v>
      </c>
      <c r="I313" s="4">
        <v>4</v>
      </c>
      <c r="J313" s="4">
        <v>3</v>
      </c>
      <c r="K313" s="4">
        <v>1</v>
      </c>
      <c r="L313" s="4">
        <v>1</v>
      </c>
      <c r="M313" s="4">
        <v>0</v>
      </c>
      <c r="N313" s="4">
        <v>2</v>
      </c>
      <c r="O313" s="4">
        <v>1</v>
      </c>
      <c r="P313" s="4">
        <v>1</v>
      </c>
      <c r="Q313" s="4">
        <v>0</v>
      </c>
      <c r="R313" s="4">
        <v>1</v>
      </c>
    </row>
    <row r="314" spans="1:18" x14ac:dyDescent="0.2">
      <c r="A314" s="5" t="s">
        <v>411</v>
      </c>
      <c r="B314" s="22" t="s">
        <v>736</v>
      </c>
      <c r="C314" s="4" t="str">
        <f t="shared" si="8"/>
        <v>B4</v>
      </c>
      <c r="D314" s="4" t="str">
        <f t="shared" si="9"/>
        <v>B008</v>
      </c>
      <c r="E314" s="23">
        <v>0</v>
      </c>
      <c r="F314" s="23">
        <v>0</v>
      </c>
      <c r="G314" s="23">
        <v>0</v>
      </c>
      <c r="H314" s="23">
        <v>1</v>
      </c>
      <c r="I314" s="4">
        <v>2</v>
      </c>
      <c r="J314" s="4">
        <v>2</v>
      </c>
      <c r="K314" s="4">
        <v>1</v>
      </c>
      <c r="L314" s="4">
        <v>0</v>
      </c>
      <c r="M314" s="4">
        <v>1</v>
      </c>
      <c r="N314" s="4">
        <v>0</v>
      </c>
      <c r="O314" s="4">
        <v>1</v>
      </c>
      <c r="P314" s="4">
        <v>0</v>
      </c>
      <c r="Q314" s="4">
        <v>1</v>
      </c>
      <c r="R314" s="4">
        <v>0</v>
      </c>
    </row>
    <row r="315" spans="1:18" x14ac:dyDescent="0.2">
      <c r="A315" s="5" t="s">
        <v>412</v>
      </c>
      <c r="B315" s="22" t="s">
        <v>522</v>
      </c>
      <c r="C315" s="4" t="str">
        <f t="shared" si="8"/>
        <v>B4</v>
      </c>
      <c r="D315" s="4" t="str">
        <f t="shared" si="9"/>
        <v>B009</v>
      </c>
      <c r="E315" s="23">
        <v>0</v>
      </c>
      <c r="F315" s="23">
        <v>1</v>
      </c>
      <c r="G315" s="23">
        <v>1</v>
      </c>
      <c r="H315" s="23">
        <v>0</v>
      </c>
      <c r="I315" s="4">
        <v>2</v>
      </c>
      <c r="J315" s="4">
        <f>P315+Q315+R315+'PresenceAbsence kleine Plots'!C315</f>
        <v>1</v>
      </c>
      <c r="K315" s="4">
        <v>0</v>
      </c>
      <c r="L315" s="4">
        <v>0</v>
      </c>
      <c r="M315" s="4">
        <v>0</v>
      </c>
      <c r="N315" s="4">
        <v>2</v>
      </c>
      <c r="O315" s="4">
        <v>0</v>
      </c>
      <c r="P315" s="4">
        <v>0</v>
      </c>
      <c r="Q315" s="4">
        <v>0</v>
      </c>
      <c r="R315" s="4">
        <v>1</v>
      </c>
    </row>
    <row r="316" spans="1:18" x14ac:dyDescent="0.2">
      <c r="A316" s="5" t="s">
        <v>413</v>
      </c>
      <c r="B316" s="22" t="s">
        <v>598</v>
      </c>
      <c r="C316" s="4" t="str">
        <f t="shared" si="8"/>
        <v>B4</v>
      </c>
      <c r="D316" s="4" t="str">
        <f t="shared" si="9"/>
        <v>B010</v>
      </c>
      <c r="E316" s="23">
        <v>0</v>
      </c>
      <c r="F316" s="23">
        <v>1</v>
      </c>
      <c r="G316" s="23">
        <v>0</v>
      </c>
      <c r="H316" s="23">
        <v>0</v>
      </c>
      <c r="I316" s="4">
        <v>0</v>
      </c>
      <c r="J316" s="4">
        <f>P316+Q316+R316+'PresenceAbsence kleine Plots'!C316</f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</row>
    <row r="317" spans="1:18" x14ac:dyDescent="0.2">
      <c r="A317" s="5" t="s">
        <v>414</v>
      </c>
      <c r="B317" s="22" t="s">
        <v>569</v>
      </c>
      <c r="C317" s="4" t="str">
        <f t="shared" si="8"/>
        <v>B4</v>
      </c>
      <c r="D317" s="4" t="str">
        <f t="shared" si="9"/>
        <v>B011</v>
      </c>
      <c r="E317" s="23">
        <v>1</v>
      </c>
      <c r="F317" s="23">
        <v>1</v>
      </c>
      <c r="G317" s="23">
        <v>0</v>
      </c>
      <c r="H317" s="23">
        <v>0</v>
      </c>
      <c r="I317" s="4">
        <v>1</v>
      </c>
      <c r="J317" s="4">
        <f>P317+Q317+R317+'PresenceAbsence kleine Plots'!C317</f>
        <v>1</v>
      </c>
      <c r="K317" s="4">
        <v>0</v>
      </c>
      <c r="L317" s="4">
        <v>0</v>
      </c>
      <c r="M317" s="4">
        <v>0</v>
      </c>
      <c r="N317" s="4">
        <v>1</v>
      </c>
      <c r="O317" s="4">
        <v>0</v>
      </c>
      <c r="P317" s="4">
        <v>0</v>
      </c>
      <c r="Q317" s="4">
        <v>0</v>
      </c>
      <c r="R317" s="4">
        <v>1</v>
      </c>
    </row>
    <row r="318" spans="1:18" x14ac:dyDescent="0.2">
      <c r="A318" s="5" t="s">
        <v>415</v>
      </c>
      <c r="B318" s="22" t="s">
        <v>677</v>
      </c>
      <c r="C318" s="4" t="str">
        <f t="shared" si="8"/>
        <v>B4</v>
      </c>
      <c r="D318" s="4" t="str">
        <f t="shared" si="9"/>
        <v>B012</v>
      </c>
      <c r="E318" s="23">
        <v>0</v>
      </c>
      <c r="F318" s="23">
        <v>0</v>
      </c>
      <c r="G318" s="23">
        <v>0</v>
      </c>
      <c r="H318" s="23">
        <v>1</v>
      </c>
      <c r="I318" s="4">
        <v>9</v>
      </c>
      <c r="J318" s="4">
        <f>P318+Q318+R318+'PresenceAbsence kleine Plots'!C318</f>
        <v>3</v>
      </c>
      <c r="K318" s="4">
        <v>5</v>
      </c>
      <c r="L318" s="4">
        <v>0</v>
      </c>
      <c r="M318" s="4">
        <v>2</v>
      </c>
      <c r="N318" s="4">
        <v>2</v>
      </c>
      <c r="O318" s="4">
        <v>1</v>
      </c>
      <c r="P318" s="4">
        <v>0</v>
      </c>
      <c r="Q318" s="4">
        <v>1</v>
      </c>
      <c r="R318" s="4">
        <v>1</v>
      </c>
    </row>
    <row r="319" spans="1:18" x14ac:dyDescent="0.2">
      <c r="A319" s="5" t="s">
        <v>416</v>
      </c>
      <c r="B319" s="22" t="s">
        <v>564</v>
      </c>
      <c r="C319" s="4" t="str">
        <f t="shared" si="8"/>
        <v>B4</v>
      </c>
      <c r="D319" s="4" t="str">
        <f t="shared" si="9"/>
        <v>B013</v>
      </c>
      <c r="E319" s="23">
        <v>1</v>
      </c>
      <c r="F319" s="23">
        <v>1</v>
      </c>
      <c r="G319" s="23">
        <v>0</v>
      </c>
      <c r="H319" s="23">
        <v>0</v>
      </c>
      <c r="I319" s="4">
        <v>1</v>
      </c>
      <c r="J319" s="4">
        <v>1</v>
      </c>
      <c r="K319" s="4">
        <v>1</v>
      </c>
      <c r="L319" s="4">
        <v>0</v>
      </c>
      <c r="M319" s="4">
        <v>0</v>
      </c>
      <c r="N319" s="4">
        <v>0</v>
      </c>
      <c r="O319" s="4">
        <v>1</v>
      </c>
      <c r="P319" s="4">
        <v>0</v>
      </c>
      <c r="Q319" s="4">
        <v>0</v>
      </c>
      <c r="R319" s="4">
        <v>0</v>
      </c>
    </row>
    <row r="320" spans="1:18" x14ac:dyDescent="0.2">
      <c r="A320" s="5" t="s">
        <v>417</v>
      </c>
      <c r="B320" s="22" t="s">
        <v>571</v>
      </c>
      <c r="C320" s="4" t="str">
        <f t="shared" si="8"/>
        <v>B4</v>
      </c>
      <c r="D320" s="4" t="str">
        <f t="shared" si="9"/>
        <v>B014</v>
      </c>
      <c r="E320" s="23">
        <v>0</v>
      </c>
      <c r="F320" s="23">
        <v>1</v>
      </c>
      <c r="G320" s="23">
        <v>1</v>
      </c>
      <c r="H320" s="23">
        <v>0</v>
      </c>
      <c r="I320" s="4">
        <v>16</v>
      </c>
      <c r="J320" s="4">
        <f>P320+Q320+R320+'PresenceAbsence kleine Plots'!C320</f>
        <v>2</v>
      </c>
      <c r="K320" s="4">
        <v>0</v>
      </c>
      <c r="L320" s="4">
        <v>8</v>
      </c>
      <c r="M320" s="4">
        <v>0</v>
      </c>
      <c r="N320" s="4">
        <v>8</v>
      </c>
      <c r="O320" s="4">
        <v>0</v>
      </c>
      <c r="P320" s="4">
        <v>1</v>
      </c>
      <c r="Q320" s="4">
        <v>0</v>
      </c>
      <c r="R320" s="4">
        <v>1</v>
      </c>
    </row>
    <row r="321" spans="1:18" x14ac:dyDescent="0.2">
      <c r="A321" s="5" t="s">
        <v>418</v>
      </c>
      <c r="B321" s="22" t="s">
        <v>594</v>
      </c>
      <c r="C321" s="4" t="str">
        <f t="shared" si="8"/>
        <v>B4</v>
      </c>
      <c r="D321" s="4" t="str">
        <f t="shared" si="9"/>
        <v>B015</v>
      </c>
      <c r="E321" s="23">
        <v>0</v>
      </c>
      <c r="F321" s="23">
        <v>1</v>
      </c>
      <c r="G321" s="23">
        <v>1</v>
      </c>
      <c r="H321" s="23">
        <v>0</v>
      </c>
      <c r="I321" s="4">
        <v>16</v>
      </c>
      <c r="J321" s="4">
        <f>P321+Q321+R321+'PresenceAbsence kleine Plots'!C321</f>
        <v>4</v>
      </c>
      <c r="K321" s="4">
        <v>4</v>
      </c>
      <c r="L321" s="4">
        <v>4</v>
      </c>
      <c r="M321" s="4">
        <v>4</v>
      </c>
      <c r="N321" s="4">
        <v>4</v>
      </c>
      <c r="O321" s="4">
        <v>1</v>
      </c>
      <c r="P321" s="4">
        <v>1</v>
      </c>
      <c r="Q321" s="4">
        <v>1</v>
      </c>
      <c r="R321" s="4">
        <v>1</v>
      </c>
    </row>
    <row r="322" spans="1:18" x14ac:dyDescent="0.2">
      <c r="A322" s="5" t="s">
        <v>419</v>
      </c>
      <c r="B322" s="22" t="s">
        <v>739</v>
      </c>
      <c r="C322" s="4" t="str">
        <f t="shared" ref="C322:C385" si="10">LEFT(A322,2)</f>
        <v>B4</v>
      </c>
      <c r="D322" s="4" t="str">
        <f t="shared" ref="D322:D385" si="11">RIGHT(A322,4)</f>
        <v>B016</v>
      </c>
      <c r="E322" s="23">
        <v>0</v>
      </c>
      <c r="F322" s="23">
        <v>0</v>
      </c>
      <c r="G322" s="23">
        <v>0</v>
      </c>
      <c r="H322" s="23">
        <v>1</v>
      </c>
      <c r="I322" s="4">
        <v>2</v>
      </c>
      <c r="J322" s="4">
        <f>P322+Q322+R322+'PresenceAbsence kleine Plots'!C322</f>
        <v>1</v>
      </c>
      <c r="K322" s="4">
        <v>0</v>
      </c>
      <c r="L322" s="4">
        <v>0</v>
      </c>
      <c r="M322" s="4">
        <v>2</v>
      </c>
      <c r="N322" s="4">
        <v>0</v>
      </c>
      <c r="O322" s="4">
        <v>0</v>
      </c>
      <c r="P322" s="4">
        <v>0</v>
      </c>
      <c r="Q322" s="4">
        <v>1</v>
      </c>
      <c r="R322" s="4">
        <v>0</v>
      </c>
    </row>
    <row r="323" spans="1:18" x14ac:dyDescent="0.2">
      <c r="A323" s="5" t="s">
        <v>420</v>
      </c>
      <c r="B323" s="22" t="s">
        <v>694</v>
      </c>
      <c r="C323" s="4" t="str">
        <f t="shared" si="10"/>
        <v>B4</v>
      </c>
      <c r="D323" s="4" t="str">
        <f t="shared" si="11"/>
        <v>B017</v>
      </c>
      <c r="E323" s="23">
        <v>1</v>
      </c>
      <c r="F323" s="23">
        <v>0</v>
      </c>
      <c r="G323" s="23">
        <v>0</v>
      </c>
      <c r="H323" s="23">
        <v>0</v>
      </c>
      <c r="I323" s="4">
        <v>1</v>
      </c>
      <c r="J323" s="4">
        <v>1</v>
      </c>
      <c r="K323" s="4">
        <v>1</v>
      </c>
      <c r="L323" s="4">
        <v>0</v>
      </c>
      <c r="M323" s="4">
        <v>0</v>
      </c>
      <c r="N323" s="4">
        <v>0</v>
      </c>
      <c r="O323" s="4">
        <v>1</v>
      </c>
      <c r="P323" s="4">
        <v>0</v>
      </c>
      <c r="Q323" s="4">
        <v>0</v>
      </c>
      <c r="R323" s="4">
        <v>0</v>
      </c>
    </row>
    <row r="324" spans="1:18" x14ac:dyDescent="0.2">
      <c r="A324" s="5" t="s">
        <v>421</v>
      </c>
      <c r="B324" s="22" t="s">
        <v>550</v>
      </c>
      <c r="C324" s="4" t="str">
        <f t="shared" si="10"/>
        <v>B4</v>
      </c>
      <c r="D324" s="4" t="str">
        <f t="shared" si="11"/>
        <v>B018</v>
      </c>
      <c r="E324" s="23">
        <v>0</v>
      </c>
      <c r="F324" s="23">
        <v>1</v>
      </c>
      <c r="G324" s="23">
        <v>1</v>
      </c>
      <c r="H324" s="23">
        <v>0</v>
      </c>
      <c r="I324" s="4">
        <v>8</v>
      </c>
      <c r="J324" s="4">
        <v>4</v>
      </c>
      <c r="K324" s="4">
        <v>2</v>
      </c>
      <c r="L324" s="4">
        <v>2</v>
      </c>
      <c r="M324" s="4">
        <v>2</v>
      </c>
      <c r="N324" s="4">
        <v>2</v>
      </c>
      <c r="O324" s="4">
        <v>1</v>
      </c>
      <c r="P324" s="4">
        <v>1</v>
      </c>
      <c r="Q324" s="4">
        <v>1</v>
      </c>
      <c r="R324" s="4">
        <v>1</v>
      </c>
    </row>
    <row r="325" spans="1:18" x14ac:dyDescent="0.2">
      <c r="A325" s="5" t="s">
        <v>422</v>
      </c>
      <c r="B325" s="22" t="s">
        <v>765</v>
      </c>
      <c r="C325" s="4" t="str">
        <f t="shared" si="10"/>
        <v>B4</v>
      </c>
      <c r="D325" s="4" t="str">
        <f t="shared" si="11"/>
        <v>B019</v>
      </c>
      <c r="E325" s="23">
        <v>0</v>
      </c>
      <c r="F325" s="23">
        <v>0</v>
      </c>
      <c r="G325" s="23">
        <v>0</v>
      </c>
      <c r="H325" s="23">
        <v>1</v>
      </c>
      <c r="I325" s="4">
        <v>2</v>
      </c>
      <c r="J325" s="4">
        <v>2</v>
      </c>
      <c r="K325" s="4">
        <v>1</v>
      </c>
      <c r="L325" s="4">
        <v>0</v>
      </c>
      <c r="M325" s="4">
        <v>0</v>
      </c>
      <c r="N325" s="4">
        <v>1</v>
      </c>
      <c r="O325" s="4">
        <v>1</v>
      </c>
      <c r="P325" s="4">
        <v>0</v>
      </c>
      <c r="Q325" s="4">
        <v>0</v>
      </c>
      <c r="R325" s="4">
        <v>1</v>
      </c>
    </row>
    <row r="326" spans="1:18" x14ac:dyDescent="0.2">
      <c r="A326" s="5" t="s">
        <v>423</v>
      </c>
      <c r="B326" s="22" t="s">
        <v>734</v>
      </c>
      <c r="C326" s="4" t="str">
        <f t="shared" si="10"/>
        <v>B4</v>
      </c>
      <c r="D326" s="4" t="str">
        <f t="shared" si="11"/>
        <v>B020</v>
      </c>
      <c r="E326" s="23">
        <v>0</v>
      </c>
      <c r="F326" s="23">
        <v>0</v>
      </c>
      <c r="G326" s="23">
        <v>0</v>
      </c>
      <c r="H326" s="23">
        <v>1</v>
      </c>
      <c r="I326" s="4">
        <v>2</v>
      </c>
      <c r="J326" s="4">
        <v>2</v>
      </c>
      <c r="K326" s="4">
        <v>1</v>
      </c>
      <c r="L326" s="4">
        <v>0</v>
      </c>
      <c r="M326" s="4">
        <v>1</v>
      </c>
      <c r="N326" s="4">
        <v>0</v>
      </c>
      <c r="O326" s="4">
        <v>1</v>
      </c>
      <c r="P326" s="4">
        <v>0</v>
      </c>
      <c r="Q326" s="4">
        <v>1</v>
      </c>
      <c r="R326" s="4">
        <v>0</v>
      </c>
    </row>
    <row r="327" spans="1:18" x14ac:dyDescent="0.2">
      <c r="A327" s="5" t="s">
        <v>424</v>
      </c>
      <c r="B327" s="22" t="s">
        <v>708</v>
      </c>
      <c r="C327" s="4" t="str">
        <f t="shared" si="10"/>
        <v>B4</v>
      </c>
      <c r="D327" s="4" t="str">
        <f t="shared" si="11"/>
        <v>B021</v>
      </c>
      <c r="E327" s="23">
        <v>1</v>
      </c>
      <c r="F327" s="23">
        <v>0</v>
      </c>
      <c r="G327" s="23">
        <v>0</v>
      </c>
      <c r="H327" s="23">
        <v>0</v>
      </c>
      <c r="I327" s="4">
        <v>1</v>
      </c>
      <c r="J327" s="4">
        <v>1</v>
      </c>
      <c r="K327" s="4">
        <v>1</v>
      </c>
      <c r="L327" s="4">
        <v>0</v>
      </c>
      <c r="M327" s="4">
        <v>0</v>
      </c>
      <c r="N327" s="4">
        <v>0</v>
      </c>
      <c r="O327" s="4">
        <v>1</v>
      </c>
      <c r="P327" s="4">
        <v>0</v>
      </c>
      <c r="Q327" s="4">
        <v>0</v>
      </c>
      <c r="R327" s="4">
        <v>0</v>
      </c>
    </row>
    <row r="328" spans="1:18" x14ac:dyDescent="0.2">
      <c r="A328" s="5" t="s">
        <v>425</v>
      </c>
      <c r="B328" s="22" t="s">
        <v>747</v>
      </c>
      <c r="C328" s="4" t="str">
        <f t="shared" si="10"/>
        <v>B4</v>
      </c>
      <c r="D328" s="4" t="str">
        <f t="shared" si="11"/>
        <v>B022</v>
      </c>
      <c r="E328" s="23">
        <v>0</v>
      </c>
      <c r="F328" s="23">
        <v>0</v>
      </c>
      <c r="G328" s="23">
        <v>0</v>
      </c>
      <c r="H328" s="23">
        <v>1</v>
      </c>
      <c r="I328" s="4">
        <v>2</v>
      </c>
      <c r="J328" s="4">
        <f>P328+Q328+R328+'PresenceAbsence kleine Plots'!C328</f>
        <v>1</v>
      </c>
      <c r="K328" s="4">
        <v>2</v>
      </c>
      <c r="L328" s="4">
        <v>0</v>
      </c>
      <c r="M328" s="4">
        <v>0</v>
      </c>
      <c r="N328" s="4">
        <v>0</v>
      </c>
      <c r="O328" s="4">
        <v>1</v>
      </c>
      <c r="P328" s="4">
        <v>0</v>
      </c>
      <c r="Q328" s="4">
        <v>0</v>
      </c>
      <c r="R328" s="4">
        <v>0</v>
      </c>
    </row>
    <row r="329" spans="1:18" x14ac:dyDescent="0.2">
      <c r="A329" s="5" t="s">
        <v>426</v>
      </c>
      <c r="B329" s="22" t="s">
        <v>738</v>
      </c>
      <c r="C329" s="4" t="str">
        <f t="shared" si="10"/>
        <v>B4</v>
      </c>
      <c r="D329" s="4" t="str">
        <f t="shared" si="11"/>
        <v>B023</v>
      </c>
      <c r="E329" s="23">
        <v>0</v>
      </c>
      <c r="F329" s="23">
        <v>0</v>
      </c>
      <c r="G329" s="23">
        <v>0</v>
      </c>
      <c r="H329" s="23">
        <v>1</v>
      </c>
      <c r="I329" s="4">
        <v>2</v>
      </c>
      <c r="J329" s="4">
        <f>P329+Q329+R329+'PresenceAbsence kleine Plots'!C329</f>
        <v>2</v>
      </c>
      <c r="K329" s="4">
        <v>1</v>
      </c>
      <c r="L329" s="4">
        <v>0</v>
      </c>
      <c r="M329" s="4">
        <v>1</v>
      </c>
      <c r="N329" s="4">
        <v>0</v>
      </c>
      <c r="O329" s="4">
        <v>1</v>
      </c>
      <c r="P329" s="4">
        <v>0</v>
      </c>
      <c r="Q329" s="4">
        <v>1</v>
      </c>
      <c r="R329" s="4">
        <v>0</v>
      </c>
    </row>
    <row r="330" spans="1:18" x14ac:dyDescent="0.2">
      <c r="A330" s="5" t="s">
        <v>427</v>
      </c>
      <c r="B330" s="22" t="s">
        <v>733</v>
      </c>
      <c r="C330" s="4" t="str">
        <f t="shared" si="10"/>
        <v>B4</v>
      </c>
      <c r="D330" s="4" t="str">
        <f t="shared" si="11"/>
        <v>B024</v>
      </c>
      <c r="E330" s="23">
        <v>0</v>
      </c>
      <c r="F330" s="23">
        <v>0</v>
      </c>
      <c r="G330" s="23">
        <v>0</v>
      </c>
      <c r="H330" s="23">
        <v>1</v>
      </c>
      <c r="I330" s="4">
        <v>2</v>
      </c>
      <c r="J330" s="4">
        <f>P330+Q330+R330+'PresenceAbsence kleine Plots'!C330</f>
        <v>1</v>
      </c>
      <c r="K330" s="4">
        <v>2</v>
      </c>
      <c r="L330" s="4">
        <v>0</v>
      </c>
      <c r="M330" s="4">
        <v>0</v>
      </c>
      <c r="N330" s="4">
        <v>0</v>
      </c>
      <c r="O330" s="4">
        <v>1</v>
      </c>
      <c r="P330" s="4">
        <v>0</v>
      </c>
      <c r="Q330" s="4">
        <v>0</v>
      </c>
      <c r="R330" s="4">
        <v>0</v>
      </c>
    </row>
    <row r="331" spans="1:18" x14ac:dyDescent="0.2">
      <c r="A331" s="5" t="s">
        <v>428</v>
      </c>
      <c r="B331" s="22" t="s">
        <v>702</v>
      </c>
      <c r="C331" s="4" t="str">
        <f t="shared" si="10"/>
        <v>B4</v>
      </c>
      <c r="D331" s="4" t="str">
        <f t="shared" si="11"/>
        <v>B025</v>
      </c>
      <c r="E331" s="23">
        <v>1</v>
      </c>
      <c r="F331" s="23">
        <v>0</v>
      </c>
      <c r="G331" s="23">
        <v>0</v>
      </c>
      <c r="H331" s="23">
        <v>0</v>
      </c>
      <c r="I331" s="4">
        <v>1</v>
      </c>
      <c r="J331" s="4">
        <f>P331+Q331+R331+'PresenceAbsence kleine Plots'!C331</f>
        <v>1</v>
      </c>
      <c r="K331" s="4">
        <v>0</v>
      </c>
      <c r="L331" s="4">
        <v>0</v>
      </c>
      <c r="M331" s="4">
        <v>1</v>
      </c>
      <c r="N331" s="4">
        <v>0</v>
      </c>
      <c r="O331" s="4">
        <v>0</v>
      </c>
      <c r="P331" s="4">
        <v>0</v>
      </c>
      <c r="Q331" s="4">
        <v>1</v>
      </c>
      <c r="R331" s="4">
        <v>0</v>
      </c>
    </row>
    <row r="332" spans="1:18" x14ac:dyDescent="0.2">
      <c r="A332" s="5" t="s">
        <v>429</v>
      </c>
      <c r="B332" s="22" t="s">
        <v>809</v>
      </c>
      <c r="C332" s="4" t="str">
        <f t="shared" si="10"/>
        <v>B4</v>
      </c>
      <c r="D332" s="4" t="str">
        <f t="shared" si="11"/>
        <v>B026</v>
      </c>
      <c r="E332" s="23">
        <v>0</v>
      </c>
      <c r="F332" s="23">
        <v>0</v>
      </c>
      <c r="G332" s="23">
        <v>0</v>
      </c>
      <c r="H332" s="23">
        <v>1</v>
      </c>
      <c r="I332" s="4">
        <v>3</v>
      </c>
      <c r="J332" s="4">
        <f>P332+Q332+R332+'PresenceAbsence kleine Plots'!C332</f>
        <v>1</v>
      </c>
      <c r="K332" s="4">
        <v>3</v>
      </c>
      <c r="L332" s="4">
        <v>0</v>
      </c>
      <c r="M332" s="4">
        <v>0</v>
      </c>
      <c r="N332" s="4">
        <v>0</v>
      </c>
      <c r="O332" s="4">
        <v>1</v>
      </c>
      <c r="P332" s="4">
        <v>0</v>
      </c>
      <c r="Q332" s="4">
        <v>0</v>
      </c>
      <c r="R332" s="4">
        <v>0</v>
      </c>
    </row>
    <row r="333" spans="1:18" x14ac:dyDescent="0.2">
      <c r="A333" s="5" t="s">
        <v>430</v>
      </c>
      <c r="B333" s="22" t="s">
        <v>724</v>
      </c>
      <c r="C333" s="4" t="str">
        <f t="shared" si="10"/>
        <v>B4</v>
      </c>
      <c r="D333" s="4" t="str">
        <f t="shared" si="11"/>
        <v>B027</v>
      </c>
      <c r="E333" s="23">
        <v>1</v>
      </c>
      <c r="F333" s="23">
        <v>0</v>
      </c>
      <c r="G333" s="23">
        <v>0</v>
      </c>
      <c r="H333" s="23">
        <v>0</v>
      </c>
      <c r="I333" s="4">
        <v>1</v>
      </c>
      <c r="J333" s="4">
        <f>P333+Q333+R333+'PresenceAbsence kleine Plots'!C333</f>
        <v>1</v>
      </c>
      <c r="K333" s="4">
        <v>0</v>
      </c>
      <c r="L333" s="4">
        <v>0</v>
      </c>
      <c r="M333" s="4">
        <v>0</v>
      </c>
      <c r="N333" s="4">
        <v>1</v>
      </c>
      <c r="O333" s="4">
        <v>0</v>
      </c>
      <c r="P333" s="4">
        <v>0</v>
      </c>
      <c r="Q333" s="4">
        <v>0</v>
      </c>
      <c r="R333" s="4">
        <v>1</v>
      </c>
    </row>
    <row r="334" spans="1:18" x14ac:dyDescent="0.2">
      <c r="A334" s="5" t="s">
        <v>431</v>
      </c>
      <c r="B334" s="22" t="s">
        <v>695</v>
      </c>
      <c r="C334" s="4" t="str">
        <f t="shared" si="10"/>
        <v>B4</v>
      </c>
      <c r="D334" s="4" t="str">
        <f t="shared" si="11"/>
        <v>B028</v>
      </c>
      <c r="E334" s="23">
        <v>1</v>
      </c>
      <c r="F334" s="23">
        <v>0</v>
      </c>
      <c r="G334" s="23">
        <v>0</v>
      </c>
      <c r="H334" s="23">
        <v>0</v>
      </c>
      <c r="I334" s="4">
        <v>1</v>
      </c>
      <c r="J334" s="4">
        <f>P334+Q334+R334+'PresenceAbsence kleine Plots'!C334</f>
        <v>1</v>
      </c>
      <c r="K334" s="4">
        <v>0</v>
      </c>
      <c r="L334" s="4">
        <v>0</v>
      </c>
      <c r="M334" s="4">
        <v>1</v>
      </c>
      <c r="N334" s="4">
        <v>0</v>
      </c>
      <c r="O334" s="4">
        <v>0</v>
      </c>
      <c r="P334" s="4">
        <v>0</v>
      </c>
      <c r="Q334" s="4">
        <v>1</v>
      </c>
      <c r="R334" s="4">
        <v>0</v>
      </c>
    </row>
    <row r="335" spans="1:18" x14ac:dyDescent="0.2">
      <c r="A335" s="5" t="s">
        <v>432</v>
      </c>
      <c r="B335" s="22" t="s">
        <v>672</v>
      </c>
      <c r="C335" s="4" t="str">
        <f t="shared" si="10"/>
        <v>B4</v>
      </c>
      <c r="D335" s="4" t="str">
        <f t="shared" si="11"/>
        <v>B029</v>
      </c>
      <c r="E335" s="23">
        <v>1</v>
      </c>
      <c r="F335" s="23">
        <v>0</v>
      </c>
      <c r="G335" s="23">
        <v>0</v>
      </c>
      <c r="H335" s="23">
        <v>0</v>
      </c>
      <c r="I335" s="4">
        <v>1</v>
      </c>
      <c r="J335" s="4">
        <f>P335+Q335+R335+'PresenceAbsence kleine Plots'!C335</f>
        <v>1</v>
      </c>
      <c r="K335" s="4">
        <v>0</v>
      </c>
      <c r="L335" s="4">
        <v>1</v>
      </c>
      <c r="M335" s="4">
        <v>0</v>
      </c>
      <c r="N335" s="4">
        <v>0</v>
      </c>
      <c r="O335" s="4">
        <v>0</v>
      </c>
      <c r="P335" s="4">
        <v>1</v>
      </c>
      <c r="Q335" s="4">
        <v>0</v>
      </c>
      <c r="R335" s="4">
        <v>0</v>
      </c>
    </row>
    <row r="336" spans="1:18" x14ac:dyDescent="0.2">
      <c r="A336" s="5" t="s">
        <v>433</v>
      </c>
      <c r="B336" s="22" t="s">
        <v>718</v>
      </c>
      <c r="C336" s="4" t="str">
        <f t="shared" si="10"/>
        <v>B4</v>
      </c>
      <c r="D336" s="4" t="str">
        <f t="shared" si="11"/>
        <v>B030</v>
      </c>
      <c r="E336" s="23">
        <v>1</v>
      </c>
      <c r="F336" s="23">
        <v>0</v>
      </c>
      <c r="G336" s="23">
        <v>0</v>
      </c>
      <c r="H336" s="23">
        <v>0</v>
      </c>
      <c r="I336" s="4">
        <v>1</v>
      </c>
      <c r="J336" s="4">
        <f>P336+Q336+R336+'PresenceAbsence kleine Plots'!C336</f>
        <v>1</v>
      </c>
      <c r="K336" s="4">
        <v>0</v>
      </c>
      <c r="L336" s="4">
        <v>0</v>
      </c>
      <c r="M336" s="4">
        <v>1</v>
      </c>
      <c r="N336" s="4">
        <v>0</v>
      </c>
      <c r="O336" s="4">
        <v>0</v>
      </c>
      <c r="P336" s="4">
        <v>0</v>
      </c>
      <c r="Q336" s="4">
        <v>1</v>
      </c>
      <c r="R336" s="4">
        <v>0</v>
      </c>
    </row>
    <row r="337" spans="1:18" x14ac:dyDescent="0.2">
      <c r="A337" s="5" t="s">
        <v>434</v>
      </c>
      <c r="B337" s="22" t="s">
        <v>797</v>
      </c>
      <c r="C337" s="4" t="str">
        <f t="shared" si="10"/>
        <v>B4</v>
      </c>
      <c r="D337" s="4" t="str">
        <f t="shared" si="11"/>
        <v>B031</v>
      </c>
      <c r="E337" s="23">
        <v>0</v>
      </c>
      <c r="F337" s="23">
        <v>0</v>
      </c>
      <c r="G337" s="23">
        <v>0</v>
      </c>
      <c r="H337" s="23">
        <v>1</v>
      </c>
      <c r="I337" s="4">
        <v>4</v>
      </c>
      <c r="J337" s="4">
        <v>3</v>
      </c>
      <c r="K337" s="4">
        <v>2</v>
      </c>
      <c r="L337" s="4">
        <v>0</v>
      </c>
      <c r="M337" s="4">
        <v>1</v>
      </c>
      <c r="N337" s="4">
        <v>1</v>
      </c>
      <c r="O337" s="4">
        <v>1</v>
      </c>
      <c r="P337" s="4">
        <v>0</v>
      </c>
      <c r="Q337" s="4">
        <v>1</v>
      </c>
      <c r="R337" s="4">
        <v>1</v>
      </c>
    </row>
    <row r="338" spans="1:18" x14ac:dyDescent="0.2">
      <c r="A338" s="5" t="s">
        <v>435</v>
      </c>
      <c r="B338" s="22" t="s">
        <v>756</v>
      </c>
      <c r="C338" s="4" t="str">
        <f t="shared" si="10"/>
        <v>B4</v>
      </c>
      <c r="D338" s="4" t="str">
        <f t="shared" si="11"/>
        <v>B032</v>
      </c>
      <c r="E338" s="23">
        <v>0</v>
      </c>
      <c r="F338" s="23">
        <v>0</v>
      </c>
      <c r="G338" s="23">
        <v>0</v>
      </c>
      <c r="H338" s="23">
        <v>1</v>
      </c>
      <c r="I338" s="4">
        <v>2</v>
      </c>
      <c r="J338" s="4">
        <v>2</v>
      </c>
      <c r="K338" s="4">
        <v>1</v>
      </c>
      <c r="L338" s="4">
        <v>0</v>
      </c>
      <c r="M338" s="4">
        <v>0</v>
      </c>
      <c r="N338" s="4">
        <v>1</v>
      </c>
      <c r="O338" s="4">
        <v>1</v>
      </c>
      <c r="P338" s="4">
        <v>0</v>
      </c>
      <c r="Q338" s="4">
        <v>0</v>
      </c>
      <c r="R338" s="4">
        <v>1</v>
      </c>
    </row>
    <row r="339" spans="1:18" x14ac:dyDescent="0.2">
      <c r="A339" s="5" t="s">
        <v>436</v>
      </c>
      <c r="B339" s="22" t="s">
        <v>584</v>
      </c>
      <c r="C339" s="4" t="str">
        <f t="shared" si="10"/>
        <v>B4</v>
      </c>
      <c r="D339" s="4" t="str">
        <f t="shared" si="11"/>
        <v>B033</v>
      </c>
      <c r="E339" s="23">
        <v>0</v>
      </c>
      <c r="F339" s="23">
        <v>1</v>
      </c>
      <c r="G339" s="23">
        <v>1</v>
      </c>
      <c r="H339" s="23">
        <v>0</v>
      </c>
      <c r="I339" s="4">
        <v>8</v>
      </c>
      <c r="J339" s="4">
        <v>2</v>
      </c>
      <c r="K339" s="4">
        <v>4</v>
      </c>
      <c r="L339" s="4">
        <v>4</v>
      </c>
      <c r="M339" s="4">
        <v>0</v>
      </c>
      <c r="N339" s="4">
        <v>0</v>
      </c>
      <c r="O339" s="4">
        <v>1</v>
      </c>
      <c r="P339" s="4">
        <v>1</v>
      </c>
      <c r="Q339" s="4">
        <v>0</v>
      </c>
      <c r="R339" s="4">
        <v>0</v>
      </c>
    </row>
    <row r="340" spans="1:18" x14ac:dyDescent="0.2">
      <c r="A340" s="5" t="s">
        <v>437</v>
      </c>
      <c r="B340" s="22" t="s">
        <v>766</v>
      </c>
      <c r="C340" s="4" t="str">
        <f t="shared" si="10"/>
        <v>B4</v>
      </c>
      <c r="D340" s="4" t="str">
        <f t="shared" si="11"/>
        <v>B034</v>
      </c>
      <c r="E340" s="23">
        <v>0</v>
      </c>
      <c r="F340" s="23">
        <v>0</v>
      </c>
      <c r="G340" s="23">
        <v>0</v>
      </c>
      <c r="H340" s="23">
        <v>1</v>
      </c>
      <c r="I340" s="4">
        <v>2</v>
      </c>
      <c r="J340" s="4">
        <v>2</v>
      </c>
      <c r="K340" s="4">
        <v>1</v>
      </c>
      <c r="L340" s="4">
        <v>0</v>
      </c>
      <c r="M340" s="4">
        <v>0</v>
      </c>
      <c r="N340" s="4">
        <v>1</v>
      </c>
      <c r="O340" s="4">
        <v>1</v>
      </c>
      <c r="P340" s="4">
        <v>0</v>
      </c>
      <c r="Q340" s="4">
        <v>0</v>
      </c>
      <c r="R340" s="4">
        <v>1</v>
      </c>
    </row>
    <row r="341" spans="1:18" x14ac:dyDescent="0.2">
      <c r="A341" s="5" t="s">
        <v>438</v>
      </c>
      <c r="B341" s="22" t="s">
        <v>774</v>
      </c>
      <c r="C341" s="4" t="str">
        <f t="shared" si="10"/>
        <v>B4</v>
      </c>
      <c r="D341" s="4" t="str">
        <f t="shared" si="11"/>
        <v>B035</v>
      </c>
      <c r="E341" s="23">
        <v>0</v>
      </c>
      <c r="F341" s="23">
        <v>0</v>
      </c>
      <c r="G341" s="23">
        <v>0</v>
      </c>
      <c r="H341" s="23">
        <v>1</v>
      </c>
      <c r="I341" s="4">
        <v>3</v>
      </c>
      <c r="J341" s="4">
        <v>3</v>
      </c>
      <c r="K341" s="4">
        <v>1</v>
      </c>
      <c r="L341" s="4">
        <v>0</v>
      </c>
      <c r="M341" s="4">
        <v>1</v>
      </c>
      <c r="N341" s="4">
        <v>1</v>
      </c>
      <c r="O341" s="4">
        <v>1</v>
      </c>
      <c r="P341" s="4">
        <v>0</v>
      </c>
      <c r="Q341" s="4">
        <v>1</v>
      </c>
      <c r="R341" s="4">
        <v>1</v>
      </c>
    </row>
    <row r="342" spans="1:18" x14ac:dyDescent="0.2">
      <c r="A342" s="5" t="s">
        <v>439</v>
      </c>
      <c r="B342" s="22" t="s">
        <v>795</v>
      </c>
      <c r="C342" s="4" t="str">
        <f t="shared" si="10"/>
        <v>B4</v>
      </c>
      <c r="D342" s="4" t="str">
        <f t="shared" si="11"/>
        <v>B036</v>
      </c>
      <c r="E342" s="23">
        <v>0</v>
      </c>
      <c r="F342" s="23">
        <v>0</v>
      </c>
      <c r="G342" s="23">
        <v>0</v>
      </c>
      <c r="H342" s="23">
        <v>1</v>
      </c>
      <c r="I342" s="4">
        <v>4</v>
      </c>
      <c r="J342" s="4">
        <f>P342+Q342+R342+'PresenceAbsence kleine Plots'!C342</f>
        <v>3</v>
      </c>
      <c r="K342" s="4">
        <v>2</v>
      </c>
      <c r="L342" s="4">
        <v>0</v>
      </c>
      <c r="M342" s="4">
        <v>1</v>
      </c>
      <c r="N342" s="4">
        <v>1</v>
      </c>
      <c r="O342" s="4">
        <v>1</v>
      </c>
      <c r="P342" s="4">
        <v>0</v>
      </c>
      <c r="Q342" s="4">
        <v>1</v>
      </c>
      <c r="R342" s="4">
        <v>1</v>
      </c>
    </row>
    <row r="343" spans="1:18" x14ac:dyDescent="0.2">
      <c r="A343" s="5" t="s">
        <v>440</v>
      </c>
      <c r="B343" s="22" t="s">
        <v>596</v>
      </c>
      <c r="C343" s="4" t="str">
        <f t="shared" si="10"/>
        <v>B4</v>
      </c>
      <c r="D343" s="4" t="str">
        <f t="shared" si="11"/>
        <v>B037</v>
      </c>
      <c r="E343" s="23">
        <v>0</v>
      </c>
      <c r="F343" s="23">
        <v>1</v>
      </c>
      <c r="G343" s="23">
        <v>1</v>
      </c>
      <c r="H343" s="23">
        <v>0</v>
      </c>
      <c r="I343" s="4">
        <v>2</v>
      </c>
      <c r="J343" s="4">
        <f>P343+Q343+R343+'PresenceAbsence kleine Plots'!C343</f>
        <v>2</v>
      </c>
      <c r="K343" s="4">
        <v>0</v>
      </c>
      <c r="L343" s="4">
        <v>0</v>
      </c>
      <c r="M343" s="4">
        <v>1</v>
      </c>
      <c r="N343" s="4">
        <v>1</v>
      </c>
      <c r="O343" s="4">
        <v>0</v>
      </c>
      <c r="P343" s="4">
        <v>0</v>
      </c>
      <c r="Q343" s="4">
        <v>1</v>
      </c>
      <c r="R343" s="4">
        <v>1</v>
      </c>
    </row>
    <row r="344" spans="1:18" x14ac:dyDescent="0.2">
      <c r="A344" s="5" t="s">
        <v>441</v>
      </c>
      <c r="B344" s="22" t="s">
        <v>681</v>
      </c>
      <c r="C344" s="4" t="str">
        <f t="shared" si="10"/>
        <v>B4</v>
      </c>
      <c r="D344" s="4" t="str">
        <f t="shared" si="11"/>
        <v>B038</v>
      </c>
      <c r="E344" s="23">
        <v>0</v>
      </c>
      <c r="F344" s="23">
        <v>0</v>
      </c>
      <c r="G344" s="23">
        <v>0</v>
      </c>
      <c r="H344" s="23">
        <v>1</v>
      </c>
      <c r="I344" s="4">
        <v>6</v>
      </c>
      <c r="J344" s="4">
        <v>3</v>
      </c>
      <c r="K344" s="4">
        <v>3</v>
      </c>
      <c r="L344" s="4">
        <v>0</v>
      </c>
      <c r="M344" s="4">
        <v>2</v>
      </c>
      <c r="N344" s="4">
        <v>1</v>
      </c>
      <c r="O344" s="4">
        <v>1</v>
      </c>
      <c r="P344" s="4">
        <v>0</v>
      </c>
      <c r="Q344" s="4">
        <v>1</v>
      </c>
      <c r="R344" s="4">
        <v>1</v>
      </c>
    </row>
    <row r="345" spans="1:18" x14ac:dyDescent="0.2">
      <c r="A345" s="5" t="s">
        <v>442</v>
      </c>
      <c r="B345" s="22" t="s">
        <v>563</v>
      </c>
      <c r="C345" s="4" t="str">
        <f t="shared" si="10"/>
        <v>B4</v>
      </c>
      <c r="D345" s="4" t="str">
        <f t="shared" si="11"/>
        <v>B039</v>
      </c>
      <c r="E345" s="23">
        <v>0</v>
      </c>
      <c r="F345" s="23">
        <v>1</v>
      </c>
      <c r="G345" s="23">
        <v>1</v>
      </c>
      <c r="H345" s="23">
        <v>0</v>
      </c>
      <c r="I345" s="4">
        <v>8</v>
      </c>
      <c r="J345" s="4">
        <v>3</v>
      </c>
      <c r="K345" s="4">
        <v>3</v>
      </c>
      <c r="L345" s="4">
        <v>0</v>
      </c>
      <c r="M345" s="4">
        <v>2</v>
      </c>
      <c r="N345" s="4">
        <v>3</v>
      </c>
      <c r="O345" s="4">
        <v>1</v>
      </c>
      <c r="P345" s="4">
        <v>0</v>
      </c>
      <c r="Q345" s="4">
        <v>1</v>
      </c>
      <c r="R345" s="4">
        <v>1</v>
      </c>
    </row>
    <row r="346" spans="1:18" x14ac:dyDescent="0.2">
      <c r="A346" s="5" t="s">
        <v>443</v>
      </c>
      <c r="B346" s="22" t="s">
        <v>711</v>
      </c>
      <c r="C346" s="4" t="str">
        <f t="shared" si="10"/>
        <v>B4</v>
      </c>
      <c r="D346" s="4" t="str">
        <f t="shared" si="11"/>
        <v>B040</v>
      </c>
      <c r="E346" s="23">
        <v>1</v>
      </c>
      <c r="F346" s="23">
        <v>0</v>
      </c>
      <c r="G346" s="23">
        <v>0</v>
      </c>
      <c r="H346" s="23">
        <v>0</v>
      </c>
      <c r="I346" s="4">
        <v>1</v>
      </c>
      <c r="J346" s="4">
        <f>P346+Q346+R346+'PresenceAbsence kleine Plots'!C346</f>
        <v>1</v>
      </c>
      <c r="K346" s="4">
        <v>0</v>
      </c>
      <c r="L346" s="4">
        <v>0</v>
      </c>
      <c r="M346" s="4">
        <v>0</v>
      </c>
      <c r="N346" s="4">
        <v>1</v>
      </c>
      <c r="O346" s="4">
        <v>0</v>
      </c>
      <c r="P346" s="4">
        <v>0</v>
      </c>
      <c r="Q346" s="4">
        <v>0</v>
      </c>
      <c r="R346" s="4">
        <v>1</v>
      </c>
    </row>
    <row r="347" spans="1:18" x14ac:dyDescent="0.2">
      <c r="A347" s="5" t="s">
        <v>444</v>
      </c>
      <c r="B347" s="22" t="s">
        <v>706</v>
      </c>
      <c r="C347" s="4" t="str">
        <f t="shared" si="10"/>
        <v>B4</v>
      </c>
      <c r="D347" s="4" t="str">
        <f t="shared" si="11"/>
        <v>B041</v>
      </c>
      <c r="E347" s="23">
        <v>1</v>
      </c>
      <c r="F347" s="23">
        <v>0</v>
      </c>
      <c r="G347" s="23">
        <v>0</v>
      </c>
      <c r="H347" s="23">
        <v>0</v>
      </c>
      <c r="I347" s="4">
        <v>1</v>
      </c>
      <c r="J347" s="4">
        <f>P347+Q347+R347+'PresenceAbsence kleine Plots'!C347</f>
        <v>1</v>
      </c>
      <c r="K347" s="4">
        <v>0</v>
      </c>
      <c r="L347" s="4">
        <v>1</v>
      </c>
      <c r="M347" s="4">
        <v>0</v>
      </c>
      <c r="N347" s="4">
        <v>0</v>
      </c>
      <c r="O347" s="4">
        <v>0</v>
      </c>
      <c r="P347" s="4">
        <v>1</v>
      </c>
      <c r="Q347" s="4">
        <v>0</v>
      </c>
      <c r="R347" s="4">
        <v>0</v>
      </c>
    </row>
    <row r="348" spans="1:18" x14ac:dyDescent="0.2">
      <c r="A348" s="5" t="s">
        <v>445</v>
      </c>
      <c r="B348" s="22" t="s">
        <v>783</v>
      </c>
      <c r="C348" s="4" t="str">
        <f t="shared" si="10"/>
        <v>B4</v>
      </c>
      <c r="D348" s="4" t="str">
        <f t="shared" si="11"/>
        <v>B042</v>
      </c>
      <c r="E348" s="23">
        <v>0</v>
      </c>
      <c r="F348" s="23">
        <v>0</v>
      </c>
      <c r="G348" s="23">
        <v>0</v>
      </c>
      <c r="H348" s="23">
        <v>1</v>
      </c>
      <c r="I348" s="4">
        <v>4</v>
      </c>
      <c r="J348" s="4">
        <f>P348+Q348+R348+'PresenceAbsence kleine Plots'!C348</f>
        <v>2</v>
      </c>
      <c r="K348" s="4">
        <v>2</v>
      </c>
      <c r="L348" s="4">
        <v>0</v>
      </c>
      <c r="M348" s="4">
        <v>2</v>
      </c>
      <c r="N348" s="4">
        <v>0</v>
      </c>
      <c r="O348" s="4">
        <v>1</v>
      </c>
      <c r="P348" s="4">
        <v>0</v>
      </c>
      <c r="Q348" s="4">
        <v>1</v>
      </c>
      <c r="R348" s="4">
        <v>0</v>
      </c>
    </row>
    <row r="349" spans="1:18" x14ac:dyDescent="0.2">
      <c r="A349" s="5" t="s">
        <v>446</v>
      </c>
      <c r="B349" s="22" t="s">
        <v>779</v>
      </c>
      <c r="C349" s="4" t="str">
        <f t="shared" si="10"/>
        <v>B4</v>
      </c>
      <c r="D349" s="4" t="str">
        <f t="shared" si="11"/>
        <v>B043</v>
      </c>
      <c r="E349" s="23">
        <v>0</v>
      </c>
      <c r="F349" s="23">
        <v>0</v>
      </c>
      <c r="G349" s="23">
        <v>0</v>
      </c>
      <c r="H349" s="23">
        <v>1</v>
      </c>
      <c r="I349" s="4">
        <v>3</v>
      </c>
      <c r="J349" s="4">
        <v>3</v>
      </c>
      <c r="K349" s="4">
        <v>1</v>
      </c>
      <c r="L349" s="4">
        <v>0</v>
      </c>
      <c r="M349" s="4">
        <v>1</v>
      </c>
      <c r="N349" s="4">
        <v>1</v>
      </c>
      <c r="O349" s="4">
        <v>1</v>
      </c>
      <c r="P349" s="4">
        <v>0</v>
      </c>
      <c r="Q349" s="4">
        <v>1</v>
      </c>
      <c r="R349" s="4">
        <v>1</v>
      </c>
    </row>
    <row r="350" spans="1:18" x14ac:dyDescent="0.2">
      <c r="A350" s="5" t="s">
        <v>447</v>
      </c>
      <c r="B350" s="22" t="s">
        <v>735</v>
      </c>
      <c r="C350" s="4" t="str">
        <f t="shared" si="10"/>
        <v>B4</v>
      </c>
      <c r="D350" s="4" t="str">
        <f t="shared" si="11"/>
        <v>B044</v>
      </c>
      <c r="E350" s="23">
        <v>0</v>
      </c>
      <c r="F350" s="23">
        <v>0</v>
      </c>
      <c r="G350" s="23">
        <v>0</v>
      </c>
      <c r="H350" s="23">
        <v>1</v>
      </c>
      <c r="I350" s="4">
        <v>2</v>
      </c>
      <c r="J350" s="4">
        <f>P350+Q350+R350+'PresenceAbsence kleine Plots'!C350</f>
        <v>1</v>
      </c>
      <c r="K350" s="4">
        <v>2</v>
      </c>
      <c r="L350" s="4">
        <v>0</v>
      </c>
      <c r="M350" s="4">
        <v>0</v>
      </c>
      <c r="N350" s="4">
        <v>0</v>
      </c>
      <c r="O350" s="4">
        <v>1</v>
      </c>
      <c r="P350" s="4">
        <v>0</v>
      </c>
      <c r="Q350" s="4">
        <v>0</v>
      </c>
      <c r="R350" s="4">
        <v>0</v>
      </c>
    </row>
    <row r="351" spans="1:18" x14ac:dyDescent="0.2">
      <c r="A351" s="5" t="s">
        <v>448</v>
      </c>
      <c r="B351" s="22" t="s">
        <v>527</v>
      </c>
      <c r="C351" s="4" t="str">
        <f t="shared" si="10"/>
        <v>B4</v>
      </c>
      <c r="D351" s="4" t="str">
        <f t="shared" si="11"/>
        <v>B045</v>
      </c>
      <c r="E351" s="23">
        <v>0</v>
      </c>
      <c r="F351" s="23">
        <v>1</v>
      </c>
      <c r="G351" s="23">
        <v>0</v>
      </c>
      <c r="H351" s="23">
        <v>0</v>
      </c>
      <c r="I351" s="4">
        <v>0</v>
      </c>
      <c r="J351" s="4">
        <f>P351+Q351+R351+'PresenceAbsence kleine Plots'!C351</f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</row>
    <row r="352" spans="1:18" x14ac:dyDescent="0.2">
      <c r="A352" s="5" t="s">
        <v>449</v>
      </c>
      <c r="B352" s="22" t="s">
        <v>590</v>
      </c>
      <c r="C352" s="4" t="str">
        <f t="shared" si="10"/>
        <v>B4</v>
      </c>
      <c r="D352" s="4" t="str">
        <f t="shared" si="11"/>
        <v>B046</v>
      </c>
      <c r="E352" s="23">
        <v>0</v>
      </c>
      <c r="F352" s="23">
        <v>1</v>
      </c>
      <c r="G352" s="23">
        <v>1</v>
      </c>
      <c r="H352" s="23">
        <v>0</v>
      </c>
      <c r="I352" s="4">
        <v>2</v>
      </c>
      <c r="J352" s="4">
        <f>P352+Q352+R352+'PresenceAbsence kleine Plots'!C352</f>
        <v>1</v>
      </c>
      <c r="K352" s="4">
        <v>0</v>
      </c>
      <c r="L352" s="4">
        <v>2</v>
      </c>
      <c r="M352" s="4">
        <v>0</v>
      </c>
      <c r="N352" s="4">
        <v>0</v>
      </c>
      <c r="O352" s="4">
        <v>0</v>
      </c>
      <c r="P352" s="4">
        <v>1</v>
      </c>
      <c r="Q352" s="4">
        <v>0</v>
      </c>
      <c r="R352" s="4">
        <v>0</v>
      </c>
    </row>
    <row r="353" spans="1:18" x14ac:dyDescent="0.2">
      <c r="A353" s="5" t="s">
        <v>450</v>
      </c>
      <c r="B353" s="22" t="s">
        <v>578</v>
      </c>
      <c r="C353" s="4" t="str">
        <f t="shared" si="10"/>
        <v>B4</v>
      </c>
      <c r="D353" s="4" t="str">
        <f t="shared" si="11"/>
        <v>B047</v>
      </c>
      <c r="E353" s="23">
        <v>0</v>
      </c>
      <c r="F353" s="23">
        <v>1</v>
      </c>
      <c r="G353" s="23">
        <v>1</v>
      </c>
      <c r="H353" s="23">
        <v>0</v>
      </c>
      <c r="I353" s="4">
        <v>16</v>
      </c>
      <c r="J353" s="4">
        <v>3</v>
      </c>
      <c r="K353" s="4">
        <v>6</v>
      </c>
      <c r="L353" s="4">
        <v>5</v>
      </c>
      <c r="M353" s="4">
        <v>0</v>
      </c>
      <c r="N353" s="4">
        <v>5</v>
      </c>
      <c r="O353" s="4">
        <v>1</v>
      </c>
      <c r="P353" s="4">
        <v>1</v>
      </c>
      <c r="Q353" s="4">
        <v>0</v>
      </c>
      <c r="R353" s="4">
        <v>1</v>
      </c>
    </row>
    <row r="354" spans="1:18" x14ac:dyDescent="0.2">
      <c r="A354" s="5" t="s">
        <v>451</v>
      </c>
      <c r="B354" s="22" t="s">
        <v>691</v>
      </c>
      <c r="C354" s="4" t="str">
        <f t="shared" si="10"/>
        <v>B4</v>
      </c>
      <c r="D354" s="4" t="str">
        <f t="shared" si="11"/>
        <v>B048</v>
      </c>
      <c r="E354" s="23">
        <v>1</v>
      </c>
      <c r="F354" s="23">
        <v>0</v>
      </c>
      <c r="G354" s="23">
        <v>0</v>
      </c>
      <c r="H354" s="23">
        <v>1</v>
      </c>
      <c r="I354" s="4">
        <v>1</v>
      </c>
      <c r="J354" s="4">
        <v>1</v>
      </c>
      <c r="K354" s="4">
        <v>1</v>
      </c>
      <c r="L354" s="4">
        <v>0</v>
      </c>
      <c r="M354" s="4">
        <v>0</v>
      </c>
      <c r="N354" s="4">
        <v>0</v>
      </c>
      <c r="O354" s="4">
        <v>1</v>
      </c>
      <c r="P354" s="4">
        <v>0</v>
      </c>
      <c r="Q354" s="4">
        <v>0</v>
      </c>
      <c r="R354" s="4">
        <v>0</v>
      </c>
    </row>
    <row r="355" spans="1:18" x14ac:dyDescent="0.2">
      <c r="A355" s="5" t="s">
        <v>452</v>
      </c>
      <c r="B355" s="22" t="s">
        <v>723</v>
      </c>
      <c r="C355" s="4" t="str">
        <f t="shared" si="10"/>
        <v>B4</v>
      </c>
      <c r="D355" s="4" t="str">
        <f t="shared" si="11"/>
        <v>B049</v>
      </c>
      <c r="E355" s="23">
        <v>1</v>
      </c>
      <c r="F355" s="23">
        <v>0</v>
      </c>
      <c r="G355" s="23">
        <v>0</v>
      </c>
      <c r="H355" s="23">
        <v>0</v>
      </c>
      <c r="I355" s="4">
        <v>1</v>
      </c>
      <c r="J355" s="4">
        <f>P355+Q355+R355+'PresenceAbsence kleine Plots'!C355</f>
        <v>1</v>
      </c>
      <c r="K355" s="4">
        <v>0</v>
      </c>
      <c r="L355" s="4">
        <v>0</v>
      </c>
      <c r="M355" s="4">
        <v>1</v>
      </c>
      <c r="N355" s="4">
        <v>0</v>
      </c>
      <c r="O355" s="4">
        <v>0</v>
      </c>
      <c r="P355" s="4">
        <v>0</v>
      </c>
      <c r="Q355" s="4">
        <v>1</v>
      </c>
      <c r="R355" s="4">
        <v>0</v>
      </c>
    </row>
    <row r="356" spans="1:18" x14ac:dyDescent="0.2">
      <c r="A356" s="5" t="s">
        <v>453</v>
      </c>
      <c r="B356" s="22" t="s">
        <v>773</v>
      </c>
      <c r="C356" s="4" t="str">
        <f t="shared" si="10"/>
        <v>B4</v>
      </c>
      <c r="D356" s="4" t="str">
        <f t="shared" si="11"/>
        <v>B050</v>
      </c>
      <c r="E356" s="23">
        <v>0</v>
      </c>
      <c r="F356" s="23">
        <v>0</v>
      </c>
      <c r="G356" s="23">
        <v>0</v>
      </c>
      <c r="H356" s="23">
        <v>1</v>
      </c>
      <c r="I356" s="4">
        <v>3</v>
      </c>
      <c r="J356" s="4">
        <v>2</v>
      </c>
      <c r="K356" s="4">
        <v>2</v>
      </c>
      <c r="L356" s="4">
        <v>0</v>
      </c>
      <c r="M356" s="4">
        <v>0</v>
      </c>
      <c r="N356" s="4">
        <v>1</v>
      </c>
      <c r="O356" s="4">
        <v>1</v>
      </c>
      <c r="P356" s="4">
        <v>0</v>
      </c>
      <c r="Q356" s="4">
        <v>0</v>
      </c>
      <c r="R356" s="4">
        <v>1</v>
      </c>
    </row>
    <row r="357" spans="1:18" x14ac:dyDescent="0.2">
      <c r="A357" s="5" t="s">
        <v>454</v>
      </c>
      <c r="B357" s="22" t="s">
        <v>674</v>
      </c>
      <c r="C357" s="4" t="str">
        <f t="shared" si="10"/>
        <v>B4</v>
      </c>
      <c r="D357" s="4" t="str">
        <f t="shared" si="11"/>
        <v>B051</v>
      </c>
      <c r="E357" s="23">
        <v>1</v>
      </c>
      <c r="F357" s="23">
        <v>0</v>
      </c>
      <c r="G357" s="23">
        <v>0</v>
      </c>
      <c r="H357" s="23">
        <v>0</v>
      </c>
      <c r="I357" s="4">
        <v>1</v>
      </c>
      <c r="J357" s="4">
        <v>1</v>
      </c>
      <c r="K357" s="4">
        <v>1</v>
      </c>
      <c r="L357" s="4">
        <v>0</v>
      </c>
      <c r="M357" s="4">
        <v>0</v>
      </c>
      <c r="N357" s="4">
        <v>0</v>
      </c>
      <c r="O357" s="4">
        <v>1</v>
      </c>
      <c r="P357" s="4">
        <v>0</v>
      </c>
      <c r="Q357" s="4">
        <v>0</v>
      </c>
      <c r="R357" s="4">
        <v>0</v>
      </c>
    </row>
    <row r="358" spans="1:18" x14ac:dyDescent="0.2">
      <c r="A358" s="5" t="s">
        <v>455</v>
      </c>
      <c r="B358" s="22" t="s">
        <v>762</v>
      </c>
      <c r="C358" s="4" t="str">
        <f t="shared" si="10"/>
        <v>B4</v>
      </c>
      <c r="D358" s="4" t="str">
        <f t="shared" si="11"/>
        <v>B052</v>
      </c>
      <c r="E358" s="23">
        <v>0</v>
      </c>
      <c r="F358" s="23">
        <v>0</v>
      </c>
      <c r="G358" s="23">
        <v>0</v>
      </c>
      <c r="H358" s="23">
        <v>1</v>
      </c>
      <c r="I358" s="4">
        <v>2</v>
      </c>
      <c r="J358" s="4">
        <v>2</v>
      </c>
      <c r="K358" s="4">
        <v>1</v>
      </c>
      <c r="L358" s="4">
        <v>0</v>
      </c>
      <c r="M358" s="4">
        <v>0</v>
      </c>
      <c r="N358" s="4">
        <v>1</v>
      </c>
      <c r="O358" s="4">
        <v>1</v>
      </c>
      <c r="P358" s="4">
        <v>0</v>
      </c>
      <c r="Q358" s="4">
        <v>0</v>
      </c>
      <c r="R358" s="4">
        <v>1</v>
      </c>
    </row>
    <row r="359" spans="1:18" x14ac:dyDescent="0.2">
      <c r="A359" s="5" t="s">
        <v>456</v>
      </c>
      <c r="B359" s="22" t="s">
        <v>781</v>
      </c>
      <c r="C359" s="4" t="str">
        <f t="shared" si="10"/>
        <v>B4</v>
      </c>
      <c r="D359" s="4" t="str">
        <f t="shared" si="11"/>
        <v>B053</v>
      </c>
      <c r="E359" s="23">
        <v>0</v>
      </c>
      <c r="F359" s="23">
        <v>0</v>
      </c>
      <c r="G359" s="23">
        <v>0</v>
      </c>
      <c r="H359" s="23">
        <v>1</v>
      </c>
      <c r="I359" s="4">
        <v>3</v>
      </c>
      <c r="J359" s="4">
        <v>2</v>
      </c>
      <c r="K359" s="4">
        <v>1</v>
      </c>
      <c r="L359" s="4">
        <v>0</v>
      </c>
      <c r="M359" s="4">
        <v>0</v>
      </c>
      <c r="N359" s="4">
        <v>2</v>
      </c>
      <c r="O359" s="4">
        <v>1</v>
      </c>
      <c r="P359" s="4">
        <v>0</v>
      </c>
      <c r="Q359" s="4">
        <v>0</v>
      </c>
      <c r="R359" s="4">
        <v>1</v>
      </c>
    </row>
    <row r="360" spans="1:18" x14ac:dyDescent="0.2">
      <c r="A360" s="5" t="s">
        <v>457</v>
      </c>
      <c r="B360" s="22" t="s">
        <v>740</v>
      </c>
      <c r="C360" s="4" t="str">
        <f t="shared" si="10"/>
        <v>B4</v>
      </c>
      <c r="D360" s="4" t="str">
        <f t="shared" si="11"/>
        <v>B054</v>
      </c>
      <c r="E360" s="23">
        <v>0</v>
      </c>
      <c r="F360" s="23">
        <v>0</v>
      </c>
      <c r="G360" s="23">
        <v>0</v>
      </c>
      <c r="H360" s="23">
        <v>1</v>
      </c>
      <c r="I360" s="4">
        <v>2</v>
      </c>
      <c r="J360" s="4">
        <v>2</v>
      </c>
      <c r="K360" s="4">
        <v>1</v>
      </c>
      <c r="L360" s="4">
        <v>0</v>
      </c>
      <c r="M360" s="4">
        <v>1</v>
      </c>
      <c r="N360" s="4">
        <v>0</v>
      </c>
      <c r="O360" s="4">
        <v>1</v>
      </c>
      <c r="P360" s="4">
        <v>0</v>
      </c>
      <c r="Q360" s="4">
        <v>1</v>
      </c>
      <c r="R360" s="4">
        <v>0</v>
      </c>
    </row>
    <row r="361" spans="1:18" x14ac:dyDescent="0.2">
      <c r="A361" s="5" t="s">
        <v>458</v>
      </c>
      <c r="B361" s="19" t="s">
        <v>599</v>
      </c>
      <c r="C361" s="4" t="str">
        <f t="shared" si="10"/>
        <v>B4</v>
      </c>
      <c r="D361" s="4" t="str">
        <f t="shared" si="11"/>
        <v>B055</v>
      </c>
      <c r="E361" s="23">
        <v>0</v>
      </c>
      <c r="F361" s="23">
        <v>1</v>
      </c>
      <c r="G361" s="23">
        <v>0</v>
      </c>
      <c r="H361" s="23">
        <v>0</v>
      </c>
      <c r="I361" s="4">
        <v>0</v>
      </c>
      <c r="J361" s="4">
        <f>P361+Q361+R361+'PresenceAbsence kleine Plots'!C361</f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</row>
    <row r="362" spans="1:18" x14ac:dyDescent="0.2">
      <c r="A362" s="5" t="s">
        <v>459</v>
      </c>
      <c r="B362" s="22" t="s">
        <v>771</v>
      </c>
      <c r="C362" s="4" t="str">
        <f t="shared" si="10"/>
        <v>B4</v>
      </c>
      <c r="D362" s="4" t="str">
        <f t="shared" si="11"/>
        <v>B056</v>
      </c>
      <c r="E362" s="23">
        <v>0</v>
      </c>
      <c r="F362" s="23">
        <v>0</v>
      </c>
      <c r="G362" s="23">
        <v>0</v>
      </c>
      <c r="H362" s="23">
        <v>1</v>
      </c>
      <c r="I362" s="4">
        <v>3</v>
      </c>
      <c r="J362" s="4">
        <f>P362+Q362+R362+'PresenceAbsence kleine Plots'!C362</f>
        <v>2</v>
      </c>
      <c r="K362" s="4">
        <v>0</v>
      </c>
      <c r="L362" s="4">
        <v>0</v>
      </c>
      <c r="M362" s="4">
        <v>2</v>
      </c>
      <c r="N362" s="4">
        <v>1</v>
      </c>
      <c r="O362" s="4">
        <v>0</v>
      </c>
      <c r="P362" s="4">
        <v>0</v>
      </c>
      <c r="Q362" s="4">
        <v>1</v>
      </c>
      <c r="R362" s="4">
        <v>1</v>
      </c>
    </row>
    <row r="363" spans="1:18" x14ac:dyDescent="0.2">
      <c r="A363" s="5" t="s">
        <v>460</v>
      </c>
      <c r="B363" s="22" t="s">
        <v>549</v>
      </c>
      <c r="C363" s="4" t="str">
        <f t="shared" si="10"/>
        <v>B4</v>
      </c>
      <c r="D363" s="4" t="str">
        <f t="shared" si="11"/>
        <v>B057</v>
      </c>
      <c r="E363" s="23">
        <v>1</v>
      </c>
      <c r="F363" s="23">
        <v>1</v>
      </c>
      <c r="G363" s="23">
        <v>1</v>
      </c>
      <c r="H363" s="23">
        <v>0</v>
      </c>
      <c r="I363" s="4">
        <v>1</v>
      </c>
      <c r="J363" s="4">
        <f>P363+Q363+R363+'PresenceAbsence kleine Plots'!C363</f>
        <v>1</v>
      </c>
      <c r="K363" s="4">
        <v>0</v>
      </c>
      <c r="L363" s="4">
        <v>1</v>
      </c>
      <c r="M363" s="4">
        <v>0</v>
      </c>
      <c r="N363" s="4">
        <v>0</v>
      </c>
      <c r="O363" s="4">
        <v>0</v>
      </c>
      <c r="P363" s="4">
        <v>1</v>
      </c>
      <c r="Q363" s="4">
        <v>0</v>
      </c>
      <c r="R363" s="4">
        <v>0</v>
      </c>
    </row>
    <row r="364" spans="1:18" x14ac:dyDescent="0.2">
      <c r="A364" s="5" t="s">
        <v>461</v>
      </c>
      <c r="B364" s="22" t="s">
        <v>705</v>
      </c>
      <c r="C364" s="4" t="str">
        <f t="shared" si="10"/>
        <v>B4</v>
      </c>
      <c r="D364" s="4" t="str">
        <f t="shared" si="11"/>
        <v>B058</v>
      </c>
      <c r="E364" s="23">
        <v>1</v>
      </c>
      <c r="F364" s="23">
        <v>0</v>
      </c>
      <c r="G364" s="23">
        <v>0</v>
      </c>
      <c r="H364" s="23">
        <v>0</v>
      </c>
      <c r="I364" s="4">
        <v>1</v>
      </c>
      <c r="J364" s="4">
        <f>P364+Q364+R364+'PresenceAbsence kleine Plots'!C364</f>
        <v>1</v>
      </c>
      <c r="K364" s="4">
        <v>0</v>
      </c>
      <c r="L364" s="4">
        <v>1</v>
      </c>
      <c r="M364" s="4">
        <v>0</v>
      </c>
      <c r="N364" s="4">
        <v>0</v>
      </c>
      <c r="O364" s="4">
        <v>0</v>
      </c>
      <c r="P364" s="4">
        <v>1</v>
      </c>
      <c r="Q364" s="4">
        <v>0</v>
      </c>
      <c r="R364" s="4">
        <v>0</v>
      </c>
    </row>
    <row r="365" spans="1:18" x14ac:dyDescent="0.2">
      <c r="A365" s="5" t="s">
        <v>462</v>
      </c>
      <c r="B365" s="22" t="s">
        <v>719</v>
      </c>
      <c r="C365" s="4" t="str">
        <f t="shared" si="10"/>
        <v>B4</v>
      </c>
      <c r="D365" s="4" t="str">
        <f t="shared" si="11"/>
        <v>B059</v>
      </c>
      <c r="E365" s="23">
        <v>1</v>
      </c>
      <c r="F365" s="23">
        <v>0</v>
      </c>
      <c r="G365" s="23">
        <v>0</v>
      </c>
      <c r="H365" s="23">
        <v>0</v>
      </c>
      <c r="I365" s="4">
        <v>1</v>
      </c>
      <c r="J365" s="4">
        <f>P365+Q365+R365+'PresenceAbsence kleine Plots'!C365</f>
        <v>1</v>
      </c>
      <c r="K365" s="4">
        <v>0</v>
      </c>
      <c r="L365" s="4">
        <v>1</v>
      </c>
      <c r="M365" s="4">
        <v>0</v>
      </c>
      <c r="N365" s="4">
        <v>0</v>
      </c>
      <c r="O365" s="4">
        <v>0</v>
      </c>
      <c r="P365" s="4">
        <v>1</v>
      </c>
      <c r="Q365" s="4">
        <v>0</v>
      </c>
      <c r="R365" s="4">
        <v>0</v>
      </c>
    </row>
    <row r="366" spans="1:18" x14ac:dyDescent="0.2">
      <c r="A366" s="5" t="s">
        <v>463</v>
      </c>
      <c r="B366" s="22" t="s">
        <v>585</v>
      </c>
      <c r="C366" s="4" t="str">
        <f t="shared" si="10"/>
        <v>B4</v>
      </c>
      <c r="D366" s="4" t="str">
        <f t="shared" si="11"/>
        <v>B060</v>
      </c>
      <c r="E366" s="23">
        <v>1</v>
      </c>
      <c r="F366" s="23">
        <v>1</v>
      </c>
      <c r="G366" s="23">
        <v>1</v>
      </c>
      <c r="H366" s="23">
        <v>1</v>
      </c>
      <c r="I366" s="4">
        <v>1</v>
      </c>
      <c r="J366" s="4">
        <f>P366+Q366+R366+'PresenceAbsence kleine Plots'!C366</f>
        <v>1</v>
      </c>
      <c r="K366" s="4">
        <v>0</v>
      </c>
      <c r="L366" s="4">
        <v>0</v>
      </c>
      <c r="M366" s="4">
        <v>0</v>
      </c>
      <c r="N366" s="4">
        <v>1</v>
      </c>
      <c r="O366" s="4">
        <v>0</v>
      </c>
      <c r="P366" s="4">
        <v>0</v>
      </c>
      <c r="Q366" s="4">
        <v>0</v>
      </c>
      <c r="R366" s="4">
        <v>1</v>
      </c>
    </row>
    <row r="367" spans="1:18" x14ac:dyDescent="0.2">
      <c r="A367" s="5" t="s">
        <v>464</v>
      </c>
      <c r="B367" s="22" t="s">
        <v>741</v>
      </c>
      <c r="C367" s="4" t="str">
        <f t="shared" si="10"/>
        <v>B4</v>
      </c>
      <c r="D367" s="4" t="str">
        <f t="shared" si="11"/>
        <v>B061</v>
      </c>
      <c r="E367" s="23">
        <v>0</v>
      </c>
      <c r="F367" s="23">
        <v>0</v>
      </c>
      <c r="G367" s="23">
        <v>0</v>
      </c>
      <c r="H367" s="23">
        <v>1</v>
      </c>
      <c r="I367" s="4">
        <v>2</v>
      </c>
      <c r="J367" s="4">
        <v>2</v>
      </c>
      <c r="K367" s="4">
        <v>1</v>
      </c>
      <c r="L367" s="4">
        <v>0</v>
      </c>
      <c r="M367" s="4">
        <v>1</v>
      </c>
      <c r="N367" s="4">
        <v>0</v>
      </c>
      <c r="O367" s="4">
        <v>1</v>
      </c>
      <c r="P367" s="4">
        <v>0</v>
      </c>
      <c r="Q367" s="4">
        <v>1</v>
      </c>
      <c r="R367" s="4">
        <v>0</v>
      </c>
    </row>
    <row r="368" spans="1:18" x14ac:dyDescent="0.2">
      <c r="A368" s="5" t="s">
        <v>465</v>
      </c>
      <c r="B368" s="22" t="s">
        <v>690</v>
      </c>
      <c r="C368" s="4" t="str">
        <f t="shared" si="10"/>
        <v>B4</v>
      </c>
      <c r="D368" s="4" t="str">
        <f t="shared" si="11"/>
        <v>B062</v>
      </c>
      <c r="E368" s="23">
        <v>1</v>
      </c>
      <c r="F368" s="23">
        <v>0</v>
      </c>
      <c r="G368" s="23">
        <v>0</v>
      </c>
      <c r="H368" s="23">
        <v>1</v>
      </c>
      <c r="I368" s="4">
        <v>1</v>
      </c>
      <c r="J368" s="4">
        <f>P368+Q368+R368+'PresenceAbsence kleine Plots'!C368</f>
        <v>1</v>
      </c>
      <c r="K368" s="4">
        <v>0</v>
      </c>
      <c r="L368" s="4">
        <v>0</v>
      </c>
      <c r="M368" s="4">
        <v>1</v>
      </c>
      <c r="N368" s="4">
        <v>0</v>
      </c>
      <c r="O368" s="4">
        <v>0</v>
      </c>
      <c r="P368" s="4">
        <v>0</v>
      </c>
      <c r="Q368" s="4">
        <v>1</v>
      </c>
      <c r="R368" s="4">
        <v>0</v>
      </c>
    </row>
    <row r="369" spans="1:18" x14ac:dyDescent="0.2">
      <c r="A369" s="5" t="s">
        <v>466</v>
      </c>
      <c r="B369" s="22" t="s">
        <v>730</v>
      </c>
      <c r="C369" s="4" t="str">
        <f t="shared" si="10"/>
        <v>B4</v>
      </c>
      <c r="D369" s="4" t="str">
        <f t="shared" si="11"/>
        <v>B063</v>
      </c>
      <c r="E369" s="23">
        <v>1</v>
      </c>
      <c r="F369" s="23">
        <v>0</v>
      </c>
      <c r="G369" s="23">
        <v>0</v>
      </c>
      <c r="H369" s="23">
        <v>0</v>
      </c>
      <c r="I369" s="4">
        <v>1</v>
      </c>
      <c r="J369" s="4">
        <f>P369+Q369+R369+'PresenceAbsence kleine Plots'!C369</f>
        <v>1</v>
      </c>
      <c r="K369" s="4">
        <v>0</v>
      </c>
      <c r="L369" s="4">
        <v>0</v>
      </c>
      <c r="M369" s="4">
        <v>0</v>
      </c>
      <c r="N369" s="4">
        <v>1</v>
      </c>
      <c r="O369" s="4">
        <v>0</v>
      </c>
      <c r="P369" s="4">
        <v>0</v>
      </c>
      <c r="Q369" s="4">
        <v>0</v>
      </c>
      <c r="R369" s="4">
        <v>1</v>
      </c>
    </row>
    <row r="370" spans="1:18" x14ac:dyDescent="0.2">
      <c r="A370" s="5" t="s">
        <v>467</v>
      </c>
      <c r="B370" s="22" t="s">
        <v>685</v>
      </c>
      <c r="C370" s="4" t="str">
        <f t="shared" si="10"/>
        <v>B4</v>
      </c>
      <c r="D370" s="4" t="str">
        <f t="shared" si="11"/>
        <v>B064</v>
      </c>
      <c r="E370" s="23">
        <v>0</v>
      </c>
      <c r="F370" s="23">
        <v>0</v>
      </c>
      <c r="G370" s="23">
        <v>0</v>
      </c>
      <c r="H370" s="23">
        <v>1</v>
      </c>
      <c r="I370" s="4">
        <v>6</v>
      </c>
      <c r="J370" s="4">
        <f>P370+Q370+R370+'PresenceAbsence kleine Plots'!C370</f>
        <v>3</v>
      </c>
      <c r="K370" s="4">
        <v>2</v>
      </c>
      <c r="L370" s="4">
        <v>0</v>
      </c>
      <c r="M370" s="4">
        <v>2</v>
      </c>
      <c r="N370" s="4">
        <v>2</v>
      </c>
      <c r="O370" s="4">
        <v>1</v>
      </c>
      <c r="P370" s="4">
        <v>0</v>
      </c>
      <c r="Q370" s="4">
        <v>1</v>
      </c>
      <c r="R370" s="4">
        <v>1</v>
      </c>
    </row>
    <row r="371" spans="1:18" x14ac:dyDescent="0.2">
      <c r="A371" s="5" t="s">
        <v>468</v>
      </c>
      <c r="B371" s="22" t="s">
        <v>805</v>
      </c>
      <c r="C371" s="4" t="str">
        <f t="shared" si="10"/>
        <v>B4</v>
      </c>
      <c r="D371" s="4" t="str">
        <f t="shared" si="11"/>
        <v>B065</v>
      </c>
      <c r="E371" s="23">
        <v>0</v>
      </c>
      <c r="F371" s="23">
        <v>0</v>
      </c>
      <c r="G371" s="23">
        <v>0</v>
      </c>
      <c r="H371" s="23">
        <v>1</v>
      </c>
      <c r="I371" s="4">
        <v>3</v>
      </c>
      <c r="J371" s="4">
        <v>2</v>
      </c>
      <c r="K371" s="4">
        <v>2</v>
      </c>
      <c r="L371" s="4">
        <v>0</v>
      </c>
      <c r="M371" s="4">
        <v>1</v>
      </c>
      <c r="N371" s="4">
        <v>0</v>
      </c>
      <c r="O371" s="4">
        <v>1</v>
      </c>
      <c r="P371" s="4">
        <v>0</v>
      </c>
      <c r="Q371" s="4">
        <v>1</v>
      </c>
      <c r="R371" s="4">
        <v>0</v>
      </c>
    </row>
    <row r="372" spans="1:18" x14ac:dyDescent="0.2">
      <c r="A372" s="5" t="s">
        <v>469</v>
      </c>
      <c r="B372" s="22" t="s">
        <v>699</v>
      </c>
      <c r="C372" s="4" t="str">
        <f t="shared" si="10"/>
        <v>B4</v>
      </c>
      <c r="D372" s="4" t="str">
        <f t="shared" si="11"/>
        <v>B066</v>
      </c>
      <c r="E372" s="23">
        <v>1</v>
      </c>
      <c r="F372" s="23">
        <v>0</v>
      </c>
      <c r="G372" s="23">
        <v>0</v>
      </c>
      <c r="H372" s="23">
        <v>1</v>
      </c>
      <c r="I372" s="4">
        <v>1</v>
      </c>
      <c r="J372" s="4">
        <v>1</v>
      </c>
      <c r="K372" s="4">
        <v>1</v>
      </c>
      <c r="L372" s="4">
        <v>0</v>
      </c>
      <c r="M372" s="4">
        <v>0</v>
      </c>
      <c r="N372" s="4">
        <v>0</v>
      </c>
      <c r="O372" s="4">
        <v>1</v>
      </c>
      <c r="P372" s="4">
        <v>0</v>
      </c>
      <c r="Q372" s="4">
        <v>0</v>
      </c>
      <c r="R372" s="4">
        <v>0</v>
      </c>
    </row>
    <row r="373" spans="1:18" x14ac:dyDescent="0.2">
      <c r="A373" s="5" t="s">
        <v>470</v>
      </c>
      <c r="B373" s="22" t="s">
        <v>745</v>
      </c>
      <c r="C373" s="4" t="str">
        <f t="shared" si="10"/>
        <v>B4</v>
      </c>
      <c r="D373" s="4" t="str">
        <f t="shared" si="11"/>
        <v>B067</v>
      </c>
      <c r="E373" s="23">
        <v>0</v>
      </c>
      <c r="F373" s="23">
        <v>0</v>
      </c>
      <c r="G373" s="23">
        <v>0</v>
      </c>
      <c r="H373" s="23">
        <v>1</v>
      </c>
      <c r="I373" s="4">
        <v>2</v>
      </c>
      <c r="J373" s="4">
        <v>1</v>
      </c>
      <c r="K373" s="4">
        <v>2</v>
      </c>
      <c r="L373" s="4">
        <v>0</v>
      </c>
      <c r="M373" s="4">
        <v>0</v>
      </c>
      <c r="N373" s="4">
        <v>0</v>
      </c>
      <c r="O373" s="4">
        <v>1</v>
      </c>
      <c r="P373" s="4">
        <v>0</v>
      </c>
      <c r="Q373" s="4">
        <v>0</v>
      </c>
      <c r="R373" s="4">
        <v>0</v>
      </c>
    </row>
    <row r="374" spans="1:18" x14ac:dyDescent="0.2">
      <c r="A374" s="5" t="s">
        <v>471</v>
      </c>
      <c r="B374" s="22" t="s">
        <v>804</v>
      </c>
      <c r="C374" s="4" t="str">
        <f t="shared" si="10"/>
        <v>B4</v>
      </c>
      <c r="D374" s="4" t="str">
        <f t="shared" si="11"/>
        <v>B068</v>
      </c>
      <c r="E374" s="23">
        <v>0</v>
      </c>
      <c r="F374" s="23">
        <v>0</v>
      </c>
      <c r="G374" s="23">
        <v>0</v>
      </c>
      <c r="H374" s="23">
        <v>1</v>
      </c>
      <c r="I374" s="4">
        <v>3</v>
      </c>
      <c r="J374" s="4">
        <v>2</v>
      </c>
      <c r="K374" s="4">
        <v>2</v>
      </c>
      <c r="L374" s="4">
        <v>0</v>
      </c>
      <c r="M374" s="4">
        <v>1</v>
      </c>
      <c r="N374" s="4">
        <v>0</v>
      </c>
      <c r="O374" s="4">
        <v>1</v>
      </c>
      <c r="P374" s="4">
        <v>0</v>
      </c>
      <c r="Q374" s="4">
        <v>1</v>
      </c>
      <c r="R374" s="4">
        <v>0</v>
      </c>
    </row>
    <row r="375" spans="1:18" x14ac:dyDescent="0.2">
      <c r="A375" s="5" t="s">
        <v>472</v>
      </c>
      <c r="B375" s="22" t="s">
        <v>798</v>
      </c>
      <c r="C375" s="4" t="str">
        <f t="shared" si="10"/>
        <v>B4</v>
      </c>
      <c r="D375" s="4" t="str">
        <f t="shared" si="11"/>
        <v>B069</v>
      </c>
      <c r="E375" s="23">
        <v>0</v>
      </c>
      <c r="F375" s="23">
        <v>0</v>
      </c>
      <c r="G375" s="23">
        <v>0</v>
      </c>
      <c r="H375" s="23">
        <v>1</v>
      </c>
      <c r="I375" s="4">
        <v>4</v>
      </c>
      <c r="J375" s="4">
        <v>2</v>
      </c>
      <c r="K375" s="4">
        <v>2</v>
      </c>
      <c r="L375" s="4">
        <v>0</v>
      </c>
      <c r="M375" s="4">
        <v>0</v>
      </c>
      <c r="N375" s="4">
        <v>2</v>
      </c>
      <c r="O375" s="4">
        <v>1</v>
      </c>
      <c r="P375" s="4">
        <v>0</v>
      </c>
      <c r="Q375" s="4">
        <v>0</v>
      </c>
      <c r="R375" s="4">
        <v>1</v>
      </c>
    </row>
    <row r="376" spans="1:18" x14ac:dyDescent="0.2">
      <c r="A376" s="5" t="s">
        <v>473</v>
      </c>
      <c r="B376" s="22" t="s">
        <v>559</v>
      </c>
      <c r="C376" s="4" t="str">
        <f t="shared" si="10"/>
        <v>B4</v>
      </c>
      <c r="D376" s="4" t="str">
        <f t="shared" si="11"/>
        <v>B070</v>
      </c>
      <c r="E376" s="23">
        <v>1</v>
      </c>
      <c r="F376" s="23">
        <v>1</v>
      </c>
      <c r="G376" s="23">
        <v>0</v>
      </c>
      <c r="H376" s="23">
        <v>0</v>
      </c>
      <c r="I376" s="4">
        <v>1</v>
      </c>
      <c r="J376" s="4">
        <f>P376+Q376+R376+'PresenceAbsence kleine Plots'!C376</f>
        <v>1</v>
      </c>
      <c r="K376" s="4">
        <v>0</v>
      </c>
      <c r="L376" s="4">
        <v>0</v>
      </c>
      <c r="M376" s="4">
        <v>1</v>
      </c>
      <c r="N376" s="4">
        <v>0</v>
      </c>
      <c r="O376" s="4">
        <v>0</v>
      </c>
      <c r="P376" s="4">
        <v>0</v>
      </c>
      <c r="Q376" s="4">
        <v>1</v>
      </c>
      <c r="R376" s="4">
        <v>0</v>
      </c>
    </row>
    <row r="377" spans="1:18" x14ac:dyDescent="0.2">
      <c r="A377" s="5" t="s">
        <v>474</v>
      </c>
      <c r="B377" s="22" t="s">
        <v>714</v>
      </c>
      <c r="C377" s="4" t="str">
        <f t="shared" si="10"/>
        <v>B4</v>
      </c>
      <c r="D377" s="4" t="str">
        <f t="shared" si="11"/>
        <v>B071</v>
      </c>
      <c r="E377" s="23">
        <v>1</v>
      </c>
      <c r="F377" s="23">
        <v>0</v>
      </c>
      <c r="G377" s="23">
        <v>0</v>
      </c>
      <c r="H377" s="23">
        <v>0</v>
      </c>
      <c r="I377" s="4">
        <v>1</v>
      </c>
      <c r="J377" s="4">
        <f>P377+Q377+R377+'PresenceAbsence kleine Plots'!C377</f>
        <v>1</v>
      </c>
      <c r="K377" s="4">
        <v>0</v>
      </c>
      <c r="L377" s="4">
        <v>0</v>
      </c>
      <c r="M377" s="4">
        <v>1</v>
      </c>
      <c r="N377" s="4">
        <v>0</v>
      </c>
      <c r="O377" s="4">
        <v>0</v>
      </c>
      <c r="P377" s="4">
        <v>0</v>
      </c>
      <c r="Q377" s="4">
        <v>1</v>
      </c>
      <c r="R377" s="4">
        <v>0</v>
      </c>
    </row>
    <row r="378" spans="1:18" x14ac:dyDescent="0.2">
      <c r="A378" s="5" t="s">
        <v>475</v>
      </c>
      <c r="B378" s="22" t="s">
        <v>786</v>
      </c>
      <c r="C378" s="4" t="str">
        <f t="shared" si="10"/>
        <v>B4</v>
      </c>
      <c r="D378" s="4" t="str">
        <f t="shared" si="11"/>
        <v>B072</v>
      </c>
      <c r="E378" s="23">
        <v>0</v>
      </c>
      <c r="F378" s="23">
        <v>0</v>
      </c>
      <c r="G378" s="23">
        <v>0</v>
      </c>
      <c r="H378" s="23">
        <v>1</v>
      </c>
      <c r="I378" s="4">
        <v>4</v>
      </c>
      <c r="J378" s="4">
        <v>2</v>
      </c>
      <c r="K378" s="4">
        <v>3</v>
      </c>
      <c r="L378" s="4">
        <v>0</v>
      </c>
      <c r="M378" s="4">
        <v>1</v>
      </c>
      <c r="N378" s="4">
        <v>0</v>
      </c>
      <c r="O378" s="4">
        <v>1</v>
      </c>
      <c r="P378" s="4">
        <v>0</v>
      </c>
      <c r="Q378" s="4">
        <v>1</v>
      </c>
      <c r="R378" s="4">
        <v>0</v>
      </c>
    </row>
    <row r="379" spans="1:18" x14ac:dyDescent="0.2">
      <c r="A379" s="5" t="s">
        <v>476</v>
      </c>
      <c r="B379" s="22" t="s">
        <v>539</v>
      </c>
      <c r="C379" s="4" t="str">
        <f t="shared" si="10"/>
        <v>B4</v>
      </c>
      <c r="D379" s="4" t="str">
        <f t="shared" si="11"/>
        <v>B073</v>
      </c>
      <c r="E379" s="23">
        <v>0</v>
      </c>
      <c r="F379" s="23">
        <v>1</v>
      </c>
      <c r="G379" s="23">
        <v>0</v>
      </c>
      <c r="H379" s="23">
        <v>0</v>
      </c>
      <c r="I379" s="4">
        <v>60</v>
      </c>
      <c r="J379" s="4">
        <f>P379+Q379+R379+'PresenceAbsence kleine Plots'!C379</f>
        <v>4</v>
      </c>
      <c r="K379" s="4">
        <v>16</v>
      </c>
      <c r="L379" s="4">
        <v>12</v>
      </c>
      <c r="M379" s="4">
        <v>20</v>
      </c>
      <c r="N379" s="4">
        <v>12</v>
      </c>
      <c r="O379" s="4">
        <v>1</v>
      </c>
      <c r="P379" s="4">
        <v>1</v>
      </c>
      <c r="Q379" s="4">
        <v>1</v>
      </c>
      <c r="R379" s="4">
        <v>1</v>
      </c>
    </row>
    <row r="380" spans="1:18" x14ac:dyDescent="0.2">
      <c r="A380" s="5" t="s">
        <v>477</v>
      </c>
      <c r="B380" s="22" t="s">
        <v>784</v>
      </c>
      <c r="C380" s="4" t="str">
        <f t="shared" si="10"/>
        <v>B4</v>
      </c>
      <c r="D380" s="4" t="str">
        <f t="shared" si="11"/>
        <v>B074</v>
      </c>
      <c r="E380" s="23">
        <v>0</v>
      </c>
      <c r="F380" s="23">
        <v>0</v>
      </c>
      <c r="G380" s="23">
        <v>0</v>
      </c>
      <c r="H380" s="23">
        <v>1</v>
      </c>
      <c r="I380" s="4">
        <v>4</v>
      </c>
      <c r="J380" s="4">
        <f>P380+Q380+R380+'PresenceAbsence kleine Plots'!C380</f>
        <v>1</v>
      </c>
      <c r="K380" s="4">
        <v>4</v>
      </c>
      <c r="L380" s="4">
        <v>0</v>
      </c>
      <c r="M380" s="4">
        <v>0</v>
      </c>
      <c r="N380" s="4">
        <v>0</v>
      </c>
      <c r="O380" s="4">
        <v>1</v>
      </c>
      <c r="P380" s="4">
        <v>0</v>
      </c>
      <c r="Q380" s="4">
        <v>0</v>
      </c>
      <c r="R380" s="4">
        <v>0</v>
      </c>
    </row>
    <row r="381" spans="1:18" x14ac:dyDescent="0.2">
      <c r="A381" s="5" t="s">
        <v>478</v>
      </c>
      <c r="B381" s="22" t="s">
        <v>693</v>
      </c>
      <c r="C381" s="4" t="str">
        <f t="shared" si="10"/>
        <v>B4</v>
      </c>
      <c r="D381" s="4" t="str">
        <f t="shared" si="11"/>
        <v>B075</v>
      </c>
      <c r="E381" s="23">
        <v>1</v>
      </c>
      <c r="F381" s="23">
        <v>0</v>
      </c>
      <c r="G381" s="23">
        <v>0</v>
      </c>
      <c r="H381" s="23">
        <v>0</v>
      </c>
      <c r="I381" s="4">
        <v>1</v>
      </c>
      <c r="J381" s="4">
        <v>1</v>
      </c>
      <c r="K381" s="4">
        <v>1</v>
      </c>
      <c r="L381" s="4">
        <v>0</v>
      </c>
      <c r="M381" s="4">
        <v>0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</row>
    <row r="382" spans="1:18" x14ac:dyDescent="0.2">
      <c r="A382" s="5" t="s">
        <v>479</v>
      </c>
      <c r="B382" s="22" t="s">
        <v>767</v>
      </c>
      <c r="C382" s="4" t="str">
        <f t="shared" si="10"/>
        <v>B4</v>
      </c>
      <c r="D382" s="4" t="str">
        <f t="shared" si="11"/>
        <v>B076</v>
      </c>
      <c r="E382" s="23">
        <v>0</v>
      </c>
      <c r="F382" s="23">
        <v>0</v>
      </c>
      <c r="G382" s="23">
        <v>0</v>
      </c>
      <c r="H382" s="23">
        <v>1</v>
      </c>
      <c r="I382" s="4">
        <v>2</v>
      </c>
      <c r="J382" s="4">
        <f>P382+Q382+R382+'PresenceAbsence kleine Plots'!C382</f>
        <v>1</v>
      </c>
      <c r="K382" s="4">
        <v>0</v>
      </c>
      <c r="L382" s="4">
        <v>0</v>
      </c>
      <c r="M382" s="4">
        <v>0</v>
      </c>
      <c r="N382" s="4">
        <v>2</v>
      </c>
      <c r="O382" s="4">
        <v>0</v>
      </c>
      <c r="P382" s="4">
        <v>0</v>
      </c>
      <c r="Q382" s="4">
        <v>0</v>
      </c>
      <c r="R382" s="4">
        <v>1</v>
      </c>
    </row>
    <row r="383" spans="1:18" x14ac:dyDescent="0.2">
      <c r="A383" s="5" t="s">
        <v>480</v>
      </c>
      <c r="B383" s="22" t="s">
        <v>796</v>
      </c>
      <c r="C383" s="4" t="str">
        <f t="shared" si="10"/>
        <v>B4</v>
      </c>
      <c r="D383" s="4" t="str">
        <f t="shared" si="11"/>
        <v>B077</v>
      </c>
      <c r="E383" s="23">
        <v>0</v>
      </c>
      <c r="F383" s="23">
        <v>0</v>
      </c>
      <c r="G383" s="23">
        <v>0</v>
      </c>
      <c r="H383" s="23">
        <v>1</v>
      </c>
      <c r="I383" s="4">
        <v>4</v>
      </c>
      <c r="J383" s="4">
        <f>P383+Q383+R383+'PresenceAbsence kleine Plots'!C383</f>
        <v>2</v>
      </c>
      <c r="K383" s="4">
        <v>3</v>
      </c>
      <c r="L383" s="4">
        <v>0</v>
      </c>
      <c r="M383" s="4">
        <v>0</v>
      </c>
      <c r="N383" s="4">
        <v>1</v>
      </c>
      <c r="O383" s="4">
        <v>1</v>
      </c>
      <c r="P383" s="4">
        <v>0</v>
      </c>
      <c r="Q383" s="4">
        <v>0</v>
      </c>
      <c r="R383" s="4">
        <v>1</v>
      </c>
    </row>
    <row r="384" spans="1:18" x14ac:dyDescent="0.2">
      <c r="A384" s="5" t="s">
        <v>481</v>
      </c>
      <c r="B384" s="22" t="s">
        <v>793</v>
      </c>
      <c r="C384" s="4" t="str">
        <f t="shared" si="10"/>
        <v>B4</v>
      </c>
      <c r="D384" s="4" t="str">
        <f t="shared" si="11"/>
        <v>B078</v>
      </c>
      <c r="E384" s="23">
        <v>0</v>
      </c>
      <c r="F384" s="23">
        <v>0</v>
      </c>
      <c r="G384" s="23">
        <v>0</v>
      </c>
      <c r="H384" s="23">
        <v>1</v>
      </c>
      <c r="I384" s="4">
        <v>4</v>
      </c>
      <c r="J384" s="4">
        <v>3</v>
      </c>
      <c r="K384" s="4">
        <v>1</v>
      </c>
      <c r="L384" s="4">
        <v>0</v>
      </c>
      <c r="M384" s="4">
        <v>2</v>
      </c>
      <c r="N384" s="4">
        <v>1</v>
      </c>
      <c r="O384" s="4">
        <v>1</v>
      </c>
      <c r="P384" s="4">
        <v>0</v>
      </c>
      <c r="Q384" s="4">
        <v>1</v>
      </c>
      <c r="R384" s="4">
        <v>1</v>
      </c>
    </row>
    <row r="385" spans="1:18" x14ac:dyDescent="0.2">
      <c r="A385" s="5" t="s">
        <v>482</v>
      </c>
      <c r="B385" s="22" t="s">
        <v>544</v>
      </c>
      <c r="C385" s="4" t="str">
        <f t="shared" si="10"/>
        <v>B4</v>
      </c>
      <c r="D385" s="4" t="str">
        <f t="shared" si="11"/>
        <v>B079</v>
      </c>
      <c r="E385" s="23">
        <v>0</v>
      </c>
      <c r="F385" s="23">
        <v>1</v>
      </c>
      <c r="G385" s="23">
        <v>1</v>
      </c>
      <c r="H385" s="23">
        <v>0</v>
      </c>
      <c r="I385" s="4">
        <v>4</v>
      </c>
      <c r="J385" s="4">
        <f>P385+Q385+R385+'PresenceAbsence kleine Plots'!C385</f>
        <v>2</v>
      </c>
      <c r="K385" s="4">
        <v>0</v>
      </c>
      <c r="L385" s="4">
        <v>2</v>
      </c>
      <c r="M385" s="4">
        <v>0</v>
      </c>
      <c r="N385" s="4">
        <v>2</v>
      </c>
      <c r="O385" s="4">
        <v>0</v>
      </c>
      <c r="P385" s="4">
        <v>1</v>
      </c>
      <c r="Q385" s="4">
        <v>0</v>
      </c>
      <c r="R385" s="4">
        <v>1</v>
      </c>
    </row>
    <row r="386" spans="1:18" x14ac:dyDescent="0.2">
      <c r="A386" s="5" t="s">
        <v>483</v>
      </c>
      <c r="B386" s="22" t="s">
        <v>677</v>
      </c>
      <c r="C386" s="4" t="str">
        <f t="shared" ref="C386:C406" si="12">LEFT(A386,2)</f>
        <v>B4</v>
      </c>
      <c r="D386" s="4" t="str">
        <f t="shared" ref="D386:D406" si="13">RIGHT(A386,4)</f>
        <v>B080</v>
      </c>
      <c r="E386" s="23">
        <v>0</v>
      </c>
      <c r="F386" s="23">
        <v>0</v>
      </c>
      <c r="G386" s="23">
        <v>0</v>
      </c>
      <c r="H386" s="23">
        <v>1</v>
      </c>
      <c r="I386" s="4">
        <v>9</v>
      </c>
      <c r="J386" s="4">
        <f>P386+Q386+R386+'PresenceAbsence kleine Plots'!C386</f>
        <v>3</v>
      </c>
      <c r="K386" s="4">
        <v>5</v>
      </c>
      <c r="L386" s="4">
        <v>0</v>
      </c>
      <c r="M386" s="4">
        <v>2</v>
      </c>
      <c r="N386" s="4">
        <v>2</v>
      </c>
      <c r="O386" s="4">
        <v>1</v>
      </c>
      <c r="P386" s="4">
        <v>0</v>
      </c>
      <c r="Q386" s="4">
        <v>1</v>
      </c>
      <c r="R386" s="4">
        <v>1</v>
      </c>
    </row>
    <row r="387" spans="1:18" x14ac:dyDescent="0.2">
      <c r="A387" s="5" t="s">
        <v>484</v>
      </c>
      <c r="B387" s="22" t="s">
        <v>581</v>
      </c>
      <c r="C387" s="4" t="str">
        <f t="shared" si="12"/>
        <v>B4</v>
      </c>
      <c r="D387" s="4" t="str">
        <f t="shared" si="13"/>
        <v>B081</v>
      </c>
      <c r="E387" s="23">
        <v>0</v>
      </c>
      <c r="F387" s="23">
        <v>1</v>
      </c>
      <c r="G387" s="23">
        <v>1</v>
      </c>
      <c r="H387" s="23">
        <v>0</v>
      </c>
      <c r="I387" s="4">
        <v>4</v>
      </c>
      <c r="J387" s="4">
        <v>4</v>
      </c>
      <c r="K387" s="4">
        <v>1</v>
      </c>
      <c r="L387" s="4">
        <v>1</v>
      </c>
      <c r="M387" s="4">
        <v>1</v>
      </c>
      <c r="N387" s="4">
        <v>1</v>
      </c>
      <c r="O387" s="4">
        <v>1</v>
      </c>
      <c r="P387" s="4">
        <v>1</v>
      </c>
      <c r="Q387" s="4">
        <v>1</v>
      </c>
      <c r="R387" s="4">
        <v>1</v>
      </c>
    </row>
    <row r="388" spans="1:18" x14ac:dyDescent="0.2">
      <c r="A388" s="5" t="s">
        <v>485</v>
      </c>
      <c r="B388" s="22" t="s">
        <v>679</v>
      </c>
      <c r="C388" s="4" t="str">
        <f t="shared" si="12"/>
        <v>B4</v>
      </c>
      <c r="D388" s="4" t="str">
        <f t="shared" si="13"/>
        <v>B082</v>
      </c>
      <c r="E388" s="23">
        <v>0</v>
      </c>
      <c r="F388" s="23">
        <v>0</v>
      </c>
      <c r="G388" s="23">
        <v>0</v>
      </c>
      <c r="H388" s="23">
        <v>1</v>
      </c>
      <c r="I388" s="4">
        <v>6</v>
      </c>
      <c r="J388" s="4">
        <f>P388+Q388+R388+'PresenceAbsence kleine Plots'!C388</f>
        <v>3</v>
      </c>
      <c r="K388" s="4">
        <v>3</v>
      </c>
      <c r="L388" s="4">
        <v>0</v>
      </c>
      <c r="M388" s="4">
        <v>2</v>
      </c>
      <c r="N388" s="4">
        <v>1</v>
      </c>
      <c r="O388" s="4">
        <v>1</v>
      </c>
      <c r="P388" s="4">
        <v>0</v>
      </c>
      <c r="Q388" s="4">
        <v>1</v>
      </c>
      <c r="R388" s="4">
        <v>1</v>
      </c>
    </row>
    <row r="389" spans="1:18" x14ac:dyDescent="0.2">
      <c r="A389" s="5" t="s">
        <v>486</v>
      </c>
      <c r="B389" s="22" t="s">
        <v>560</v>
      </c>
      <c r="C389" s="4" t="str">
        <f t="shared" si="12"/>
        <v>B4</v>
      </c>
      <c r="D389" s="4" t="str">
        <f t="shared" si="13"/>
        <v>B083</v>
      </c>
      <c r="E389" s="23">
        <v>0</v>
      </c>
      <c r="F389" s="23">
        <v>1</v>
      </c>
      <c r="G389" s="23">
        <v>1</v>
      </c>
      <c r="H389" s="23">
        <v>0</v>
      </c>
      <c r="I389" s="4">
        <v>2</v>
      </c>
      <c r="J389" s="4">
        <v>2</v>
      </c>
      <c r="K389" s="4">
        <v>1</v>
      </c>
      <c r="L389" s="4">
        <v>0</v>
      </c>
      <c r="M389" s="4">
        <v>1</v>
      </c>
      <c r="N389" s="4">
        <v>0</v>
      </c>
      <c r="O389" s="4">
        <v>1</v>
      </c>
      <c r="P389" s="4">
        <v>0</v>
      </c>
      <c r="Q389" s="4">
        <v>1</v>
      </c>
      <c r="R389" s="4">
        <v>0</v>
      </c>
    </row>
    <row r="390" spans="1:18" x14ac:dyDescent="0.2">
      <c r="A390" s="5" t="s">
        <v>487</v>
      </c>
      <c r="B390" s="22" t="s">
        <v>546</v>
      </c>
      <c r="C390" s="4" t="str">
        <f t="shared" si="12"/>
        <v>B4</v>
      </c>
      <c r="D390" s="4" t="str">
        <f t="shared" si="13"/>
        <v>B084</v>
      </c>
      <c r="E390" s="23">
        <v>0</v>
      </c>
      <c r="F390" s="23">
        <v>1</v>
      </c>
      <c r="G390" s="23">
        <v>1</v>
      </c>
      <c r="H390" s="23">
        <v>0</v>
      </c>
      <c r="I390" s="4">
        <v>4</v>
      </c>
      <c r="J390" s="4">
        <f>P390+Q390+R390+'PresenceAbsence kleine Plots'!C390</f>
        <v>1</v>
      </c>
      <c r="K390" s="4">
        <v>0</v>
      </c>
      <c r="L390" s="4">
        <v>4</v>
      </c>
      <c r="M390" s="4">
        <v>0</v>
      </c>
      <c r="N390" s="4">
        <v>0</v>
      </c>
      <c r="O390" s="4">
        <v>0</v>
      </c>
      <c r="P390" s="4">
        <v>1</v>
      </c>
      <c r="Q390" s="4">
        <v>0</v>
      </c>
      <c r="R390" s="4">
        <v>0</v>
      </c>
    </row>
    <row r="391" spans="1:18" x14ac:dyDescent="0.2">
      <c r="A391" s="5" t="s">
        <v>488</v>
      </c>
      <c r="B391" s="22" t="s">
        <v>769</v>
      </c>
      <c r="C391" s="4" t="str">
        <f t="shared" si="12"/>
        <v>B4</v>
      </c>
      <c r="D391" s="4" t="str">
        <f t="shared" si="13"/>
        <v>B085</v>
      </c>
      <c r="E391" s="23">
        <v>0</v>
      </c>
      <c r="F391" s="23">
        <v>0</v>
      </c>
      <c r="G391" s="23">
        <v>0</v>
      </c>
      <c r="H391" s="23">
        <v>1</v>
      </c>
      <c r="I391" s="4">
        <v>3</v>
      </c>
      <c r="J391" s="4">
        <f>P391+Q391+R391+'PresenceAbsence kleine Plots'!C391</f>
        <v>2</v>
      </c>
      <c r="K391" s="4">
        <v>2</v>
      </c>
      <c r="L391" s="4">
        <v>0</v>
      </c>
      <c r="M391" s="4">
        <v>0</v>
      </c>
      <c r="N391" s="4">
        <v>1</v>
      </c>
      <c r="O391" s="4">
        <v>1</v>
      </c>
      <c r="P391" s="4">
        <v>0</v>
      </c>
      <c r="Q391" s="4">
        <v>0</v>
      </c>
      <c r="R391" s="4">
        <v>1</v>
      </c>
    </row>
    <row r="392" spans="1:18" x14ac:dyDescent="0.2">
      <c r="A392" s="5" t="s">
        <v>489</v>
      </c>
      <c r="B392" s="22" t="s">
        <v>727</v>
      </c>
      <c r="C392" s="4" t="str">
        <f t="shared" si="12"/>
        <v>B4</v>
      </c>
      <c r="D392" s="4" t="str">
        <f t="shared" si="13"/>
        <v>B086</v>
      </c>
      <c r="E392" s="23">
        <v>1</v>
      </c>
      <c r="F392" s="23">
        <v>0</v>
      </c>
      <c r="G392" s="23">
        <v>0</v>
      </c>
      <c r="H392" s="23">
        <v>0</v>
      </c>
      <c r="I392" s="4">
        <v>1</v>
      </c>
      <c r="J392" s="4">
        <f>P392+Q392+R392+'PresenceAbsence kleine Plots'!C392</f>
        <v>1</v>
      </c>
      <c r="K392" s="4">
        <v>0</v>
      </c>
      <c r="L392" s="4">
        <v>0</v>
      </c>
      <c r="M392" s="4">
        <v>0</v>
      </c>
      <c r="N392" s="4">
        <v>1</v>
      </c>
      <c r="O392" s="4">
        <v>0</v>
      </c>
      <c r="P392" s="4">
        <v>0</v>
      </c>
      <c r="Q392" s="4">
        <v>0</v>
      </c>
      <c r="R392" s="4">
        <v>1</v>
      </c>
    </row>
    <row r="393" spans="1:18" x14ac:dyDescent="0.2">
      <c r="A393" s="5" t="s">
        <v>490</v>
      </c>
      <c r="B393" s="22" t="s">
        <v>698</v>
      </c>
      <c r="C393" s="4" t="str">
        <f t="shared" si="12"/>
        <v>B4</v>
      </c>
      <c r="D393" s="4" t="str">
        <f t="shared" si="13"/>
        <v>B087</v>
      </c>
      <c r="E393" s="23">
        <v>1</v>
      </c>
      <c r="F393" s="23">
        <v>0</v>
      </c>
      <c r="G393" s="23">
        <v>0</v>
      </c>
      <c r="H393" s="23">
        <v>0</v>
      </c>
      <c r="I393" s="4">
        <v>1</v>
      </c>
      <c r="J393" s="4">
        <f>P393+Q393+R393+'PresenceAbsence kleine Plots'!C393</f>
        <v>1</v>
      </c>
      <c r="K393" s="4">
        <v>0</v>
      </c>
      <c r="L393" s="4">
        <v>0</v>
      </c>
      <c r="M393" s="4">
        <v>1</v>
      </c>
      <c r="N393" s="4">
        <v>0</v>
      </c>
      <c r="O393" s="4">
        <v>0</v>
      </c>
      <c r="P393" s="4">
        <v>0</v>
      </c>
      <c r="Q393" s="4">
        <v>1</v>
      </c>
      <c r="R393" s="4">
        <v>0</v>
      </c>
    </row>
    <row r="394" spans="1:18" x14ac:dyDescent="0.2">
      <c r="A394" s="5" t="s">
        <v>491</v>
      </c>
      <c r="B394" s="22" t="s">
        <v>687</v>
      </c>
      <c r="C394" s="4" t="str">
        <f t="shared" si="12"/>
        <v>B4</v>
      </c>
      <c r="D394" s="4" t="str">
        <f t="shared" si="13"/>
        <v>B088</v>
      </c>
      <c r="E394" s="23">
        <v>0</v>
      </c>
      <c r="F394" s="23">
        <v>0</v>
      </c>
      <c r="G394" s="23">
        <v>0</v>
      </c>
      <c r="H394" s="23">
        <v>1</v>
      </c>
      <c r="I394" s="4">
        <v>6</v>
      </c>
      <c r="J394" s="4">
        <f>P394+Q394+R394+'PresenceAbsence kleine Plots'!C394</f>
        <v>3</v>
      </c>
      <c r="K394" s="4">
        <v>3</v>
      </c>
      <c r="L394" s="4">
        <v>0</v>
      </c>
      <c r="M394" s="4">
        <v>1</v>
      </c>
      <c r="N394" s="4">
        <v>2</v>
      </c>
      <c r="O394" s="4">
        <v>1</v>
      </c>
      <c r="P394" s="4">
        <v>0</v>
      </c>
      <c r="Q394" s="4">
        <v>1</v>
      </c>
      <c r="R394" s="4">
        <v>1</v>
      </c>
    </row>
    <row r="395" spans="1:18" x14ac:dyDescent="0.2">
      <c r="A395" s="5" t="s">
        <v>492</v>
      </c>
      <c r="B395" s="22" t="s">
        <v>572</v>
      </c>
      <c r="C395" s="4" t="str">
        <f t="shared" si="12"/>
        <v>B4</v>
      </c>
      <c r="D395" s="4" t="str">
        <f t="shared" si="13"/>
        <v>B089</v>
      </c>
      <c r="E395" s="23">
        <v>1</v>
      </c>
      <c r="F395" s="23">
        <v>1</v>
      </c>
      <c r="G395" s="23">
        <v>0</v>
      </c>
      <c r="H395" s="23">
        <v>0</v>
      </c>
      <c r="I395" s="4">
        <v>1</v>
      </c>
      <c r="J395" s="4">
        <f>P395+Q395+R395+'PresenceAbsence kleine Plots'!C395</f>
        <v>1</v>
      </c>
      <c r="K395" s="4">
        <v>0</v>
      </c>
      <c r="L395" s="4">
        <v>1</v>
      </c>
      <c r="M395" s="4">
        <v>0</v>
      </c>
      <c r="N395" s="4">
        <v>0</v>
      </c>
      <c r="O395" s="4">
        <v>0</v>
      </c>
      <c r="P395" s="4">
        <v>1</v>
      </c>
      <c r="Q395" s="4">
        <v>0</v>
      </c>
      <c r="R395" s="4">
        <v>0</v>
      </c>
    </row>
    <row r="396" spans="1:18" x14ac:dyDescent="0.2">
      <c r="A396" s="5" t="s">
        <v>493</v>
      </c>
      <c r="B396" s="22" t="s">
        <v>770</v>
      </c>
      <c r="C396" s="4" t="str">
        <f t="shared" si="12"/>
        <v>B4</v>
      </c>
      <c r="D396" s="4" t="str">
        <f t="shared" si="13"/>
        <v>B090</v>
      </c>
      <c r="E396" s="23">
        <v>0</v>
      </c>
      <c r="F396" s="23">
        <v>0</v>
      </c>
      <c r="G396" s="23">
        <v>0</v>
      </c>
      <c r="H396" s="23">
        <v>1</v>
      </c>
      <c r="I396" s="4">
        <v>3</v>
      </c>
      <c r="J396" s="4">
        <f>P396+Q396+R396+'PresenceAbsence kleine Plots'!C396</f>
        <v>2</v>
      </c>
      <c r="K396" s="4">
        <v>2</v>
      </c>
      <c r="L396" s="4">
        <v>0</v>
      </c>
      <c r="M396" s="4">
        <v>0</v>
      </c>
      <c r="N396" s="4">
        <v>1</v>
      </c>
      <c r="O396" s="4">
        <v>1</v>
      </c>
      <c r="P396" s="4">
        <v>0</v>
      </c>
      <c r="Q396" s="4">
        <v>0</v>
      </c>
      <c r="R396" s="4">
        <v>1</v>
      </c>
    </row>
    <row r="397" spans="1:18" x14ac:dyDescent="0.2">
      <c r="A397" s="5" t="s">
        <v>494</v>
      </c>
      <c r="B397" s="22" t="s">
        <v>673</v>
      </c>
      <c r="C397" s="4" t="str">
        <f t="shared" si="12"/>
        <v>B4</v>
      </c>
      <c r="D397" s="4" t="str">
        <f t="shared" si="13"/>
        <v>B091</v>
      </c>
      <c r="E397" s="23">
        <v>1</v>
      </c>
      <c r="F397" s="23">
        <v>0</v>
      </c>
      <c r="G397" s="23">
        <v>0</v>
      </c>
      <c r="H397" s="23">
        <v>1</v>
      </c>
      <c r="I397" s="4">
        <v>1</v>
      </c>
      <c r="J397" s="4">
        <f>P397+Q397+R397+'PresenceAbsence kleine Plots'!C397</f>
        <v>1</v>
      </c>
      <c r="K397" s="4">
        <v>1</v>
      </c>
      <c r="L397" s="4">
        <v>0</v>
      </c>
      <c r="M397" s="4">
        <v>0</v>
      </c>
      <c r="N397" s="4">
        <v>0</v>
      </c>
      <c r="O397" s="4">
        <v>1</v>
      </c>
      <c r="P397" s="4">
        <v>0</v>
      </c>
      <c r="Q397" s="4">
        <v>0</v>
      </c>
      <c r="R397" s="4">
        <v>0</v>
      </c>
    </row>
    <row r="398" spans="1:18" x14ac:dyDescent="0.2">
      <c r="A398" s="5" t="s">
        <v>495</v>
      </c>
      <c r="B398" s="22" t="s">
        <v>775</v>
      </c>
      <c r="C398" s="4" t="str">
        <f t="shared" si="12"/>
        <v>B4</v>
      </c>
      <c r="D398" s="4" t="str">
        <f t="shared" si="13"/>
        <v>B092</v>
      </c>
      <c r="E398" s="23">
        <v>0</v>
      </c>
      <c r="F398" s="23">
        <v>0</v>
      </c>
      <c r="G398" s="23">
        <v>0</v>
      </c>
      <c r="H398" s="23">
        <v>1</v>
      </c>
      <c r="I398" s="4">
        <v>3</v>
      </c>
      <c r="J398" s="4">
        <f>P398+Q398+R398+'PresenceAbsence kleine Plots'!C398</f>
        <v>3</v>
      </c>
      <c r="K398" s="4">
        <v>1</v>
      </c>
      <c r="L398" s="4">
        <v>0</v>
      </c>
      <c r="M398" s="4">
        <v>1</v>
      </c>
      <c r="N398" s="4">
        <v>1</v>
      </c>
      <c r="O398" s="4">
        <v>1</v>
      </c>
      <c r="P398" s="4">
        <v>0</v>
      </c>
      <c r="Q398" s="4">
        <v>1</v>
      </c>
      <c r="R398" s="4">
        <v>1</v>
      </c>
    </row>
    <row r="399" spans="1:18" x14ac:dyDescent="0.2">
      <c r="A399" s="5" t="s">
        <v>496</v>
      </c>
      <c r="B399" s="22" t="s">
        <v>678</v>
      </c>
      <c r="C399" s="4" t="str">
        <f t="shared" si="12"/>
        <v>B4</v>
      </c>
      <c r="D399" s="4" t="str">
        <f t="shared" si="13"/>
        <v>B093</v>
      </c>
      <c r="E399" s="23">
        <v>0</v>
      </c>
      <c r="F399" s="23">
        <v>0</v>
      </c>
      <c r="G399" s="23">
        <v>0</v>
      </c>
      <c r="H399" s="23">
        <v>1</v>
      </c>
      <c r="I399" s="4">
        <v>6</v>
      </c>
      <c r="J399" s="4">
        <f>P399+Q399+R399+'PresenceAbsence kleine Plots'!C399</f>
        <v>2</v>
      </c>
      <c r="K399" s="4">
        <v>4</v>
      </c>
      <c r="L399" s="4">
        <v>0</v>
      </c>
      <c r="M399" s="4">
        <v>2</v>
      </c>
      <c r="N399" s="4">
        <v>0</v>
      </c>
      <c r="O399" s="4">
        <v>1</v>
      </c>
      <c r="P399" s="4">
        <v>0</v>
      </c>
      <c r="Q399" s="4">
        <v>1</v>
      </c>
      <c r="R399" s="4">
        <v>0</v>
      </c>
    </row>
    <row r="400" spans="1:18" x14ac:dyDescent="0.2">
      <c r="A400" s="5" t="s">
        <v>497</v>
      </c>
      <c r="B400" s="22" t="s">
        <v>562</v>
      </c>
      <c r="C400" s="4" t="str">
        <f t="shared" si="12"/>
        <v>B4</v>
      </c>
      <c r="D400" s="4" t="str">
        <f t="shared" si="13"/>
        <v>B094</v>
      </c>
      <c r="E400" s="23">
        <v>0</v>
      </c>
      <c r="F400" s="23">
        <v>1</v>
      </c>
      <c r="G400" s="23">
        <v>1</v>
      </c>
      <c r="H400" s="23">
        <v>0</v>
      </c>
      <c r="I400" s="4">
        <v>8</v>
      </c>
      <c r="J400" s="4">
        <f>P400+Q400+R400+'PresenceAbsence kleine Plots'!C400</f>
        <v>1</v>
      </c>
      <c r="K400" s="4">
        <v>8</v>
      </c>
      <c r="L400" s="4">
        <v>0</v>
      </c>
      <c r="M400" s="4">
        <v>0</v>
      </c>
      <c r="N400" s="4">
        <v>0</v>
      </c>
      <c r="O400" s="4">
        <v>1</v>
      </c>
      <c r="P400" s="4">
        <v>0</v>
      </c>
      <c r="Q400" s="4">
        <v>0</v>
      </c>
      <c r="R400" s="4">
        <v>0</v>
      </c>
    </row>
    <row r="401" spans="1:18" x14ac:dyDescent="0.2">
      <c r="A401" s="5" t="s">
        <v>498</v>
      </c>
      <c r="B401" s="22" t="s">
        <v>787</v>
      </c>
      <c r="C401" s="4" t="str">
        <f t="shared" si="12"/>
        <v>B4</v>
      </c>
      <c r="D401" s="4" t="str">
        <f t="shared" si="13"/>
        <v>B095</v>
      </c>
      <c r="E401" s="23">
        <v>0</v>
      </c>
      <c r="F401" s="23">
        <v>0</v>
      </c>
      <c r="G401" s="23">
        <v>0</v>
      </c>
      <c r="H401" s="23">
        <v>1</v>
      </c>
      <c r="I401" s="4">
        <v>4</v>
      </c>
      <c r="J401" s="4">
        <v>2</v>
      </c>
      <c r="K401" s="4">
        <v>3</v>
      </c>
      <c r="L401" s="4">
        <v>0</v>
      </c>
      <c r="M401" s="4">
        <v>1</v>
      </c>
      <c r="N401" s="4">
        <v>0</v>
      </c>
      <c r="O401" s="4">
        <v>1</v>
      </c>
      <c r="P401" s="4">
        <v>0</v>
      </c>
      <c r="Q401" s="4">
        <v>1</v>
      </c>
      <c r="R401" s="4">
        <v>0</v>
      </c>
    </row>
    <row r="402" spans="1:18" x14ac:dyDescent="0.2">
      <c r="A402" s="5" t="s">
        <v>499</v>
      </c>
      <c r="B402" s="22" t="s">
        <v>532</v>
      </c>
      <c r="C402" s="4" t="str">
        <f t="shared" si="12"/>
        <v>B4</v>
      </c>
      <c r="D402" s="4" t="str">
        <f t="shared" si="13"/>
        <v>B096</v>
      </c>
      <c r="E402" s="23">
        <v>1</v>
      </c>
      <c r="F402" s="23">
        <v>1</v>
      </c>
      <c r="G402" s="23">
        <v>1</v>
      </c>
      <c r="H402" s="23">
        <v>0</v>
      </c>
      <c r="I402" s="4">
        <v>1</v>
      </c>
      <c r="J402" s="4">
        <f>P402+Q402+R402+'PresenceAbsence kleine Plots'!C402</f>
        <v>1</v>
      </c>
      <c r="K402" s="4">
        <v>0</v>
      </c>
      <c r="L402" s="4">
        <v>0</v>
      </c>
      <c r="M402" s="4">
        <v>1</v>
      </c>
      <c r="N402" s="4">
        <v>0</v>
      </c>
      <c r="O402" s="4">
        <v>0</v>
      </c>
      <c r="P402" s="4">
        <v>0</v>
      </c>
      <c r="Q402" s="4">
        <v>1</v>
      </c>
      <c r="R402" s="4">
        <v>0</v>
      </c>
    </row>
    <row r="403" spans="1:18" x14ac:dyDescent="0.2">
      <c r="A403" s="5" t="s">
        <v>500</v>
      </c>
      <c r="B403" s="22" t="s">
        <v>689</v>
      </c>
      <c r="C403" s="4" t="str">
        <f t="shared" si="12"/>
        <v>B4</v>
      </c>
      <c r="D403" s="4" t="str">
        <f t="shared" si="13"/>
        <v>B097</v>
      </c>
      <c r="E403" s="23">
        <v>0</v>
      </c>
      <c r="F403" s="23">
        <v>0</v>
      </c>
      <c r="G403" s="23">
        <v>0</v>
      </c>
      <c r="H403" s="23">
        <v>1</v>
      </c>
      <c r="I403" s="4">
        <v>6</v>
      </c>
      <c r="J403" s="4">
        <f>P403+Q403+R403+'PresenceAbsence kleine Plots'!C403</f>
        <v>3</v>
      </c>
      <c r="K403" s="4">
        <v>3</v>
      </c>
      <c r="L403" s="4">
        <v>0</v>
      </c>
      <c r="M403" s="4">
        <v>1</v>
      </c>
      <c r="N403" s="4">
        <v>2</v>
      </c>
      <c r="O403" s="4">
        <v>1</v>
      </c>
      <c r="P403" s="4">
        <v>0</v>
      </c>
      <c r="Q403" s="4">
        <v>1</v>
      </c>
      <c r="R403" s="4">
        <v>1</v>
      </c>
    </row>
    <row r="404" spans="1:18" x14ac:dyDescent="0.2">
      <c r="A404" s="5" t="s">
        <v>501</v>
      </c>
      <c r="B404" s="22" t="s">
        <v>675</v>
      </c>
      <c r="C404" s="4" t="str">
        <f t="shared" si="12"/>
        <v>B4</v>
      </c>
      <c r="D404" s="4" t="str">
        <f t="shared" si="13"/>
        <v>B098</v>
      </c>
      <c r="E404" s="23">
        <v>1</v>
      </c>
      <c r="F404" s="23">
        <v>0</v>
      </c>
      <c r="G404" s="23">
        <v>0</v>
      </c>
      <c r="H404" s="23">
        <v>0</v>
      </c>
      <c r="I404" s="4">
        <v>1</v>
      </c>
      <c r="J404" s="4">
        <f>P404+Q404+R404+'PresenceAbsence kleine Plots'!C404</f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</row>
    <row r="405" spans="1:18" x14ac:dyDescent="0.2">
      <c r="A405" s="5" t="s">
        <v>502</v>
      </c>
      <c r="B405" s="22" t="s">
        <v>675</v>
      </c>
      <c r="C405" s="4" t="str">
        <f t="shared" si="12"/>
        <v>B4</v>
      </c>
      <c r="D405" s="4" t="str">
        <f t="shared" si="13"/>
        <v>B099</v>
      </c>
      <c r="E405" s="23">
        <v>1</v>
      </c>
      <c r="F405" s="23">
        <v>0</v>
      </c>
      <c r="G405" s="23">
        <v>0</v>
      </c>
      <c r="H405" s="23">
        <v>0</v>
      </c>
      <c r="I405" s="4">
        <v>1</v>
      </c>
      <c r="J405" s="4">
        <f>P405+Q405+R405+'PresenceAbsence kleine Plots'!C405</f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</row>
    <row r="406" spans="1:18" x14ac:dyDescent="0.2">
      <c r="A406" s="5" t="s">
        <v>503</v>
      </c>
      <c r="B406" s="22" t="s">
        <v>675</v>
      </c>
      <c r="C406" s="4" t="str">
        <f t="shared" si="12"/>
        <v>B4</v>
      </c>
      <c r="D406" s="4" t="str">
        <f t="shared" si="13"/>
        <v>B100</v>
      </c>
      <c r="E406" s="23">
        <v>1</v>
      </c>
      <c r="F406" s="23">
        <v>0</v>
      </c>
      <c r="G406" s="23">
        <v>0</v>
      </c>
      <c r="H406" s="23">
        <v>0</v>
      </c>
      <c r="I406" s="4">
        <v>1</v>
      </c>
      <c r="J406" s="4">
        <f>P406+Q406+R406+'PresenceAbsence kleine Plots'!C406</f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</row>
  </sheetData>
  <sheetProtection password="C06F" sheet="1" objects="1" scenarios="1"/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Koordinaten große Plots</vt:lpstr>
      <vt:lpstr>Koordinaten kleine Plots</vt:lpstr>
      <vt:lpstr>PresenceAbsence große Plots</vt:lpstr>
      <vt:lpstr>PresenceAbsence kleine Plots</vt:lpstr>
      <vt:lpstr>Plotinformation große Plots</vt:lpstr>
      <vt:lpstr>Plotinformation kleine Plots</vt:lpstr>
    </vt:vector>
  </TitlesOfParts>
  <Company>Max-Planck-Institut f. Biogeochemie, Jena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Schumacher</dc:creator>
  <cp:lastModifiedBy>Huang, Yuanyuan</cp:lastModifiedBy>
  <cp:lastPrinted>2005-04-01T15:03:22Z</cp:lastPrinted>
  <dcterms:created xsi:type="dcterms:W3CDTF">2002-10-16T10:42:02Z</dcterms:created>
  <dcterms:modified xsi:type="dcterms:W3CDTF">2025-11-17T11:04:21Z</dcterms:modified>
</cp:coreProperties>
</file>