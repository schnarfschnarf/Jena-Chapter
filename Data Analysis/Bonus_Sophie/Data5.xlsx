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defaultThemeVersion="166925"/>
  <mc:AlternateContent xmlns:mc="http://schemas.openxmlformats.org/markup-compatibility/2006">
    <mc:Choice Requires="x15">
      <x15ac:absPath xmlns:x15ac="http://schemas.microsoft.com/office/spreadsheetml/2010/11/ac" url="C:\Users\idivsh33caqo\Documents\00_PhDPES\InsuranceGrass\PES\Empirischer Teil\JenaExperiment\R\"/>
    </mc:Choice>
  </mc:AlternateContent>
  <xr:revisionPtr revIDLastSave="0" documentId="13_ncr:1_{1C754796-9854-4893-B596-2FA31C71F83D}" xr6:coauthVersionLast="36" xr6:coauthVersionMax="36" xr10:uidLastSave="{00000000-0000-0000-0000-000000000000}"/>
  <bookViews>
    <workbookView xWindow="0" yWindow="0" windowWidth="19200" windowHeight="6930" xr2:uid="{8D572B0B-9CF8-4911-88D4-DB12B8662E84}"/>
  </bookViews>
  <sheets>
    <sheet name="Data" sheetId="1" r:id="rId1"/>
    <sheet name="Block Code" sheetId="3" r:id="rId2"/>
    <sheet name="Description" sheetId="2" r:id="rId3"/>
  </sheets>
  <definedNames>
    <definedName name="_xlnm._FilterDatabase" localSheetId="0" hidden="1">Data!$B$1:$W$1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6" i="1" l="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4" i="1"/>
  <c r="J26" i="1" l="1"/>
  <c r="M26" i="1"/>
  <c r="J33" i="1"/>
  <c r="M33" i="1"/>
  <c r="J37" i="1"/>
  <c r="M37" i="1"/>
  <c r="J49" i="1"/>
  <c r="M49" i="1"/>
  <c r="J50" i="1"/>
  <c r="M50" i="1"/>
  <c r="J60" i="1"/>
  <c r="M60" i="1"/>
  <c r="J65" i="1"/>
  <c r="M65" i="1"/>
  <c r="J68" i="1"/>
  <c r="M68" i="1"/>
  <c r="J69" i="1"/>
  <c r="M69" i="1"/>
  <c r="J76" i="1"/>
  <c r="M76" i="1"/>
  <c r="J81" i="1"/>
  <c r="M81" i="1"/>
  <c r="J95" i="1"/>
  <c r="M95" i="1"/>
  <c r="J99" i="1"/>
  <c r="M99" i="1"/>
  <c r="J100" i="1"/>
  <c r="M100" i="1"/>
  <c r="J101" i="1"/>
  <c r="M101" i="1"/>
  <c r="J111" i="1"/>
  <c r="M111" i="1"/>
  <c r="J124" i="1"/>
  <c r="M124" i="1"/>
  <c r="J131" i="1"/>
  <c r="M131" i="1"/>
  <c r="J135" i="1"/>
  <c r="M135" i="1"/>
  <c r="J147" i="1"/>
  <c r="M147" i="1"/>
  <c r="J148" i="1"/>
  <c r="M148" i="1"/>
  <c r="J158" i="1"/>
  <c r="M158" i="1"/>
  <c r="J163" i="1"/>
  <c r="M163" i="1"/>
  <c r="J166" i="1"/>
  <c r="M166" i="1"/>
  <c r="J167" i="1"/>
  <c r="M167" i="1"/>
  <c r="J174" i="1"/>
  <c r="M174" i="1"/>
  <c r="J179" i="1"/>
  <c r="M179" i="1"/>
  <c r="J193" i="1"/>
  <c r="M193" i="1"/>
  <c r="J197" i="1"/>
  <c r="M197" i="1"/>
  <c r="J198" i="1"/>
  <c r="M198" i="1"/>
  <c r="J199" i="1"/>
  <c r="M199" i="1"/>
  <c r="J209" i="1"/>
  <c r="M209" i="1"/>
  <c r="J222" i="1"/>
  <c r="M222" i="1"/>
  <c r="J229" i="1"/>
  <c r="M229" i="1"/>
  <c r="J233" i="1"/>
  <c r="M233" i="1"/>
  <c r="J245" i="1"/>
  <c r="M245" i="1"/>
  <c r="J246" i="1"/>
  <c r="M246" i="1"/>
  <c r="J256" i="1"/>
  <c r="M256" i="1"/>
  <c r="J261" i="1"/>
  <c r="M261" i="1"/>
  <c r="J264" i="1"/>
  <c r="M264" i="1"/>
  <c r="J265" i="1"/>
  <c r="M265" i="1"/>
  <c r="J272" i="1"/>
  <c r="M272" i="1"/>
  <c r="J277" i="1"/>
  <c r="M277" i="1"/>
  <c r="J291" i="1"/>
  <c r="M291" i="1"/>
  <c r="J295" i="1"/>
  <c r="M295" i="1"/>
  <c r="J296" i="1"/>
  <c r="M296" i="1"/>
  <c r="J297" i="1"/>
  <c r="M297" i="1"/>
  <c r="J307" i="1"/>
  <c r="M307" i="1"/>
  <c r="J320" i="1"/>
  <c r="M320" i="1"/>
  <c r="J327" i="1"/>
  <c r="M327" i="1"/>
  <c r="J331" i="1"/>
  <c r="M331" i="1"/>
  <c r="J343" i="1"/>
  <c r="M343" i="1"/>
  <c r="J344" i="1"/>
  <c r="M344" i="1"/>
  <c r="J354" i="1"/>
  <c r="M354" i="1"/>
  <c r="J359" i="1"/>
  <c r="M359" i="1"/>
  <c r="J362" i="1"/>
  <c r="M362" i="1"/>
  <c r="J363" i="1"/>
  <c r="M363" i="1"/>
  <c r="J370" i="1"/>
  <c r="M370" i="1"/>
  <c r="J375" i="1"/>
  <c r="M375" i="1"/>
  <c r="J389" i="1"/>
  <c r="M389" i="1"/>
  <c r="J393" i="1"/>
  <c r="M393" i="1"/>
  <c r="J394" i="1"/>
  <c r="M394" i="1"/>
  <c r="J395" i="1"/>
  <c r="M395" i="1"/>
  <c r="J404" i="1"/>
  <c r="M404" i="1"/>
  <c r="J405" i="1"/>
  <c r="M405" i="1"/>
  <c r="J418" i="1"/>
  <c r="M418" i="1"/>
  <c r="J425" i="1"/>
  <c r="M425" i="1"/>
  <c r="J429" i="1"/>
  <c r="M429" i="1"/>
  <c r="J441" i="1"/>
  <c r="M441" i="1"/>
  <c r="J442" i="1"/>
  <c r="M442" i="1"/>
  <c r="J452" i="1"/>
  <c r="M452" i="1"/>
  <c r="J457" i="1"/>
  <c r="M457" i="1"/>
  <c r="J460" i="1"/>
  <c r="M460" i="1"/>
  <c r="J461" i="1"/>
  <c r="M461" i="1"/>
  <c r="J468" i="1"/>
  <c r="M468" i="1"/>
  <c r="J471" i="1"/>
  <c r="M471" i="1"/>
  <c r="J473" i="1"/>
  <c r="M473" i="1"/>
  <c r="J487" i="1"/>
  <c r="M487" i="1"/>
  <c r="J491" i="1"/>
  <c r="M491" i="1"/>
  <c r="J492" i="1"/>
  <c r="M492" i="1"/>
  <c r="J493" i="1"/>
  <c r="M493" i="1"/>
  <c r="J502" i="1"/>
  <c r="M502" i="1"/>
  <c r="J503" i="1"/>
  <c r="M503" i="1"/>
  <c r="J516" i="1"/>
  <c r="M516" i="1"/>
  <c r="J523" i="1"/>
  <c r="M523" i="1"/>
  <c r="J527" i="1"/>
  <c r="M527" i="1"/>
  <c r="J531" i="1"/>
  <c r="M531" i="1"/>
  <c r="J539" i="1"/>
  <c r="M539" i="1"/>
  <c r="J540" i="1"/>
  <c r="M540" i="1"/>
  <c r="J550" i="1"/>
  <c r="M550" i="1"/>
  <c r="J555" i="1"/>
  <c r="M555" i="1"/>
  <c r="J557" i="1"/>
  <c r="M557" i="1"/>
  <c r="J558" i="1"/>
  <c r="M558" i="1"/>
  <c r="J559" i="1"/>
  <c r="M559" i="1"/>
  <c r="J566" i="1"/>
  <c r="M566" i="1"/>
  <c r="J569" i="1"/>
  <c r="M569" i="1"/>
  <c r="J571" i="1"/>
  <c r="M571" i="1"/>
  <c r="J585" i="1"/>
  <c r="M585" i="1"/>
  <c r="J589" i="1"/>
  <c r="M589" i="1"/>
  <c r="J590" i="1"/>
  <c r="M590" i="1"/>
  <c r="J591" i="1"/>
  <c r="M591" i="1"/>
  <c r="J600" i="1"/>
  <c r="M600" i="1"/>
  <c r="J601" i="1"/>
  <c r="M601" i="1"/>
  <c r="J606" i="1"/>
  <c r="M606" i="1"/>
  <c r="J614" i="1"/>
  <c r="M614" i="1"/>
  <c r="J619" i="1"/>
  <c r="M619" i="1"/>
  <c r="J621" i="1"/>
  <c r="M621" i="1"/>
  <c r="J625" i="1"/>
  <c r="M625" i="1"/>
  <c r="J629" i="1"/>
  <c r="M629" i="1"/>
  <c r="J637" i="1"/>
  <c r="M637" i="1"/>
  <c r="J638" i="1"/>
  <c r="M638" i="1"/>
  <c r="J648" i="1"/>
  <c r="M648" i="1"/>
  <c r="J653" i="1"/>
  <c r="M653" i="1"/>
  <c r="J656" i="1"/>
  <c r="M656" i="1"/>
  <c r="J657" i="1"/>
  <c r="M657" i="1"/>
  <c r="J664" i="1"/>
  <c r="M664" i="1"/>
  <c r="J667" i="1"/>
  <c r="M667" i="1"/>
  <c r="J669" i="1"/>
  <c r="M669" i="1"/>
  <c r="J683" i="1"/>
  <c r="M683" i="1"/>
  <c r="J687" i="1"/>
  <c r="M687" i="1"/>
  <c r="J154" i="1"/>
  <c r="M154" i="1"/>
  <c r="M5" i="1" l="1"/>
  <c r="M6" i="1"/>
  <c r="M7" i="1"/>
  <c r="M8" i="1"/>
  <c r="M9" i="1"/>
  <c r="M10" i="1"/>
  <c r="M11" i="1"/>
  <c r="M12" i="1"/>
  <c r="M14" i="1"/>
  <c r="M15" i="1"/>
  <c r="M16" i="1"/>
  <c r="M17" i="1"/>
  <c r="M18" i="1"/>
  <c r="M19" i="1"/>
  <c r="M20" i="1"/>
  <c r="M21" i="1"/>
  <c r="M22" i="1"/>
  <c r="M23" i="1"/>
  <c r="M24" i="1"/>
  <c r="M25" i="1"/>
  <c r="M27" i="1"/>
  <c r="M28" i="1"/>
  <c r="M29" i="1"/>
  <c r="M30" i="1"/>
  <c r="M31" i="1"/>
  <c r="M32" i="1"/>
  <c r="M34" i="1"/>
  <c r="M35" i="1"/>
  <c r="M36" i="1"/>
  <c r="M38" i="1"/>
  <c r="M39" i="1"/>
  <c r="M40" i="1"/>
  <c r="M41" i="1"/>
  <c r="M42" i="1"/>
  <c r="M43" i="1"/>
  <c r="M44" i="1"/>
  <c r="M45" i="1"/>
  <c r="M46" i="1"/>
  <c r="M47" i="1"/>
  <c r="M48" i="1"/>
  <c r="M51" i="1"/>
  <c r="M52" i="1"/>
  <c r="M53" i="1"/>
  <c r="M54" i="1"/>
  <c r="M55" i="1"/>
  <c r="M56" i="1"/>
  <c r="M57" i="1"/>
  <c r="M58" i="1"/>
  <c r="M59" i="1"/>
  <c r="M61" i="1"/>
  <c r="M62" i="1"/>
  <c r="M63" i="1"/>
  <c r="M64" i="1"/>
  <c r="M66" i="1"/>
  <c r="M67" i="1"/>
  <c r="M70" i="1"/>
  <c r="M71" i="1"/>
  <c r="M72" i="1"/>
  <c r="M73" i="1"/>
  <c r="M74" i="1"/>
  <c r="M75" i="1"/>
  <c r="M77" i="1"/>
  <c r="M78" i="1"/>
  <c r="M79" i="1"/>
  <c r="M80" i="1"/>
  <c r="M82" i="1"/>
  <c r="M83" i="1"/>
  <c r="M84" i="1"/>
  <c r="M85" i="1"/>
  <c r="M86" i="1"/>
  <c r="M87" i="1"/>
  <c r="M88" i="1"/>
  <c r="M89" i="1"/>
  <c r="M90" i="1"/>
  <c r="M91" i="1"/>
  <c r="M92" i="1"/>
  <c r="M93" i="1"/>
  <c r="M94" i="1"/>
  <c r="M96" i="1"/>
  <c r="M97" i="1"/>
  <c r="M98" i="1"/>
  <c r="M102" i="1"/>
  <c r="M103" i="1"/>
  <c r="M104" i="1"/>
  <c r="M105" i="1"/>
  <c r="M106" i="1"/>
  <c r="M107" i="1"/>
  <c r="M108" i="1"/>
  <c r="M109" i="1"/>
  <c r="M110" i="1"/>
  <c r="M112" i="1"/>
  <c r="M113" i="1"/>
  <c r="M114" i="1"/>
  <c r="M115" i="1"/>
  <c r="M116" i="1"/>
  <c r="M117" i="1"/>
  <c r="M118" i="1"/>
  <c r="M119" i="1"/>
  <c r="M120" i="1"/>
  <c r="M121" i="1"/>
  <c r="M122" i="1"/>
  <c r="M123" i="1"/>
  <c r="M125" i="1"/>
  <c r="M126" i="1"/>
  <c r="M127" i="1"/>
  <c r="M128" i="1"/>
  <c r="M129" i="1"/>
  <c r="M130" i="1"/>
  <c r="M132" i="1"/>
  <c r="M133" i="1"/>
  <c r="M134" i="1"/>
  <c r="M136" i="1"/>
  <c r="M137" i="1"/>
  <c r="M138" i="1"/>
  <c r="M139" i="1"/>
  <c r="M140" i="1"/>
  <c r="M141" i="1"/>
  <c r="M142" i="1"/>
  <c r="M143" i="1"/>
  <c r="M144" i="1"/>
  <c r="M145" i="1"/>
  <c r="M146" i="1"/>
  <c r="M149" i="1"/>
  <c r="M150" i="1"/>
  <c r="M151" i="1"/>
  <c r="M152" i="1"/>
  <c r="M153" i="1"/>
  <c r="M155" i="1"/>
  <c r="M156" i="1"/>
  <c r="M157" i="1"/>
  <c r="M159" i="1"/>
  <c r="M160" i="1"/>
  <c r="M161" i="1"/>
  <c r="M162" i="1"/>
  <c r="M164" i="1"/>
  <c r="M165" i="1"/>
  <c r="M168" i="1"/>
  <c r="M169" i="1"/>
  <c r="M170" i="1"/>
  <c r="M171" i="1"/>
  <c r="M172" i="1"/>
  <c r="M173" i="1"/>
  <c r="M175" i="1"/>
  <c r="M176" i="1"/>
  <c r="M177" i="1"/>
  <c r="M178" i="1"/>
  <c r="M180" i="1"/>
  <c r="M181" i="1"/>
  <c r="M182" i="1"/>
  <c r="M183" i="1"/>
  <c r="M184" i="1"/>
  <c r="M185" i="1"/>
  <c r="M186" i="1"/>
  <c r="M187" i="1"/>
  <c r="M188" i="1"/>
  <c r="M189" i="1"/>
  <c r="M190" i="1"/>
  <c r="M191" i="1"/>
  <c r="M192" i="1"/>
  <c r="M194" i="1"/>
  <c r="M195" i="1"/>
  <c r="M196" i="1"/>
  <c r="M200" i="1"/>
  <c r="M201" i="1"/>
  <c r="M202" i="1"/>
  <c r="M203" i="1"/>
  <c r="M204" i="1"/>
  <c r="M205" i="1"/>
  <c r="M206" i="1"/>
  <c r="M207" i="1"/>
  <c r="M208" i="1"/>
  <c r="M210" i="1"/>
  <c r="M211" i="1"/>
  <c r="M212" i="1"/>
  <c r="M213" i="1"/>
  <c r="M214" i="1"/>
  <c r="M215" i="1"/>
  <c r="M216" i="1"/>
  <c r="M217" i="1"/>
  <c r="M218" i="1"/>
  <c r="M219" i="1"/>
  <c r="M220" i="1"/>
  <c r="M221" i="1"/>
  <c r="M223" i="1"/>
  <c r="M224" i="1"/>
  <c r="M225" i="1"/>
  <c r="M226" i="1"/>
  <c r="M227" i="1"/>
  <c r="M228" i="1"/>
  <c r="M230" i="1"/>
  <c r="M231" i="1"/>
  <c r="M232" i="1"/>
  <c r="M234" i="1"/>
  <c r="M235" i="1"/>
  <c r="M236" i="1"/>
  <c r="M237" i="1"/>
  <c r="M238" i="1"/>
  <c r="M239" i="1"/>
  <c r="M240" i="1"/>
  <c r="M241" i="1"/>
  <c r="M242" i="1"/>
  <c r="M243" i="1"/>
  <c r="M244" i="1"/>
  <c r="M247" i="1"/>
  <c r="M248" i="1"/>
  <c r="M249" i="1"/>
  <c r="M250" i="1"/>
  <c r="M251" i="1"/>
  <c r="M252" i="1"/>
  <c r="M253" i="1"/>
  <c r="M254" i="1"/>
  <c r="M255" i="1"/>
  <c r="M257" i="1"/>
  <c r="M258" i="1"/>
  <c r="M259" i="1"/>
  <c r="M260" i="1"/>
  <c r="M262" i="1"/>
  <c r="M263" i="1"/>
  <c r="M266" i="1"/>
  <c r="M267" i="1"/>
  <c r="M268" i="1"/>
  <c r="M269" i="1"/>
  <c r="M270" i="1"/>
  <c r="M271" i="1"/>
  <c r="M273" i="1"/>
  <c r="M274" i="1"/>
  <c r="M275" i="1"/>
  <c r="M276" i="1"/>
  <c r="M278" i="1"/>
  <c r="M279" i="1"/>
  <c r="M280" i="1"/>
  <c r="M281" i="1"/>
  <c r="M282" i="1"/>
  <c r="M283" i="1"/>
  <c r="M284" i="1"/>
  <c r="M285" i="1"/>
  <c r="M286" i="1"/>
  <c r="M287" i="1"/>
  <c r="M288" i="1"/>
  <c r="M289" i="1"/>
  <c r="M290" i="1"/>
  <c r="M292" i="1"/>
  <c r="M293" i="1"/>
  <c r="M294" i="1"/>
  <c r="M298" i="1"/>
  <c r="M299" i="1"/>
  <c r="M300" i="1"/>
  <c r="M301" i="1"/>
  <c r="M302" i="1"/>
  <c r="M303" i="1"/>
  <c r="M304" i="1"/>
  <c r="M305" i="1"/>
  <c r="M306" i="1"/>
  <c r="M308" i="1"/>
  <c r="M309" i="1"/>
  <c r="M310" i="1"/>
  <c r="M311" i="1"/>
  <c r="M312" i="1"/>
  <c r="M313" i="1"/>
  <c r="M314" i="1"/>
  <c r="M315" i="1"/>
  <c r="M316" i="1"/>
  <c r="M317" i="1"/>
  <c r="M318" i="1"/>
  <c r="M319" i="1"/>
  <c r="M321" i="1"/>
  <c r="M322" i="1"/>
  <c r="M323" i="1"/>
  <c r="M324" i="1"/>
  <c r="M325" i="1"/>
  <c r="M326" i="1"/>
  <c r="M328" i="1"/>
  <c r="M329" i="1"/>
  <c r="M330" i="1"/>
  <c r="M332" i="1"/>
  <c r="M333" i="1"/>
  <c r="M334" i="1"/>
  <c r="M335" i="1"/>
  <c r="M336" i="1"/>
  <c r="M337" i="1"/>
  <c r="M338" i="1"/>
  <c r="M339" i="1"/>
  <c r="M340" i="1"/>
  <c r="M341" i="1"/>
  <c r="M342" i="1"/>
  <c r="M345" i="1"/>
  <c r="M346" i="1"/>
  <c r="M347" i="1"/>
  <c r="M348" i="1"/>
  <c r="M349" i="1"/>
  <c r="M350" i="1"/>
  <c r="M351" i="1"/>
  <c r="M352" i="1"/>
  <c r="M353" i="1"/>
  <c r="M355" i="1"/>
  <c r="M356" i="1"/>
  <c r="M357" i="1"/>
  <c r="M358" i="1"/>
  <c r="M360" i="1"/>
  <c r="M361" i="1"/>
  <c r="M364" i="1"/>
  <c r="M365" i="1"/>
  <c r="M366" i="1"/>
  <c r="M367" i="1"/>
  <c r="M368" i="1"/>
  <c r="M369" i="1"/>
  <c r="M371" i="1"/>
  <c r="M372" i="1"/>
  <c r="M373" i="1"/>
  <c r="M374" i="1"/>
  <c r="M376" i="1"/>
  <c r="M377" i="1"/>
  <c r="M378" i="1"/>
  <c r="M379" i="1"/>
  <c r="M380" i="1"/>
  <c r="M381" i="1"/>
  <c r="M382" i="1"/>
  <c r="M383" i="1"/>
  <c r="M384" i="1"/>
  <c r="M385" i="1"/>
  <c r="M386" i="1"/>
  <c r="M387" i="1"/>
  <c r="M388" i="1"/>
  <c r="M390" i="1"/>
  <c r="M391" i="1"/>
  <c r="M392" i="1"/>
  <c r="M396" i="1"/>
  <c r="M397" i="1"/>
  <c r="M398" i="1"/>
  <c r="M399" i="1"/>
  <c r="M400" i="1"/>
  <c r="M401" i="1"/>
  <c r="M402" i="1"/>
  <c r="M403" i="1"/>
  <c r="M406" i="1"/>
  <c r="M407" i="1"/>
  <c r="M408" i="1"/>
  <c r="M409" i="1"/>
  <c r="M410" i="1"/>
  <c r="M411" i="1"/>
  <c r="M412" i="1"/>
  <c r="M413" i="1"/>
  <c r="M414" i="1"/>
  <c r="M415" i="1"/>
  <c r="M416" i="1"/>
  <c r="M417" i="1"/>
  <c r="M419" i="1"/>
  <c r="M420" i="1"/>
  <c r="M421" i="1"/>
  <c r="M422" i="1"/>
  <c r="M423" i="1"/>
  <c r="M424" i="1"/>
  <c r="M426" i="1"/>
  <c r="M427" i="1"/>
  <c r="M428" i="1"/>
  <c r="M430" i="1"/>
  <c r="M431" i="1"/>
  <c r="M432" i="1"/>
  <c r="M433" i="1"/>
  <c r="M434" i="1"/>
  <c r="M435" i="1"/>
  <c r="M436" i="1"/>
  <c r="M437" i="1"/>
  <c r="M438" i="1"/>
  <c r="M439" i="1"/>
  <c r="M440" i="1"/>
  <c r="M443" i="1"/>
  <c r="M444" i="1"/>
  <c r="M445" i="1"/>
  <c r="M446" i="1"/>
  <c r="M447" i="1"/>
  <c r="M448" i="1"/>
  <c r="M449" i="1"/>
  <c r="M450" i="1"/>
  <c r="M451" i="1"/>
  <c r="M453" i="1"/>
  <c r="M454" i="1"/>
  <c r="M455" i="1"/>
  <c r="M456" i="1"/>
  <c r="M458" i="1"/>
  <c r="M459" i="1"/>
  <c r="M462" i="1"/>
  <c r="M463" i="1"/>
  <c r="M464" i="1"/>
  <c r="M465" i="1"/>
  <c r="M466" i="1"/>
  <c r="M467" i="1"/>
  <c r="M469" i="1"/>
  <c r="M470" i="1"/>
  <c r="M472" i="1"/>
  <c r="M474" i="1"/>
  <c r="M475" i="1"/>
  <c r="M476" i="1"/>
  <c r="M477" i="1"/>
  <c r="M478" i="1"/>
  <c r="M479" i="1"/>
  <c r="M480" i="1"/>
  <c r="M481" i="1"/>
  <c r="M482" i="1"/>
  <c r="M483" i="1"/>
  <c r="M484" i="1"/>
  <c r="M485" i="1"/>
  <c r="M486" i="1"/>
  <c r="M488" i="1"/>
  <c r="M489" i="1"/>
  <c r="M490" i="1"/>
  <c r="M494" i="1"/>
  <c r="M495" i="1"/>
  <c r="M496" i="1"/>
  <c r="M497" i="1"/>
  <c r="M498" i="1"/>
  <c r="M499" i="1"/>
  <c r="M500" i="1"/>
  <c r="M501" i="1"/>
  <c r="M504" i="1"/>
  <c r="M505" i="1"/>
  <c r="M506" i="1"/>
  <c r="M507" i="1"/>
  <c r="M508" i="1"/>
  <c r="M509" i="1"/>
  <c r="M510" i="1"/>
  <c r="M511" i="1"/>
  <c r="M512" i="1"/>
  <c r="M513" i="1"/>
  <c r="M514" i="1"/>
  <c r="M515" i="1"/>
  <c r="M517" i="1"/>
  <c r="M518" i="1"/>
  <c r="M519" i="1"/>
  <c r="M520" i="1"/>
  <c r="M521" i="1"/>
  <c r="M522" i="1"/>
  <c r="M524" i="1"/>
  <c r="M525" i="1"/>
  <c r="M526" i="1"/>
  <c r="M528" i="1"/>
  <c r="M529" i="1"/>
  <c r="M530" i="1"/>
  <c r="M532" i="1"/>
  <c r="M533" i="1"/>
  <c r="M534" i="1"/>
  <c r="M535" i="1"/>
  <c r="M536" i="1"/>
  <c r="M537" i="1"/>
  <c r="M538" i="1"/>
  <c r="M541" i="1"/>
  <c r="M542" i="1"/>
  <c r="M543" i="1"/>
  <c r="M544" i="1"/>
  <c r="M545" i="1"/>
  <c r="M546" i="1"/>
  <c r="M547" i="1"/>
  <c r="M548" i="1"/>
  <c r="M549" i="1"/>
  <c r="M551" i="1"/>
  <c r="M552" i="1"/>
  <c r="M553" i="1"/>
  <c r="M554" i="1"/>
  <c r="M556" i="1"/>
  <c r="M560" i="1"/>
  <c r="M561" i="1"/>
  <c r="M562" i="1"/>
  <c r="M563" i="1"/>
  <c r="M564" i="1"/>
  <c r="M565" i="1"/>
  <c r="M567" i="1"/>
  <c r="M568" i="1"/>
  <c r="M570" i="1"/>
  <c r="M572" i="1"/>
  <c r="M573" i="1"/>
  <c r="M574" i="1"/>
  <c r="M575" i="1"/>
  <c r="M576" i="1"/>
  <c r="M577" i="1"/>
  <c r="M578" i="1"/>
  <c r="M579" i="1"/>
  <c r="M580" i="1"/>
  <c r="M581" i="1"/>
  <c r="M582" i="1"/>
  <c r="M583" i="1"/>
  <c r="M584" i="1"/>
  <c r="M586" i="1"/>
  <c r="M587" i="1"/>
  <c r="M588" i="1"/>
  <c r="M592" i="1"/>
  <c r="M593" i="1"/>
  <c r="M594" i="1"/>
  <c r="M595" i="1"/>
  <c r="M596" i="1"/>
  <c r="M597" i="1"/>
  <c r="M598" i="1"/>
  <c r="M599" i="1"/>
  <c r="M602" i="1"/>
  <c r="M603" i="1"/>
  <c r="M604" i="1"/>
  <c r="M605" i="1"/>
  <c r="M607" i="1"/>
  <c r="M608" i="1"/>
  <c r="M609" i="1"/>
  <c r="M610" i="1"/>
  <c r="M611" i="1"/>
  <c r="M612" i="1"/>
  <c r="M613" i="1"/>
  <c r="M615" i="1"/>
  <c r="M616" i="1"/>
  <c r="M617" i="1"/>
  <c r="M618" i="1"/>
  <c r="M620" i="1"/>
  <c r="M622" i="1"/>
  <c r="M623" i="1"/>
  <c r="M624" i="1"/>
  <c r="M626" i="1"/>
  <c r="M627" i="1"/>
  <c r="M628" i="1"/>
  <c r="M630" i="1"/>
  <c r="M631" i="1"/>
  <c r="M632" i="1"/>
  <c r="M633" i="1"/>
  <c r="M634" i="1"/>
  <c r="M635" i="1"/>
  <c r="M636" i="1"/>
  <c r="M639" i="1"/>
  <c r="M640" i="1"/>
  <c r="M641" i="1"/>
  <c r="M642" i="1"/>
  <c r="M643" i="1"/>
  <c r="M644" i="1"/>
  <c r="M645" i="1"/>
  <c r="M646" i="1"/>
  <c r="M647" i="1"/>
  <c r="M649" i="1"/>
  <c r="M650" i="1"/>
  <c r="M651" i="1"/>
  <c r="M652" i="1"/>
  <c r="M654" i="1"/>
  <c r="M655" i="1"/>
  <c r="M658" i="1"/>
  <c r="M659" i="1"/>
  <c r="M660" i="1"/>
  <c r="M661" i="1"/>
  <c r="M662" i="1"/>
  <c r="M663" i="1"/>
  <c r="M665" i="1"/>
  <c r="M666" i="1"/>
  <c r="M668" i="1"/>
  <c r="M670" i="1"/>
  <c r="M671" i="1"/>
  <c r="M672" i="1"/>
  <c r="M673" i="1"/>
  <c r="M674" i="1"/>
  <c r="M675" i="1"/>
  <c r="M676" i="1"/>
  <c r="M677" i="1"/>
  <c r="M678" i="1"/>
  <c r="M679" i="1"/>
  <c r="M680" i="1"/>
  <c r="M681" i="1"/>
  <c r="M682" i="1"/>
  <c r="M684" i="1"/>
  <c r="M685" i="1"/>
  <c r="M686" i="1"/>
  <c r="M4" i="1"/>
  <c r="J6" i="1"/>
  <c r="J7" i="1"/>
  <c r="J8" i="1"/>
  <c r="J9" i="1"/>
  <c r="J10" i="1"/>
  <c r="J11" i="1"/>
  <c r="J12" i="1"/>
  <c r="J14" i="1"/>
  <c r="J15" i="1"/>
  <c r="J16" i="1"/>
  <c r="J17" i="1"/>
  <c r="J18" i="1"/>
  <c r="J19" i="1"/>
  <c r="J20" i="1"/>
  <c r="J21" i="1"/>
  <c r="J22" i="1"/>
  <c r="J23" i="1"/>
  <c r="J24" i="1"/>
  <c r="J25" i="1"/>
  <c r="J27" i="1"/>
  <c r="J28" i="1"/>
  <c r="J29" i="1"/>
  <c r="J30" i="1"/>
  <c r="J31" i="1"/>
  <c r="J32" i="1"/>
  <c r="J34" i="1"/>
  <c r="J35" i="1"/>
  <c r="J36" i="1"/>
  <c r="J38" i="1"/>
  <c r="J39" i="1"/>
  <c r="J40" i="1"/>
  <c r="J41" i="1"/>
  <c r="J42" i="1"/>
  <c r="J43" i="1"/>
  <c r="J44" i="1"/>
  <c r="J45" i="1"/>
  <c r="J46" i="1"/>
  <c r="J47" i="1"/>
  <c r="J48" i="1"/>
  <c r="J51" i="1"/>
  <c r="J52" i="1"/>
  <c r="J53" i="1"/>
  <c r="J54" i="1"/>
  <c r="J55" i="1"/>
  <c r="J56" i="1"/>
  <c r="J57" i="1"/>
  <c r="J58" i="1"/>
  <c r="J59" i="1"/>
  <c r="J61" i="1"/>
  <c r="J62" i="1"/>
  <c r="J63" i="1"/>
  <c r="J64" i="1"/>
  <c r="J66" i="1"/>
  <c r="J67" i="1"/>
  <c r="J70" i="1"/>
  <c r="J71" i="1"/>
  <c r="J72" i="1"/>
  <c r="J73" i="1"/>
  <c r="J74" i="1"/>
  <c r="J75" i="1"/>
  <c r="J77" i="1"/>
  <c r="J78" i="1"/>
  <c r="J79" i="1"/>
  <c r="J80" i="1"/>
  <c r="J82" i="1"/>
  <c r="J83" i="1"/>
  <c r="J84" i="1"/>
  <c r="J85" i="1"/>
  <c r="J86" i="1"/>
  <c r="J87" i="1"/>
  <c r="J88" i="1"/>
  <c r="J89" i="1"/>
  <c r="J90" i="1"/>
  <c r="J91" i="1"/>
  <c r="J92" i="1"/>
  <c r="J93" i="1"/>
  <c r="J94" i="1"/>
  <c r="J96" i="1"/>
  <c r="J97" i="1"/>
  <c r="J98" i="1"/>
  <c r="J102" i="1"/>
  <c r="J103" i="1"/>
  <c r="J104" i="1"/>
  <c r="J105" i="1"/>
  <c r="J106" i="1"/>
  <c r="J107" i="1"/>
  <c r="J108" i="1"/>
  <c r="J109" i="1"/>
  <c r="J110" i="1"/>
  <c r="J112" i="1"/>
  <c r="J113" i="1"/>
  <c r="J114" i="1"/>
  <c r="J115" i="1"/>
  <c r="J116" i="1"/>
  <c r="J117" i="1"/>
  <c r="J118" i="1"/>
  <c r="J119" i="1"/>
  <c r="J120" i="1"/>
  <c r="J121" i="1"/>
  <c r="J122" i="1"/>
  <c r="J123" i="1"/>
  <c r="J125" i="1"/>
  <c r="J126" i="1"/>
  <c r="J127" i="1"/>
  <c r="J128" i="1"/>
  <c r="J129" i="1"/>
  <c r="J130" i="1"/>
  <c r="J132" i="1"/>
  <c r="J133" i="1"/>
  <c r="J134" i="1"/>
  <c r="J136" i="1"/>
  <c r="J137" i="1"/>
  <c r="J138" i="1"/>
  <c r="J139" i="1"/>
  <c r="J140" i="1"/>
  <c r="J141" i="1"/>
  <c r="J142" i="1"/>
  <c r="J143" i="1"/>
  <c r="J144" i="1"/>
  <c r="J145" i="1"/>
  <c r="J146" i="1"/>
  <c r="J149" i="1"/>
  <c r="J150" i="1"/>
  <c r="J151" i="1"/>
  <c r="J152" i="1"/>
  <c r="J153" i="1"/>
  <c r="J155" i="1"/>
  <c r="J156" i="1"/>
  <c r="J157" i="1"/>
  <c r="J159" i="1"/>
  <c r="J160" i="1"/>
  <c r="J161" i="1"/>
  <c r="J162" i="1"/>
  <c r="J164" i="1"/>
  <c r="J165" i="1"/>
  <c r="J168" i="1"/>
  <c r="J169" i="1"/>
  <c r="J170" i="1"/>
  <c r="J171" i="1"/>
  <c r="J172" i="1"/>
  <c r="J173" i="1"/>
  <c r="J175" i="1"/>
  <c r="J176" i="1"/>
  <c r="J177" i="1"/>
  <c r="J178" i="1"/>
  <c r="J180" i="1"/>
  <c r="J181" i="1"/>
  <c r="J182" i="1"/>
  <c r="J183" i="1"/>
  <c r="J184" i="1"/>
  <c r="J185" i="1"/>
  <c r="J186" i="1"/>
  <c r="J187" i="1"/>
  <c r="J188" i="1"/>
  <c r="J189" i="1"/>
  <c r="J190" i="1"/>
  <c r="J191" i="1"/>
  <c r="J192" i="1"/>
  <c r="J194" i="1"/>
  <c r="J195" i="1"/>
  <c r="J196" i="1"/>
  <c r="J200" i="1"/>
  <c r="J201" i="1"/>
  <c r="J202" i="1"/>
  <c r="J203" i="1"/>
  <c r="J204" i="1"/>
  <c r="J205" i="1"/>
  <c r="J206" i="1"/>
  <c r="J207" i="1"/>
  <c r="J208" i="1"/>
  <c r="J210" i="1"/>
  <c r="J211" i="1"/>
  <c r="J212" i="1"/>
  <c r="J213" i="1"/>
  <c r="J214" i="1"/>
  <c r="J215" i="1"/>
  <c r="J216" i="1"/>
  <c r="J217" i="1"/>
  <c r="J218" i="1"/>
  <c r="J219" i="1"/>
  <c r="J220" i="1"/>
  <c r="J221" i="1"/>
  <c r="J223" i="1"/>
  <c r="J224" i="1"/>
  <c r="J225" i="1"/>
  <c r="J226" i="1"/>
  <c r="J227" i="1"/>
  <c r="J228" i="1"/>
  <c r="J230" i="1"/>
  <c r="J231" i="1"/>
  <c r="J232" i="1"/>
  <c r="J234" i="1"/>
  <c r="J235" i="1"/>
  <c r="J236" i="1"/>
  <c r="J237" i="1"/>
  <c r="J238" i="1"/>
  <c r="J239" i="1"/>
  <c r="J240" i="1"/>
  <c r="J241" i="1"/>
  <c r="J242" i="1"/>
  <c r="J243" i="1"/>
  <c r="J244" i="1"/>
  <c r="J247" i="1"/>
  <c r="J248" i="1"/>
  <c r="J249" i="1"/>
  <c r="J250" i="1"/>
  <c r="J251" i="1"/>
  <c r="J252" i="1"/>
  <c r="J253" i="1"/>
  <c r="J254" i="1"/>
  <c r="J255" i="1"/>
  <c r="J257" i="1"/>
  <c r="J258" i="1"/>
  <c r="J259" i="1"/>
  <c r="J260" i="1"/>
  <c r="J262" i="1"/>
  <c r="J263" i="1"/>
  <c r="J266" i="1"/>
  <c r="J267" i="1"/>
  <c r="J268" i="1"/>
  <c r="J269" i="1"/>
  <c r="J270" i="1"/>
  <c r="J271" i="1"/>
  <c r="J273" i="1"/>
  <c r="J274" i="1"/>
  <c r="J275" i="1"/>
  <c r="J276" i="1"/>
  <c r="J278" i="1"/>
  <c r="J279" i="1"/>
  <c r="J280" i="1"/>
  <c r="J281" i="1"/>
  <c r="J282" i="1"/>
  <c r="J283" i="1"/>
  <c r="J284" i="1"/>
  <c r="J285" i="1"/>
  <c r="J286" i="1"/>
  <c r="J287" i="1"/>
  <c r="J288" i="1"/>
  <c r="J289" i="1"/>
  <c r="J290" i="1"/>
  <c r="J292" i="1"/>
  <c r="J293" i="1"/>
  <c r="J294" i="1"/>
  <c r="J298" i="1"/>
  <c r="J299" i="1"/>
  <c r="J300" i="1"/>
  <c r="J301" i="1"/>
  <c r="J302" i="1"/>
  <c r="J303" i="1"/>
  <c r="J304" i="1"/>
  <c r="J305" i="1"/>
  <c r="J306" i="1"/>
  <c r="J308" i="1"/>
  <c r="J309" i="1"/>
  <c r="J310" i="1"/>
  <c r="J311" i="1"/>
  <c r="J312" i="1"/>
  <c r="J313" i="1"/>
  <c r="J314" i="1"/>
  <c r="J315" i="1"/>
  <c r="J316" i="1"/>
  <c r="J317" i="1"/>
  <c r="J318" i="1"/>
  <c r="J319" i="1"/>
  <c r="J321" i="1"/>
  <c r="J322" i="1"/>
  <c r="J323" i="1"/>
  <c r="J324" i="1"/>
  <c r="J325" i="1"/>
  <c r="J326" i="1"/>
  <c r="J328" i="1"/>
  <c r="J329" i="1"/>
  <c r="J330" i="1"/>
  <c r="J332" i="1"/>
  <c r="J333" i="1"/>
  <c r="J334" i="1"/>
  <c r="J335" i="1"/>
  <c r="J336" i="1"/>
  <c r="J337" i="1"/>
  <c r="J338" i="1"/>
  <c r="J339" i="1"/>
  <c r="J340" i="1"/>
  <c r="J341" i="1"/>
  <c r="J342" i="1"/>
  <c r="J345" i="1"/>
  <c r="J346" i="1"/>
  <c r="J347" i="1"/>
  <c r="J348" i="1"/>
  <c r="J349" i="1"/>
  <c r="J350" i="1"/>
  <c r="J351" i="1"/>
  <c r="J352" i="1"/>
  <c r="J353" i="1"/>
  <c r="J355" i="1"/>
  <c r="J356" i="1"/>
  <c r="J357" i="1"/>
  <c r="J358" i="1"/>
  <c r="J360" i="1"/>
  <c r="J361" i="1"/>
  <c r="J364" i="1"/>
  <c r="J365" i="1"/>
  <c r="J366" i="1"/>
  <c r="J367" i="1"/>
  <c r="J368" i="1"/>
  <c r="J369" i="1"/>
  <c r="J371" i="1"/>
  <c r="J372" i="1"/>
  <c r="J373" i="1"/>
  <c r="J374" i="1"/>
  <c r="J376" i="1"/>
  <c r="J377" i="1"/>
  <c r="J378" i="1"/>
  <c r="J379" i="1"/>
  <c r="J380" i="1"/>
  <c r="J381" i="1"/>
  <c r="J382" i="1"/>
  <c r="J383" i="1"/>
  <c r="J384" i="1"/>
  <c r="J385" i="1"/>
  <c r="J386" i="1"/>
  <c r="J387" i="1"/>
  <c r="J388" i="1"/>
  <c r="J390" i="1"/>
  <c r="J391" i="1"/>
  <c r="J392" i="1"/>
  <c r="J396" i="1"/>
  <c r="J397" i="1"/>
  <c r="J398" i="1"/>
  <c r="J399" i="1"/>
  <c r="J400" i="1"/>
  <c r="J401" i="1"/>
  <c r="J402" i="1"/>
  <c r="J403" i="1"/>
  <c r="J406" i="1"/>
  <c r="J407" i="1"/>
  <c r="J408" i="1"/>
  <c r="J409" i="1"/>
  <c r="J410" i="1"/>
  <c r="J411" i="1"/>
  <c r="J412" i="1"/>
  <c r="J413" i="1"/>
  <c r="J414" i="1"/>
  <c r="J415" i="1"/>
  <c r="J416" i="1"/>
  <c r="J417" i="1"/>
  <c r="J419" i="1"/>
  <c r="J420" i="1"/>
  <c r="J421" i="1"/>
  <c r="J422" i="1"/>
  <c r="J423" i="1"/>
  <c r="J424" i="1"/>
  <c r="J426" i="1"/>
  <c r="J427" i="1"/>
  <c r="J428" i="1"/>
  <c r="J430" i="1"/>
  <c r="J431" i="1"/>
  <c r="J432" i="1"/>
  <c r="J433" i="1"/>
  <c r="J434" i="1"/>
  <c r="J435" i="1"/>
  <c r="J436" i="1"/>
  <c r="J437" i="1"/>
  <c r="J438" i="1"/>
  <c r="J439" i="1"/>
  <c r="J440" i="1"/>
  <c r="J443" i="1"/>
  <c r="J444" i="1"/>
  <c r="J445" i="1"/>
  <c r="J446" i="1"/>
  <c r="J447" i="1"/>
  <c r="J448" i="1"/>
  <c r="J449" i="1"/>
  <c r="J450" i="1"/>
  <c r="J451" i="1"/>
  <c r="J453" i="1"/>
  <c r="J454" i="1"/>
  <c r="J455" i="1"/>
  <c r="J456" i="1"/>
  <c r="J458" i="1"/>
  <c r="J459" i="1"/>
  <c r="J462" i="1"/>
  <c r="J463" i="1"/>
  <c r="J464" i="1"/>
  <c r="J465" i="1"/>
  <c r="J466" i="1"/>
  <c r="J467" i="1"/>
  <c r="J469" i="1"/>
  <c r="J470" i="1"/>
  <c r="J472" i="1"/>
  <c r="J474" i="1"/>
  <c r="J475" i="1"/>
  <c r="J476" i="1"/>
  <c r="J477" i="1"/>
  <c r="J478" i="1"/>
  <c r="J479" i="1"/>
  <c r="J480" i="1"/>
  <c r="J481" i="1"/>
  <c r="J482" i="1"/>
  <c r="J483" i="1"/>
  <c r="J484" i="1"/>
  <c r="J485" i="1"/>
  <c r="J486" i="1"/>
  <c r="J488" i="1"/>
  <c r="J489" i="1"/>
  <c r="J490" i="1"/>
  <c r="J494" i="1"/>
  <c r="J495" i="1"/>
  <c r="J496" i="1"/>
  <c r="J497" i="1"/>
  <c r="J498" i="1"/>
  <c r="J499" i="1"/>
  <c r="J500" i="1"/>
  <c r="J501" i="1"/>
  <c r="J504" i="1"/>
  <c r="J505" i="1"/>
  <c r="J506" i="1"/>
  <c r="J507" i="1"/>
  <c r="J508" i="1"/>
  <c r="J509" i="1"/>
  <c r="J510" i="1"/>
  <c r="J511" i="1"/>
  <c r="J512" i="1"/>
  <c r="J513" i="1"/>
  <c r="J514" i="1"/>
  <c r="J515" i="1"/>
  <c r="J517" i="1"/>
  <c r="J518" i="1"/>
  <c r="J519" i="1"/>
  <c r="J520" i="1"/>
  <c r="J521" i="1"/>
  <c r="J522" i="1"/>
  <c r="J524" i="1"/>
  <c r="J525" i="1"/>
  <c r="J526" i="1"/>
  <c r="J528" i="1"/>
  <c r="J529" i="1"/>
  <c r="J530" i="1"/>
  <c r="J532" i="1"/>
  <c r="J533" i="1"/>
  <c r="J534" i="1"/>
  <c r="J535" i="1"/>
  <c r="J536" i="1"/>
  <c r="J537" i="1"/>
  <c r="J538" i="1"/>
  <c r="J541" i="1"/>
  <c r="J542" i="1"/>
  <c r="J543" i="1"/>
  <c r="J544" i="1"/>
  <c r="J545" i="1"/>
  <c r="J546" i="1"/>
  <c r="J547" i="1"/>
  <c r="J548" i="1"/>
  <c r="J549" i="1"/>
  <c r="J551" i="1"/>
  <c r="J552" i="1"/>
  <c r="J553" i="1"/>
  <c r="J554" i="1"/>
  <c r="J556" i="1"/>
  <c r="J560" i="1"/>
  <c r="J561" i="1"/>
  <c r="J562" i="1"/>
  <c r="J563" i="1"/>
  <c r="J564" i="1"/>
  <c r="J565" i="1"/>
  <c r="J567" i="1"/>
  <c r="J568" i="1"/>
  <c r="J570" i="1"/>
  <c r="J572" i="1"/>
  <c r="J573" i="1"/>
  <c r="J574" i="1"/>
  <c r="J575" i="1"/>
  <c r="J576" i="1"/>
  <c r="J577" i="1"/>
  <c r="J578" i="1"/>
  <c r="J579" i="1"/>
  <c r="J580" i="1"/>
  <c r="J581" i="1"/>
  <c r="J582" i="1"/>
  <c r="J583" i="1"/>
  <c r="J584" i="1"/>
  <c r="J586" i="1"/>
  <c r="J587" i="1"/>
  <c r="J588" i="1"/>
  <c r="J592" i="1"/>
  <c r="J593" i="1"/>
  <c r="J594" i="1"/>
  <c r="J595" i="1"/>
  <c r="J596" i="1"/>
  <c r="J597" i="1"/>
  <c r="J598" i="1"/>
  <c r="J599" i="1"/>
  <c r="J602" i="1"/>
  <c r="J603" i="1"/>
  <c r="J604" i="1"/>
  <c r="J605" i="1"/>
  <c r="J607" i="1"/>
  <c r="J608" i="1"/>
  <c r="J609" i="1"/>
  <c r="J610" i="1"/>
  <c r="J611" i="1"/>
  <c r="J612" i="1"/>
  <c r="J613" i="1"/>
  <c r="J615" i="1"/>
  <c r="J616" i="1"/>
  <c r="J617" i="1"/>
  <c r="J618" i="1"/>
  <c r="J620" i="1"/>
  <c r="J622" i="1"/>
  <c r="J623" i="1"/>
  <c r="J624" i="1"/>
  <c r="J626" i="1"/>
  <c r="J627" i="1"/>
  <c r="J628" i="1"/>
  <c r="J630" i="1"/>
  <c r="J631" i="1"/>
  <c r="J632" i="1"/>
  <c r="J633" i="1"/>
  <c r="J634" i="1"/>
  <c r="J635" i="1"/>
  <c r="J636" i="1"/>
  <c r="J639" i="1"/>
  <c r="J640" i="1"/>
  <c r="J641" i="1"/>
  <c r="J642" i="1"/>
  <c r="J643" i="1"/>
  <c r="J644" i="1"/>
  <c r="J645" i="1"/>
  <c r="J646" i="1"/>
  <c r="J647" i="1"/>
  <c r="J649" i="1"/>
  <c r="J650" i="1"/>
  <c r="J651" i="1"/>
  <c r="J652" i="1"/>
  <c r="J654" i="1"/>
  <c r="J655" i="1"/>
  <c r="J658" i="1"/>
  <c r="J659" i="1"/>
  <c r="J660" i="1"/>
  <c r="J661" i="1"/>
  <c r="J662" i="1"/>
  <c r="J663" i="1"/>
  <c r="J665" i="1"/>
  <c r="J666" i="1"/>
  <c r="J668" i="1"/>
  <c r="J670" i="1"/>
  <c r="J671" i="1"/>
  <c r="J672" i="1"/>
  <c r="J673" i="1"/>
  <c r="J674" i="1"/>
  <c r="J675" i="1"/>
  <c r="J676" i="1"/>
  <c r="J677" i="1"/>
  <c r="J678" i="1"/>
  <c r="J679" i="1"/>
  <c r="J680" i="1"/>
  <c r="J681" i="1"/>
  <c r="J682" i="1"/>
  <c r="J684" i="1"/>
  <c r="J685" i="1"/>
  <c r="J686" i="1"/>
  <c r="J5" i="1"/>
  <c r="J4" i="1"/>
</calcChain>
</file>

<file path=xl/sharedStrings.xml><?xml version="1.0" encoding="utf-8"?>
<sst xmlns="http://schemas.openxmlformats.org/spreadsheetml/2006/main" count="5943" uniqueCount="324">
  <si>
    <t>plot</t>
  </si>
  <si>
    <t>depthU</t>
  </si>
  <si>
    <t>depthL</t>
  </si>
  <si>
    <t>year</t>
  </si>
  <si>
    <t>B1A01</t>
  </si>
  <si>
    <t>B1A02</t>
  </si>
  <si>
    <t>B1A03</t>
  </si>
  <si>
    <t>B1A04</t>
  </si>
  <si>
    <t>B1A05</t>
  </si>
  <si>
    <t>B1A06</t>
  </si>
  <si>
    <t>B1A07</t>
  </si>
  <si>
    <t>B1A08</t>
  </si>
  <si>
    <t>B1A09</t>
  </si>
  <si>
    <t>B1A11</t>
  </si>
  <si>
    <t>B1A12</t>
  </si>
  <si>
    <t>B1A13</t>
  </si>
  <si>
    <t>B1A14</t>
  </si>
  <si>
    <t>B1A15</t>
  </si>
  <si>
    <t>B1A16</t>
  </si>
  <si>
    <t>B1A17</t>
  </si>
  <si>
    <t>B1A18</t>
  </si>
  <si>
    <t>B1A19</t>
  </si>
  <si>
    <t>B1A20</t>
  </si>
  <si>
    <t>B1A21</t>
  </si>
  <si>
    <t>B1A22</t>
  </si>
  <si>
    <t>B2A01</t>
  </si>
  <si>
    <t>B2A02</t>
  </si>
  <si>
    <t>B2A03</t>
  </si>
  <si>
    <t>B2A04</t>
  </si>
  <si>
    <t>B2A05</t>
  </si>
  <si>
    <t>B2A06</t>
  </si>
  <si>
    <t>B2A08</t>
  </si>
  <si>
    <t>B2A09</t>
  </si>
  <si>
    <t>B2A10</t>
  </si>
  <si>
    <t>B2A12</t>
  </si>
  <si>
    <t>B2A13</t>
  </si>
  <si>
    <t>B2A14</t>
  </si>
  <si>
    <t>B2A15</t>
  </si>
  <si>
    <t>B2A16</t>
  </si>
  <si>
    <t>B2A17</t>
  </si>
  <si>
    <t>B2A18</t>
  </si>
  <si>
    <t>B2A19</t>
  </si>
  <si>
    <t>B2A20</t>
  </si>
  <si>
    <t>B2A21</t>
  </si>
  <si>
    <t>B2A22</t>
  </si>
  <si>
    <t>B3A01</t>
  </si>
  <si>
    <t>B3A02</t>
  </si>
  <si>
    <t>B3A03</t>
  </si>
  <si>
    <t>B3A04</t>
  </si>
  <si>
    <t>B3A05</t>
  </si>
  <si>
    <t>B3A06</t>
  </si>
  <si>
    <t>B3A07</t>
  </si>
  <si>
    <t>B3A08</t>
  </si>
  <si>
    <t>B3A09</t>
  </si>
  <si>
    <t>B3A11</t>
  </si>
  <si>
    <t>B3A12</t>
  </si>
  <si>
    <t>B3A13</t>
  </si>
  <si>
    <t>B3A14</t>
  </si>
  <si>
    <t>B3A16</t>
  </si>
  <si>
    <t>B3A17</t>
  </si>
  <si>
    <t>B3A19</t>
  </si>
  <si>
    <t>B3A20</t>
  </si>
  <si>
    <t>B3A21</t>
  </si>
  <si>
    <t>B3A22</t>
  </si>
  <si>
    <t>B3A23</t>
  </si>
  <si>
    <t>B3A24</t>
  </si>
  <si>
    <t>B4A01</t>
  </si>
  <si>
    <t>B4A02</t>
  </si>
  <si>
    <t>B4A03</t>
  </si>
  <si>
    <t>B4A04</t>
  </si>
  <si>
    <t>B4A06</t>
  </si>
  <si>
    <t>B4A07</t>
  </si>
  <si>
    <t>B4A08</t>
  </si>
  <si>
    <t>B4A09</t>
  </si>
  <si>
    <t>B4A10</t>
  </si>
  <si>
    <t>B4A11</t>
  </si>
  <si>
    <t>B4A12</t>
  </si>
  <si>
    <t>B4A13</t>
  </si>
  <si>
    <t>B4A14</t>
  </si>
  <si>
    <t>B4A15</t>
  </si>
  <si>
    <t>B4A16</t>
  </si>
  <si>
    <t>B4A17</t>
  </si>
  <si>
    <t>B4A18</t>
  </si>
  <si>
    <t>B4A20</t>
  </si>
  <si>
    <t>B4A21</t>
  </si>
  <si>
    <t>B4A22</t>
  </si>
  <si>
    <t>B1A23</t>
  </si>
  <si>
    <t>B3A25</t>
  </si>
  <si>
    <t>B2A11</t>
  </si>
  <si>
    <t>B4A19</t>
  </si>
  <si>
    <t>B0A01</t>
  </si>
  <si>
    <t>B0A02</t>
  </si>
  <si>
    <t>B3A15</t>
  </si>
  <si>
    <t>B4A23</t>
  </si>
  <si>
    <t>B2A23</t>
  </si>
  <si>
    <t>B2A23a</t>
  </si>
  <si>
    <t>B3A18</t>
  </si>
  <si>
    <t>B3A18a</t>
  </si>
  <si>
    <t>B1A10</t>
  </si>
  <si>
    <t>B2A07</t>
  </si>
  <si>
    <t>B3A10</t>
  </si>
  <si>
    <t>B4A05</t>
  </si>
  <si>
    <t>Month_MowAndWeed_Biomass</t>
  </si>
  <si>
    <t>Dummy_Month_Mowing</t>
  </si>
  <si>
    <t>sowndiv</t>
  </si>
  <si>
    <t>func.group</t>
  </si>
  <si>
    <t>numgrass</t>
  </si>
  <si>
    <t>numsherb</t>
  </si>
  <si>
    <t>numtherb</t>
  </si>
  <si>
    <t>numleg</t>
  </si>
  <si>
    <t>September</t>
  </si>
  <si>
    <t>16</t>
  </si>
  <si>
    <t>4</t>
  </si>
  <si>
    <t>8</t>
  </si>
  <si>
    <t>2</t>
  </si>
  <si>
    <t>0</t>
  </si>
  <si>
    <t>3</t>
  </si>
  <si>
    <t>1</t>
  </si>
  <si>
    <t>6</t>
  </si>
  <si>
    <t>5</t>
  </si>
  <si>
    <t>60</t>
  </si>
  <si>
    <t>12</t>
  </si>
  <si>
    <t>20</t>
  </si>
  <si>
    <t>May</t>
  </si>
  <si>
    <t>June</t>
  </si>
  <si>
    <t>Ref_South</t>
  </si>
  <si>
    <t>Ref_North</t>
  </si>
  <si>
    <t>reference_east_agriculture</t>
  </si>
  <si>
    <t>Bareground</t>
  </si>
  <si>
    <t>Succession_Mowing</t>
  </si>
  <si>
    <t/>
  </si>
  <si>
    <t>C4</t>
  </si>
  <si>
    <t>Succession</t>
  </si>
  <si>
    <t>reference_west_agriculture</t>
  </si>
  <si>
    <t>Abandoned</t>
  </si>
  <si>
    <t>Cinorg_Soil (g/kg)</t>
  </si>
  <si>
    <t>bareground</t>
  </si>
  <si>
    <t>year_id</t>
  </si>
  <si>
    <t>plot_id</t>
  </si>
  <si>
    <t>Biomass_woL</t>
  </si>
  <si>
    <t>Biomass_wiL</t>
  </si>
  <si>
    <t>Biomass with Legumes</t>
  </si>
  <si>
    <t>Biomass without Legumes</t>
  </si>
  <si>
    <t>plotcode</t>
  </si>
  <si>
    <t>mixcode</t>
  </si>
  <si>
    <t>block</t>
  </si>
  <si>
    <t>composition</t>
  </si>
  <si>
    <t>S16M12</t>
  </si>
  <si>
    <t>B1</t>
  </si>
  <si>
    <t>Ant.odo|Ave.pub|Bro.hor|Poa.pra|Aju.rep|Pla.lan|Ran.rep|Tar.off|Ant.syl|Car.car|Ger.pra|Tra.pra|Lat.pra|Lot.cor|Tri.cam|Vic.cra</t>
  </si>
  <si>
    <t>S08M07</t>
  </si>
  <si>
    <t>Alo.pra|Bro.ere|Fes.rub|Phl.pra|Car.pra|Her.sph|Ran.acr|San.off</t>
  </si>
  <si>
    <t>S08M11</t>
  </si>
  <si>
    <t>Cyn.cri|Phl.pra|Tri.fla|Gle.hed|Pri.ver|Ver.cha|Lot.cor|Med.lup</t>
  </si>
  <si>
    <t>S04M16</t>
  </si>
  <si>
    <t>Fes.pra|Pla.lan|Cam.pat|Ono.vic</t>
  </si>
  <si>
    <t>S02M07</t>
  </si>
  <si>
    <t>Med.lup|Ono.vic</t>
  </si>
  <si>
    <t>S16M03</t>
  </si>
  <si>
    <t>Alo.pra|Ant.odo|Ave.pub|Bro.hor|Hol.lan|Poa.pra|Poa.tri|Tri.fla|Ach.mil|Ant.syl|Cam.pat|Cen.jac|Ger.pra|Her.sph|Leu.vul|Pim.maj</t>
  </si>
  <si>
    <t>S02M06</t>
  </si>
  <si>
    <t>Ran.acr|San.off</t>
  </si>
  <si>
    <t>S01M16</t>
  </si>
  <si>
    <t>Med.var</t>
  </si>
  <si>
    <t>S01M01</t>
  </si>
  <si>
    <t>Cyn.cri</t>
  </si>
  <si>
    <t>S00M01</t>
  </si>
  <si>
    <t>S16M14</t>
  </si>
  <si>
    <t>Ach.mil|Ant.syl|Cam.pat|Car.pra|Cir.ole|Cre.bie|Dau.car|Gal.mol|Ger.pra|Her.sph|Leu.vul|Pas.sat|Ran.acr|Rum.ace|San.off|Tra.pra</t>
  </si>
  <si>
    <t>S08M04</t>
  </si>
  <si>
    <t>Lat.pra|Med.lup|Med.var|Ono.vic|Tri.cam|Tri.dub|Tri.hyb|Tri.pra</t>
  </si>
  <si>
    <t>S04M04</t>
  </si>
  <si>
    <t>Lot.cor|Med.lup|Med.var|Ono.vic</t>
  </si>
  <si>
    <t>S08M15</t>
  </si>
  <si>
    <t>Luz.cam|Tri.fla|Leo.his|Pla.lan|Ant.syl|Dau.car|Tri.cam|Tri.fra</t>
  </si>
  <si>
    <t>S01M11</t>
  </si>
  <si>
    <t>Cre.bie</t>
  </si>
  <si>
    <t>S02M10</t>
  </si>
  <si>
    <t>Poa.pra|Pla.lan</t>
  </si>
  <si>
    <t>S02M14</t>
  </si>
  <si>
    <t>Alo.pra|Dau.car</t>
  </si>
  <si>
    <t>S01M07</t>
  </si>
  <si>
    <t>Pru.vul</t>
  </si>
  <si>
    <t>S04M09</t>
  </si>
  <si>
    <t>Arr.ela|Luz.cam|Pru.vul|Cam.pat</t>
  </si>
  <si>
    <t>S16M08</t>
  </si>
  <si>
    <t>Aju.rep|Bel.per|Leo.aut|Leo.his|Pla.lan|Ver.cha|Ach.mil|Ger.pra|Kna.arv|Ran.acr|San.off|Lot.cor|Med.var|Ono.vic|Tri.hyb|Tri.rep</t>
  </si>
  <si>
    <t>S04M07</t>
  </si>
  <si>
    <t>Fes.pra|Luz.cam|Ach.mil|Cre.bie</t>
  </si>
  <si>
    <t>S60M01</t>
  </si>
  <si>
    <t>Alo.pra|Ant.odo|Arr.ela|Ave.pub|Bro.ere|Bro.hor|Cyn.cri|Dac.glo|Fes.pra|Fes.rub|Hol.lan|Luz.cam|Phl.pra|Poa.pra|Poa.tri|Tri.fla|Aju.rep|Bel.per|Gle.hed|Leo.aut|Leo.his|Pla.lan|Pla.med|Pri.ver|Pru.vul|Ran.rep|Tar.off|Ver.cha|Ach.mil|Ant.syl|Cam.pat|Car.pra|Car.car|Cen.jac|Cir.ole|Cre.bie|Dau.car|Gal.mol|Ger.pra|Her.sph|Kna.arv|Leu.vul|Pas.sat|Pim.maj|Ran.acr|Rum.ace|San.off|Tra.pra|Lat.pra|Lot.cor|Med.lup|Med.var|Ono.vic|Tri.cam|Tri.dub|Tri.fra|Tri.hyb|Tri.pra|Tri.rep|Vic.cra</t>
  </si>
  <si>
    <t>S04M15</t>
  </si>
  <si>
    <t>B2</t>
  </si>
  <si>
    <t>Ant.odo|Pru.vul|Kna.arv|Tri.pra</t>
  </si>
  <si>
    <t>S02M02</t>
  </si>
  <si>
    <t>Fes.rub|Tri.fla</t>
  </si>
  <si>
    <t>S01M10</t>
  </si>
  <si>
    <t>Ger.pra</t>
  </si>
  <si>
    <t>S01M02</t>
  </si>
  <si>
    <t>Fes.pra</t>
  </si>
  <si>
    <t>S04M08</t>
  </si>
  <si>
    <t>Pla.lan|Tar.off|Lat.pra|Med.lup</t>
  </si>
  <si>
    <t>S02M11</t>
  </si>
  <si>
    <t>Ran.acr|Tri.cam</t>
  </si>
  <si>
    <t>S04M02</t>
  </si>
  <si>
    <t>Aju.rep|Pla.lan|Pri.ver|Pru.vul</t>
  </si>
  <si>
    <t>S16M01</t>
  </si>
  <si>
    <t>Alo.pra|Ant.odo|Arr.ela|Bro.ere|Fes.pra|Hol.lan|Phl.pra|Poa.pra|Bel.per|Leo.aut|Leo.his|Pla.lan|Pri.ver|Pru.vul|Ran.rep|Ver.cha</t>
  </si>
  <si>
    <t>S99M02</t>
  </si>
  <si>
    <t>SuccessionAndMowing</t>
  </si>
  <si>
    <t>S08M03</t>
  </si>
  <si>
    <t>Ant.syl|Gal.mol|Ger.pra|Her.sph|Kna.arv|Leu.vul|Ran.acr|San.off</t>
  </si>
  <si>
    <t>S01M05</t>
  </si>
  <si>
    <t>Pla.lan</t>
  </si>
  <si>
    <t>S08M13</t>
  </si>
  <si>
    <t>Luz.cam|Phl.pra|Leo.his|Ver.cha|Kna.arv|San.off|Tri.dub|Tri.hyb</t>
  </si>
  <si>
    <t>S01M15</t>
  </si>
  <si>
    <t>Ono.vic</t>
  </si>
  <si>
    <t>S04M12</t>
  </si>
  <si>
    <t>Leo.aut|Pla.med|Kna.arv|Vic.cra</t>
  </si>
  <si>
    <t>S08M08</t>
  </si>
  <si>
    <t>Gle.hed|Leo.aut|Pla.med|Tar.off|Lat.pra|Tri.cam|Tri.fra|Vic.cra</t>
  </si>
  <si>
    <t>S16M11</t>
  </si>
  <si>
    <t>Alo.pra|Bro.hor|Cyn.cri|Poa.pra|Aju.rep|Pla.med|Pri.ver|Ran.rep|Ant.syl|Cam.pat|Car.pra|Ger.pra|Med.lup|Tri.cam|Tri.dub|Tri.rep</t>
  </si>
  <si>
    <t>S02M03</t>
  </si>
  <si>
    <t>Pla.med|Tar.off</t>
  </si>
  <si>
    <t>S02M16</t>
  </si>
  <si>
    <t>Pla.lan|Tri.dub</t>
  </si>
  <si>
    <t>S08M12</t>
  </si>
  <si>
    <t>Leo.his|Pla.med|Cre.bie|Gal.mol|San.off|Lot.cor|Med.lup|Ono.vic</t>
  </si>
  <si>
    <t>S16M06</t>
  </si>
  <si>
    <t>Cyn.cri|Fes.pra|Phl.pra|Poa.tri|Tri.fla|Ach.mil|Cam.pat|Cen.jac|Rum.ace|San.off|Lat.pra|Lot.cor|Ono.vic|Tri.hyb|Tri.rep|Vic.cra</t>
  </si>
  <si>
    <t>S99M04</t>
  </si>
  <si>
    <t>S01M12</t>
  </si>
  <si>
    <t>B3</t>
  </si>
  <si>
    <t>Gal.mol</t>
  </si>
  <si>
    <t>S02M13</t>
  </si>
  <si>
    <t>Fes.pra|Car.car</t>
  </si>
  <si>
    <t>S04M11</t>
  </si>
  <si>
    <t>Phl.pra|Pla.med|Tri.hyb|Vic.cra</t>
  </si>
  <si>
    <t>S08M01</t>
  </si>
  <si>
    <t>Alo.pra|Arr.ela|Cyn.cri|Dac.glo|Fes.rub|Hol.lan|Poa.tri|Tri.fla</t>
  </si>
  <si>
    <t>S08M10</t>
  </si>
  <si>
    <t>Ant.odo|Bro.ere|Poa.tri|Ant.syl|Leu.vul|Lot.cor|Ono.vic|Tri.hyb</t>
  </si>
  <si>
    <t>S01M03</t>
  </si>
  <si>
    <t>Fes.rub</t>
  </si>
  <si>
    <t>S08M16</t>
  </si>
  <si>
    <t>Bro.hor|Hol.lan|Pri.ver|Ran.rep|Her.sph|Leu.vul|Med.lup|Ono.vic</t>
  </si>
  <si>
    <t>S02M01</t>
  </si>
  <si>
    <t>Dac.glo|Fes.pra</t>
  </si>
  <si>
    <t>S16M13</t>
  </si>
  <si>
    <t>Alo.pra|Ant.odo|Arr.ela|Ave.pub|Bro.ere|Bro.hor|Cyn.cri|Dac.glo|Fes.pra|Fes.rub|Hol.lan|Luz.cam|Phl.pra|Poa.pra|Poa.tri|Tri.fla</t>
  </si>
  <si>
    <t>S04M05</t>
  </si>
  <si>
    <t>Bro.ere|Poa.tri|Pla.lan|Pru.vul</t>
  </si>
  <si>
    <t>S01M13</t>
  </si>
  <si>
    <t>Lat.pra</t>
  </si>
  <si>
    <t>S04M01</t>
  </si>
  <si>
    <t>Alo.pra|Ant.odo|Bro.ere|Poa.tri</t>
  </si>
  <si>
    <t>S99M03</t>
  </si>
  <si>
    <t>FreeSuccession</t>
  </si>
  <si>
    <t>S16M04</t>
  </si>
  <si>
    <t>Aju.rep|Gle.hed|Leo.his|Pla.med|Pru.vul|Ran.rep|Tar.off|Ver.cha|Lat.pra|Med.lup|Ono.vic|Tri.cam|Tri.fra|Tri.hyb|Tri.rep|Vic.cra</t>
  </si>
  <si>
    <t>S01M08</t>
  </si>
  <si>
    <t>Ver.cha</t>
  </si>
  <si>
    <t>S02M09</t>
  </si>
  <si>
    <t>Tri.fla|Tar.off</t>
  </si>
  <si>
    <t>S08M06</t>
  </si>
  <si>
    <t>Cam.pat|Car.pra|Her.sph|Kna.arv|Lot.cor|Tri.cam|Tri.fra|Tri.hyb</t>
  </si>
  <si>
    <t>S02M08</t>
  </si>
  <si>
    <t>Lot.cor|Tri.pra</t>
  </si>
  <si>
    <t>S16M10</t>
  </si>
  <si>
    <t>Ant.odo|Bro.ere|Fes.rub|Phl.pra|Aju.rep|Bel.per|Ran.rep|Ver.cha|Cre.bie|Gal.mol|Ger.pra|Rum.ace|Ono.vic|Tri.dub|Tri.fra|Vic.cra</t>
  </si>
  <si>
    <t>S04M13</t>
  </si>
  <si>
    <t>Bro.hor|Ran.rep|Leu.vul|Tri.fra</t>
  </si>
  <si>
    <t>S16M07</t>
  </si>
  <si>
    <t>Ant.odo|Arr.ela|Ave.pub|Bro.hor|Fes.pra|Poa.tri|Aju.rep|Gle.hed|Pru.vul|Ran.rep|Tar.off|Lot.cor|Med.var|Tri.pra|Tri.rep|Vic.cra</t>
  </si>
  <si>
    <t>B4</t>
  </si>
  <si>
    <t>S16M05</t>
  </si>
  <si>
    <t>Arr.ela|Cyn.cri|Luz.cam|Phl.pra|Poa.pra|Gle.hed|Leo.his|Pla.med|Ran.rep|Tar.off|Ant.syl|Gal.mol|Her.sph|Kna.arv|Pas.sat|Ran.acr</t>
  </si>
  <si>
    <t>S01M06</t>
  </si>
  <si>
    <t>Bel.per</t>
  </si>
  <si>
    <t>S04M14</t>
  </si>
  <si>
    <t>Arr.ela|Pla.lan|Ant.syl|Tri.cam</t>
  </si>
  <si>
    <t>S08M02</t>
  </si>
  <si>
    <t>Aju.rep|Bel.per|Gle.hed|Leo.aut|Pri.ver|Pru.vul|Tar.off|Ver.cha</t>
  </si>
  <si>
    <t>S04M06</t>
  </si>
  <si>
    <t>Car.pra|Cre.bie|Med.lup|Tri.rep</t>
  </si>
  <si>
    <t>S08M05</t>
  </si>
  <si>
    <t>Ant.odo|Ave.pub|Bro.hor|Fes.rub|Aju.rep|Pla.lan|Tar.off|Ver.cha</t>
  </si>
  <si>
    <t>S01M14</t>
  </si>
  <si>
    <t>Tri.rep</t>
  </si>
  <si>
    <t>S08M09</t>
  </si>
  <si>
    <t>Bro.ere|Fes.pra|Aju.rep|Pla.med|Pri.ver|Ach.mil|Car.car|Pim.maj</t>
  </si>
  <si>
    <t>S04M10</t>
  </si>
  <si>
    <t>Tri.fla|Her.sph|Tra.pra|Med.var</t>
  </si>
  <si>
    <t>S01M04</t>
  </si>
  <si>
    <t>Poa.pra</t>
  </si>
  <si>
    <t>S01M09</t>
  </si>
  <si>
    <t>Cir.ole</t>
  </si>
  <si>
    <t>S02M04</t>
  </si>
  <si>
    <t>Bel.per|Pla.lan</t>
  </si>
  <si>
    <t>S02M15</t>
  </si>
  <si>
    <t>Ran.rep|Med.lup</t>
  </si>
  <si>
    <t>S08M14</t>
  </si>
  <si>
    <t>Phl.pra|Poa.tri|Pri.ver|Tar.off|Ant.syl|San.off|Tri.dub|Tri.fra</t>
  </si>
  <si>
    <t>S02M05</t>
  </si>
  <si>
    <t>Dau.car|Her.sph</t>
  </si>
  <si>
    <t>S16M09</t>
  </si>
  <si>
    <t>Alo.pra|Bro.hor|Cyn.cri|Luz.cam|Leo.aut|Pla.med|Tar.off|Ver.cha|Car.car|Cre.bie|Her.sph|Pim.maj|Lat.pra|Ono.vic|Tri.cam|Tri.hyb</t>
  </si>
  <si>
    <t>S16M02</t>
  </si>
  <si>
    <t>Ant.syl|Cam.pat|Car.pra|Cen.jac|Cir.ole|Ger.pra|Rum.ace|Tra.pra|Med.var|Tri.cam|Tri.dub|Tri.fra|Tri.hyb|Tri.pra|Tri.rep|Vic.cra</t>
  </si>
  <si>
    <t>S02M12</t>
  </si>
  <si>
    <t>Dau.car|Med.var</t>
  </si>
  <si>
    <t>S04M03</t>
  </si>
  <si>
    <t>Cam.pat|Car.pra|Ger.pra|Kna.arv</t>
  </si>
  <si>
    <t>reference_plot_south</t>
  </si>
  <si>
    <t>B0</t>
  </si>
  <si>
    <t>reference_plot_north</t>
  </si>
  <si>
    <t>Costs per km2</t>
  </si>
  <si>
    <t>Biomass_g/km2</t>
  </si>
  <si>
    <t>SOC_g/kt</t>
  </si>
  <si>
    <t>Corg_Soil (t/kt)</t>
  </si>
  <si>
    <t>Sown plant biom [t/km2]</t>
  </si>
  <si>
    <t>Costs TEUR/km2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</si>
</sst>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sz val="11"/>
      <color theme="1"/>
      <name val="Calibri"/>
      <family val="2"/>
      <scheme val="minor"/>
    </font>
    <font>
      <b/>
      <sz val="11"/>
      <color rgb="FF3F3F3F"/>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rgb="FFF2F2F2"/>
      </patternFill>
    </fill>
    <fill>
      <patternFill patternType="solid">
        <fgColor theme="9" tint="0.39997558519241921"/>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s>
  <cellStyleXfs count="3">
    <xf numFmtId="0" fontId="0" fillId="0" borderId="0"/>
    <xf numFmtId="0" fontId="3" fillId="3" borderId="2" applyNumberFormat="0" applyAlignment="0" applyProtection="0"/>
    <xf numFmtId="0" fontId="2" fillId="4" borderId="0" applyNumberFormat="0" applyBorder="0" applyAlignment="0" applyProtection="0"/>
  </cellStyleXfs>
  <cellXfs count="23">
    <xf numFmtId="0" fontId="0" fillId="0" borderId="0" xfId="0"/>
    <xf numFmtId="0" fontId="0" fillId="2" borderId="1" xfId="0" applyFill="1" applyBorder="1"/>
    <xf numFmtId="2" fontId="0" fillId="2" borderId="1" xfId="0" applyNumberFormat="1" applyFill="1" applyBorder="1" applyProtection="1">
      <protection locked="0"/>
    </xf>
    <xf numFmtId="0" fontId="1" fillId="0" borderId="1" xfId="0" applyFont="1" applyBorder="1"/>
    <xf numFmtId="0" fontId="0" fillId="0" borderId="1" xfId="0" applyBorder="1"/>
    <xf numFmtId="49" fontId="1" fillId="0" borderId="1" xfId="0" applyNumberFormat="1" applyFont="1" applyBorder="1" applyProtection="1">
      <protection locked="0"/>
    </xf>
    <xf numFmtId="2" fontId="0" fillId="0" borderId="1" xfId="0" applyNumberFormat="1" applyBorder="1" applyProtection="1">
      <protection locked="0"/>
    </xf>
    <xf numFmtId="1" fontId="0" fillId="0" borderId="1" xfId="0" applyNumberFormat="1" applyBorder="1" applyProtection="1">
      <protection locked="0"/>
    </xf>
    <xf numFmtId="49" fontId="0" fillId="0" borderId="1" xfId="0" applyNumberFormat="1" applyBorder="1" applyProtection="1">
      <protection locked="0"/>
    </xf>
    <xf numFmtId="0" fontId="0" fillId="0" borderId="1" xfId="0" applyNumberFormat="1" applyBorder="1"/>
    <xf numFmtId="0" fontId="0" fillId="0" borderId="1" xfId="0" applyNumberFormat="1" applyBorder="1" applyProtection="1">
      <protection locked="0"/>
    </xf>
    <xf numFmtId="49" fontId="0" fillId="0" borderId="0" xfId="0" applyNumberFormat="1" applyProtection="1">
      <protection locked="0"/>
    </xf>
    <xf numFmtId="0" fontId="2" fillId="4" borderId="1" xfId="2" applyBorder="1"/>
    <xf numFmtId="0" fontId="3" fillId="3" borderId="1" xfId="1" applyBorder="1"/>
    <xf numFmtId="0" fontId="0" fillId="0" borderId="1" xfId="0" applyNumberFormat="1" applyFill="1" applyBorder="1"/>
    <xf numFmtId="0" fontId="0" fillId="0" borderId="1" xfId="0" applyNumberFormat="1" applyFill="1" applyBorder="1" applyProtection="1">
      <protection locked="0"/>
    </xf>
    <xf numFmtId="0" fontId="2" fillId="4" borderId="1" xfId="2" applyNumberFormat="1" applyBorder="1"/>
    <xf numFmtId="0" fontId="2" fillId="4" borderId="1" xfId="2" applyNumberFormat="1" applyBorder="1" applyProtection="1">
      <protection locked="0"/>
    </xf>
    <xf numFmtId="49" fontId="2" fillId="4" borderId="1" xfId="2" applyNumberFormat="1" applyBorder="1" applyProtection="1">
      <protection locked="0"/>
    </xf>
    <xf numFmtId="0" fontId="2" fillId="4" borderId="1" xfId="2" applyBorder="1" applyAlignment="1">
      <alignment horizontal="left"/>
    </xf>
    <xf numFmtId="1" fontId="0" fillId="0" borderId="1" xfId="0" applyNumberFormat="1" applyFill="1" applyBorder="1" applyProtection="1">
      <protection locked="0"/>
    </xf>
    <xf numFmtId="0" fontId="0" fillId="4" borderId="1" xfId="2" applyNumberFormat="1" applyFont="1" applyBorder="1"/>
    <xf numFmtId="0" fontId="0" fillId="4" borderId="1" xfId="2" applyFont="1" applyBorder="1"/>
  </cellXfs>
  <cellStyles count="3">
    <cellStyle name="60 % - Akzent6" xfId="2" builtinId="52"/>
    <cellStyle name="Ausgabe" xfId="1" builtinId="2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339725</xdr:colOff>
      <xdr:row>0</xdr:row>
      <xdr:rowOff>76200</xdr:rowOff>
    </xdr:from>
    <xdr:to>
      <xdr:col>14</xdr:col>
      <xdr:colOff>28575</xdr:colOff>
      <xdr:row>19</xdr:row>
      <xdr:rowOff>76200</xdr:rowOff>
    </xdr:to>
    <xdr:sp macro="" textlink="">
      <xdr:nvSpPr>
        <xdr:cNvPr id="2" name="Textfeld 1">
          <a:extLst>
            <a:ext uri="{FF2B5EF4-FFF2-40B4-BE49-F238E27FC236}">
              <a16:creationId xmlns:a16="http://schemas.microsoft.com/office/drawing/2014/main" id="{2BCAD1FE-9FAE-4814-9BD9-E091D3738C8E}"/>
            </a:ext>
          </a:extLst>
        </xdr:cNvPr>
        <xdr:cNvSpPr txBox="1"/>
      </xdr:nvSpPr>
      <xdr:spPr>
        <a:xfrm>
          <a:off x="6626225" y="76200"/>
          <a:ext cx="5022850" cy="343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Why different values for Biomass in 2004, 2006, 2008 for Biomass_wiL than Sown plant Biomass ? </a:t>
          </a:r>
        </a:p>
        <a:p>
          <a:endParaRPr lang="de-DE" sz="1100"/>
        </a:p>
        <a:p>
          <a:r>
            <a:rPr lang="de-DE" sz="1100"/>
            <a:t>Sown plant biomass -&gt; mean values of the biomass of all samples in that year</a:t>
          </a:r>
        </a:p>
        <a:p>
          <a:r>
            <a:rPr lang="de-DE" sz="1100"/>
            <a:t>But: in some years, biomass of individual species measures only for specific samples</a:t>
          </a:r>
        </a:p>
        <a:p>
          <a:r>
            <a:rPr lang="de-DE" sz="1100"/>
            <a:t>-&gt; if we want to take into account the special role of legumes as described in several papers, we have to consider both the total biomass in that sample and the biomass of legumes which is why I have to deviate from taking the mean biomass</a:t>
          </a:r>
        </a:p>
        <a:p>
          <a:r>
            <a:rPr lang="de-DE" sz="1100"/>
            <a:t>-&gt; in 2002, 2011, 2014 and 2017 individual species weights are also given for the mean sample. </a:t>
          </a:r>
        </a:p>
        <a:p>
          <a:endParaRPr lang="de-DE" sz="1100"/>
        </a:p>
        <a:p>
          <a:r>
            <a:rPr lang="de-DE" sz="1100"/>
            <a:t>The</a:t>
          </a:r>
          <a:r>
            <a:rPr lang="de-DE" sz="1100" baseline="0"/>
            <a:t> data for which species-specific weights are calculated is indicated by Repl.</a:t>
          </a:r>
          <a:endParaRPr lang="de-DE" sz="1100"/>
        </a:p>
        <a:p>
          <a:r>
            <a:rPr lang="de-DE" sz="1100"/>
            <a:t>Repl: "Speciefies if multiple samples per plot have been taken and are provided in the data file"</a:t>
          </a:r>
        </a:p>
        <a:p>
          <a:r>
            <a:rPr lang="de-DE" sz="1100"/>
            <a:t>2004 Repl 4</a:t>
          </a:r>
        </a:p>
        <a:p>
          <a:r>
            <a:rPr lang="de-DE" sz="1100"/>
            <a:t>2006 Repl 4</a:t>
          </a:r>
        </a:p>
        <a:p>
          <a:r>
            <a:rPr lang="de-DE" sz="1100"/>
            <a:t>2008 Repl 3</a:t>
          </a:r>
          <a:endParaRPr lang="LID4096"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50F8-1AF1-40E9-9223-A08AAD7BA2DF}">
  <dimension ref="A1:W687"/>
  <sheetViews>
    <sheetView tabSelected="1" workbookViewId="0">
      <selection activeCell="C2" sqref="C2"/>
    </sheetView>
  </sheetViews>
  <sheetFormatPr baseColWidth="10" defaultRowHeight="14.5" x14ac:dyDescent="0.35"/>
  <cols>
    <col min="1" max="2" width="10.90625" style="4"/>
    <col min="3" max="3" width="20.54296875" style="14" customWidth="1"/>
    <col min="4" max="4" width="23" style="16" customWidth="1"/>
    <col min="5" max="6" width="10.90625" style="4" customWidth="1"/>
    <col min="7" max="7" width="10.90625" style="9" customWidth="1"/>
    <col min="8" max="8" width="10.90625" style="4" customWidth="1"/>
    <col min="9" max="9" width="16.6328125" style="13" bestFit="1" customWidth="1"/>
    <col min="10" max="10" width="16.6328125" style="1" customWidth="1"/>
    <col min="11" max="11" width="18.36328125" style="4" bestFit="1" customWidth="1"/>
    <col min="12" max="12" width="24.54296875" style="4" bestFit="1" customWidth="1"/>
    <col min="13" max="13" width="23.08984375" style="12" customWidth="1"/>
    <col min="14" max="15" width="23.08984375" style="4" customWidth="1"/>
    <col min="16" max="17" width="10.90625" style="4"/>
    <col min="18" max="18" width="24.6328125" style="12" bestFit="1" customWidth="1"/>
    <col min="19" max="16384" width="10.90625" style="4"/>
  </cols>
  <sheetData>
    <row r="1" spans="1:23" x14ac:dyDescent="0.35">
      <c r="A1" s="3" t="s">
        <v>0</v>
      </c>
      <c r="B1" s="4" t="s">
        <v>138</v>
      </c>
      <c r="C1" s="14" t="s">
        <v>323</v>
      </c>
      <c r="D1" s="21" t="s">
        <v>318</v>
      </c>
      <c r="E1" s="4" t="s">
        <v>1</v>
      </c>
      <c r="F1" s="4" t="s">
        <v>2</v>
      </c>
      <c r="G1" s="9" t="s">
        <v>137</v>
      </c>
      <c r="H1" s="4" t="s">
        <v>3</v>
      </c>
      <c r="I1" s="13" t="s">
        <v>321</v>
      </c>
      <c r="J1" s="1" t="s">
        <v>320</v>
      </c>
      <c r="K1" s="4" t="s">
        <v>135</v>
      </c>
      <c r="L1" s="4" t="s">
        <v>322</v>
      </c>
      <c r="M1" s="22" t="s">
        <v>319</v>
      </c>
      <c r="N1" s="4" t="s">
        <v>140</v>
      </c>
      <c r="O1" s="4" t="s">
        <v>139</v>
      </c>
      <c r="P1" s="4" t="s">
        <v>102</v>
      </c>
      <c r="Q1" s="4" t="s">
        <v>103</v>
      </c>
      <c r="R1" s="12" t="s">
        <v>104</v>
      </c>
      <c r="S1" s="4" t="s">
        <v>105</v>
      </c>
      <c r="T1" s="4" t="s">
        <v>106</v>
      </c>
      <c r="U1" s="4" t="s">
        <v>107</v>
      </c>
      <c r="V1" s="4" t="s">
        <v>108</v>
      </c>
      <c r="W1" s="4" t="s">
        <v>109</v>
      </c>
    </row>
    <row r="2" spans="1:23" x14ac:dyDescent="0.35">
      <c r="A2" s="3" t="s">
        <v>90</v>
      </c>
      <c r="B2" s="4">
        <v>1</v>
      </c>
      <c r="G2" s="9">
        <v>1</v>
      </c>
      <c r="R2" s="12" t="s">
        <v>125</v>
      </c>
    </row>
    <row r="3" spans="1:23" x14ac:dyDescent="0.35">
      <c r="A3" s="3" t="s">
        <v>91</v>
      </c>
      <c r="B3" s="4">
        <v>2</v>
      </c>
      <c r="G3" s="9">
        <v>1</v>
      </c>
      <c r="R3" s="12" t="s">
        <v>126</v>
      </c>
    </row>
    <row r="4" spans="1:23" x14ac:dyDescent="0.35">
      <c r="A4" s="5" t="s">
        <v>4</v>
      </c>
      <c r="B4" s="4">
        <v>3</v>
      </c>
      <c r="C4" s="15">
        <v>2.4156249999999999</v>
      </c>
      <c r="D4" s="17">
        <f>C4*1000000</f>
        <v>2415625</v>
      </c>
      <c r="E4" s="6">
        <v>0</v>
      </c>
      <c r="F4" s="6">
        <v>0.05</v>
      </c>
      <c r="G4" s="9">
        <v>1</v>
      </c>
      <c r="H4" s="7">
        <v>2002</v>
      </c>
      <c r="I4" s="13">
        <v>15.7</v>
      </c>
      <c r="J4" s="2">
        <f>I4*1000000</f>
        <v>15700000</v>
      </c>
      <c r="K4" s="4">
        <v>6.5</v>
      </c>
      <c r="L4" s="4">
        <v>205.7</v>
      </c>
      <c r="M4" s="12">
        <f>L4*1000000</f>
        <v>205700000</v>
      </c>
      <c r="N4" s="4">
        <v>205.7</v>
      </c>
      <c r="O4" s="4">
        <v>185.6</v>
      </c>
      <c r="P4" s="4" t="s">
        <v>110</v>
      </c>
      <c r="Q4" s="4">
        <v>0</v>
      </c>
      <c r="R4" s="18" t="s">
        <v>111</v>
      </c>
      <c r="S4" s="8" t="s">
        <v>112</v>
      </c>
      <c r="T4" s="8" t="s">
        <v>112</v>
      </c>
      <c r="U4" s="8" t="s">
        <v>112</v>
      </c>
      <c r="V4" s="8" t="s">
        <v>112</v>
      </c>
      <c r="W4" s="8" t="s">
        <v>112</v>
      </c>
    </row>
    <row r="5" spans="1:23" x14ac:dyDescent="0.35">
      <c r="A5" s="5" t="s">
        <v>5</v>
      </c>
      <c r="B5" s="4">
        <v>4</v>
      </c>
      <c r="C5" s="15">
        <v>4.2837500000000004</v>
      </c>
      <c r="D5" s="17">
        <f t="shared" ref="D5:D68" si="0">C5*1000000</f>
        <v>4283750</v>
      </c>
      <c r="E5" s="6">
        <v>0</v>
      </c>
      <c r="F5" s="6">
        <v>0.05</v>
      </c>
      <c r="G5" s="9">
        <v>1</v>
      </c>
      <c r="H5" s="7">
        <v>2002</v>
      </c>
      <c r="I5" s="13">
        <v>15.8</v>
      </c>
      <c r="J5" s="2">
        <f>I5*1000000</f>
        <v>15800000</v>
      </c>
      <c r="K5" s="4">
        <v>6.6</v>
      </c>
      <c r="L5" s="4">
        <v>97.1</v>
      </c>
      <c r="M5" s="12">
        <f t="shared" ref="M5:M68" si="1">L5*1000000</f>
        <v>97100000</v>
      </c>
      <c r="N5" s="4">
        <v>97.1</v>
      </c>
      <c r="O5" s="4">
        <v>97.1</v>
      </c>
      <c r="P5" s="4" t="s">
        <v>110</v>
      </c>
      <c r="Q5" s="4">
        <v>0</v>
      </c>
      <c r="R5" s="18" t="s">
        <v>113</v>
      </c>
      <c r="S5" s="8" t="s">
        <v>114</v>
      </c>
      <c r="T5" s="8" t="s">
        <v>112</v>
      </c>
      <c r="U5" s="8" t="s">
        <v>115</v>
      </c>
      <c r="V5" s="8" t="s">
        <v>112</v>
      </c>
      <c r="W5" s="8" t="s">
        <v>115</v>
      </c>
    </row>
    <row r="6" spans="1:23" x14ac:dyDescent="0.35">
      <c r="A6" s="5" t="s">
        <v>6</v>
      </c>
      <c r="B6" s="4">
        <v>5</v>
      </c>
      <c r="C6" s="15">
        <v>1.7612499999999998</v>
      </c>
      <c r="D6" s="17">
        <f t="shared" si="0"/>
        <v>1761249.9999999998</v>
      </c>
      <c r="E6" s="6">
        <v>0</v>
      </c>
      <c r="F6" s="6">
        <v>0.05</v>
      </c>
      <c r="G6" s="9">
        <v>1</v>
      </c>
      <c r="H6" s="7">
        <v>2002</v>
      </c>
      <c r="I6" s="13">
        <v>14.6</v>
      </c>
      <c r="J6" s="2">
        <f t="shared" ref="J6:J69" si="2">I6*1000000</f>
        <v>14600000</v>
      </c>
      <c r="K6" s="4">
        <v>6.5</v>
      </c>
      <c r="L6" s="4">
        <v>136.30000000000001</v>
      </c>
      <c r="M6" s="12">
        <f t="shared" si="1"/>
        <v>136300000</v>
      </c>
      <c r="N6" s="4">
        <v>136.30000000000001</v>
      </c>
      <c r="O6" s="4">
        <v>50.800000000000011</v>
      </c>
      <c r="P6" s="4" t="s">
        <v>110</v>
      </c>
      <c r="Q6" s="4">
        <v>0</v>
      </c>
      <c r="R6" s="18" t="s">
        <v>113</v>
      </c>
      <c r="S6" s="8" t="s">
        <v>116</v>
      </c>
      <c r="T6" s="8" t="s">
        <v>116</v>
      </c>
      <c r="U6" s="8" t="s">
        <v>116</v>
      </c>
      <c r="V6" s="8" t="s">
        <v>115</v>
      </c>
      <c r="W6" s="8" t="s">
        <v>114</v>
      </c>
    </row>
    <row r="7" spans="1:23" x14ac:dyDescent="0.35">
      <c r="A7" s="5" t="s">
        <v>7</v>
      </c>
      <c r="B7" s="4">
        <v>6</v>
      </c>
      <c r="C7" s="15">
        <v>0.48</v>
      </c>
      <c r="D7" s="17">
        <f t="shared" si="0"/>
        <v>480000</v>
      </c>
      <c r="E7" s="6">
        <v>0</v>
      </c>
      <c r="F7" s="6">
        <v>0.05</v>
      </c>
      <c r="G7" s="9">
        <v>1</v>
      </c>
      <c r="H7" s="7">
        <v>2002</v>
      </c>
      <c r="I7" s="13">
        <v>18.600000000000001</v>
      </c>
      <c r="J7" s="2">
        <f t="shared" si="2"/>
        <v>18600000</v>
      </c>
      <c r="K7" s="4">
        <v>6.5</v>
      </c>
      <c r="L7" s="4">
        <v>252.8</v>
      </c>
      <c r="M7" s="12">
        <f t="shared" si="1"/>
        <v>252800000</v>
      </c>
      <c r="N7" s="4">
        <v>252.8</v>
      </c>
      <c r="O7" s="4">
        <v>105.30000000000001</v>
      </c>
      <c r="P7" s="4" t="s">
        <v>110</v>
      </c>
      <c r="Q7" s="4">
        <v>0</v>
      </c>
      <c r="R7" s="18" t="s">
        <v>112</v>
      </c>
      <c r="S7" s="8" t="s">
        <v>112</v>
      </c>
      <c r="T7" s="8" t="s">
        <v>117</v>
      </c>
      <c r="U7" s="8" t="s">
        <v>117</v>
      </c>
      <c r="V7" s="8" t="s">
        <v>117</v>
      </c>
      <c r="W7" s="8" t="s">
        <v>117</v>
      </c>
    </row>
    <row r="8" spans="1:23" x14ac:dyDescent="0.35">
      <c r="A8" s="5" t="s">
        <v>8</v>
      </c>
      <c r="B8" s="4">
        <v>7</v>
      </c>
      <c r="C8" s="15">
        <v>0.96500000000000008</v>
      </c>
      <c r="D8" s="17">
        <f t="shared" si="0"/>
        <v>965000.00000000012</v>
      </c>
      <c r="E8" s="6">
        <v>0</v>
      </c>
      <c r="F8" s="6">
        <v>0.05</v>
      </c>
      <c r="G8" s="9">
        <v>1</v>
      </c>
      <c r="H8" s="7">
        <v>2002</v>
      </c>
      <c r="I8" s="13">
        <v>17.5</v>
      </c>
      <c r="J8" s="2">
        <f t="shared" si="2"/>
        <v>17500000</v>
      </c>
      <c r="K8" s="4">
        <v>5.7</v>
      </c>
      <c r="L8" s="4">
        <v>326.5</v>
      </c>
      <c r="M8" s="12">
        <f t="shared" si="1"/>
        <v>326500000</v>
      </c>
      <c r="N8" s="4">
        <v>326.5</v>
      </c>
      <c r="O8" s="4">
        <v>0</v>
      </c>
      <c r="P8" s="4" t="s">
        <v>110</v>
      </c>
      <c r="Q8" s="4">
        <v>0</v>
      </c>
      <c r="R8" s="18" t="s">
        <v>114</v>
      </c>
      <c r="S8" s="8" t="s">
        <v>117</v>
      </c>
      <c r="T8" s="8" t="s">
        <v>115</v>
      </c>
      <c r="U8" s="8" t="s">
        <v>115</v>
      </c>
      <c r="V8" s="8" t="s">
        <v>115</v>
      </c>
      <c r="W8" s="8" t="s">
        <v>114</v>
      </c>
    </row>
    <row r="9" spans="1:23" x14ac:dyDescent="0.35">
      <c r="A9" s="5" t="s">
        <v>9</v>
      </c>
      <c r="B9" s="4">
        <v>8</v>
      </c>
      <c r="C9" s="15">
        <v>0.35187500000000005</v>
      </c>
      <c r="D9" s="17">
        <f t="shared" si="0"/>
        <v>351875.00000000006</v>
      </c>
      <c r="E9" s="6">
        <v>0</v>
      </c>
      <c r="F9" s="6">
        <v>0.05</v>
      </c>
      <c r="G9" s="9">
        <v>1</v>
      </c>
      <c r="H9" s="7">
        <v>2002</v>
      </c>
      <c r="I9" s="13">
        <v>15.6</v>
      </c>
      <c r="J9" s="2">
        <f t="shared" si="2"/>
        <v>15600000</v>
      </c>
      <c r="K9" s="4">
        <v>6.1</v>
      </c>
      <c r="L9" s="4">
        <v>311.89999999999998</v>
      </c>
      <c r="M9" s="12">
        <f t="shared" si="1"/>
        <v>311900000</v>
      </c>
      <c r="N9" s="4">
        <v>311.89999999999998</v>
      </c>
      <c r="O9" s="4">
        <v>311.89999999999998</v>
      </c>
      <c r="P9" s="4" t="s">
        <v>110</v>
      </c>
      <c r="Q9" s="4">
        <v>0</v>
      </c>
      <c r="R9" s="18" t="s">
        <v>111</v>
      </c>
      <c r="S9" s="8" t="s">
        <v>114</v>
      </c>
      <c r="T9" s="8" t="s">
        <v>113</v>
      </c>
      <c r="U9" s="8" t="s">
        <v>115</v>
      </c>
      <c r="V9" s="8" t="s">
        <v>113</v>
      </c>
      <c r="W9" s="8" t="s">
        <v>115</v>
      </c>
    </row>
    <row r="10" spans="1:23" x14ac:dyDescent="0.35">
      <c r="A10" s="5" t="s">
        <v>10</v>
      </c>
      <c r="B10" s="4">
        <v>9</v>
      </c>
      <c r="C10" s="15">
        <v>8.2050000000000001</v>
      </c>
      <c r="D10" s="17">
        <f t="shared" si="0"/>
        <v>8205000</v>
      </c>
      <c r="E10" s="6">
        <v>0</v>
      </c>
      <c r="F10" s="6">
        <v>0.05</v>
      </c>
      <c r="G10" s="9">
        <v>1</v>
      </c>
      <c r="H10" s="7">
        <v>2002</v>
      </c>
      <c r="I10" s="13">
        <v>17.8</v>
      </c>
      <c r="J10" s="2">
        <f t="shared" si="2"/>
        <v>17800000</v>
      </c>
      <c r="K10" s="4">
        <v>5.9</v>
      </c>
      <c r="L10" s="4">
        <v>7.4</v>
      </c>
      <c r="M10" s="12">
        <f t="shared" si="1"/>
        <v>7400000</v>
      </c>
      <c r="N10" s="4">
        <v>7.4</v>
      </c>
      <c r="O10" s="4">
        <v>7.4</v>
      </c>
      <c r="P10" s="4" t="s">
        <v>110</v>
      </c>
      <c r="Q10" s="4">
        <v>0</v>
      </c>
      <c r="R10" s="18" t="s">
        <v>114</v>
      </c>
      <c r="S10" s="8" t="s">
        <v>117</v>
      </c>
      <c r="T10" s="8" t="s">
        <v>115</v>
      </c>
      <c r="U10" s="8" t="s">
        <v>115</v>
      </c>
      <c r="V10" s="8" t="s">
        <v>114</v>
      </c>
      <c r="W10" s="8" t="s">
        <v>115</v>
      </c>
    </row>
    <row r="11" spans="1:23" x14ac:dyDescent="0.35">
      <c r="A11" s="5" t="s">
        <v>11</v>
      </c>
      <c r="B11" s="4">
        <v>10</v>
      </c>
      <c r="C11" s="15">
        <v>0.26</v>
      </c>
      <c r="D11" s="17">
        <f t="shared" si="0"/>
        <v>260000</v>
      </c>
      <c r="E11" s="6">
        <v>0</v>
      </c>
      <c r="F11" s="6">
        <v>0.05</v>
      </c>
      <c r="G11" s="9">
        <v>1</v>
      </c>
      <c r="H11" s="7">
        <v>2002</v>
      </c>
      <c r="I11" s="13">
        <v>17</v>
      </c>
      <c r="J11" s="2">
        <f t="shared" si="2"/>
        <v>17000000</v>
      </c>
      <c r="K11" s="4">
        <v>6.1</v>
      </c>
      <c r="L11" s="4">
        <v>233</v>
      </c>
      <c r="M11" s="12">
        <f t="shared" si="1"/>
        <v>233000000</v>
      </c>
      <c r="N11" s="4">
        <v>233</v>
      </c>
      <c r="O11" s="4">
        <v>0</v>
      </c>
      <c r="P11" s="4" t="s">
        <v>110</v>
      </c>
      <c r="Q11" s="4">
        <v>0</v>
      </c>
      <c r="R11" s="18" t="s">
        <v>117</v>
      </c>
      <c r="S11" s="8" t="s">
        <v>117</v>
      </c>
      <c r="T11" s="8" t="s">
        <v>115</v>
      </c>
      <c r="U11" s="8" t="s">
        <v>115</v>
      </c>
      <c r="V11" s="8" t="s">
        <v>115</v>
      </c>
      <c r="W11" s="8" t="s">
        <v>117</v>
      </c>
    </row>
    <row r="12" spans="1:23" x14ac:dyDescent="0.35">
      <c r="A12" s="5" t="s">
        <v>12</v>
      </c>
      <c r="B12" s="4">
        <v>11</v>
      </c>
      <c r="C12" s="15">
        <v>0.01</v>
      </c>
      <c r="D12" s="17">
        <f t="shared" si="0"/>
        <v>10000</v>
      </c>
      <c r="E12" s="6">
        <v>0</v>
      </c>
      <c r="F12" s="6">
        <v>0.05</v>
      </c>
      <c r="G12" s="9">
        <v>1</v>
      </c>
      <c r="H12" s="7">
        <v>2002</v>
      </c>
      <c r="I12" s="13">
        <v>18.2</v>
      </c>
      <c r="J12" s="2">
        <f t="shared" si="2"/>
        <v>18200000</v>
      </c>
      <c r="K12" s="4">
        <v>6.2</v>
      </c>
      <c r="L12" s="4">
        <v>18.7</v>
      </c>
      <c r="M12" s="12">
        <f t="shared" si="1"/>
        <v>18700000</v>
      </c>
      <c r="N12" s="4">
        <v>18.7</v>
      </c>
      <c r="O12" s="4">
        <v>18.7</v>
      </c>
      <c r="P12" s="4" t="s">
        <v>110</v>
      </c>
      <c r="Q12" s="4">
        <v>0</v>
      </c>
      <c r="R12" s="18" t="s">
        <v>117</v>
      </c>
      <c r="S12" s="8" t="s">
        <v>117</v>
      </c>
      <c r="T12" s="8" t="s">
        <v>117</v>
      </c>
      <c r="U12" s="8" t="s">
        <v>115</v>
      </c>
      <c r="V12" s="8" t="s">
        <v>115</v>
      </c>
      <c r="W12" s="8" t="s">
        <v>115</v>
      </c>
    </row>
    <row r="13" spans="1:23" x14ac:dyDescent="0.35">
      <c r="A13" s="5" t="s">
        <v>98</v>
      </c>
      <c r="B13" s="4">
        <v>12</v>
      </c>
      <c r="C13" s="15"/>
      <c r="D13" s="17">
        <f t="shared" si="0"/>
        <v>0</v>
      </c>
      <c r="E13" s="6"/>
      <c r="F13" s="6"/>
      <c r="H13" s="7"/>
      <c r="J13" s="2"/>
      <c r="R13" s="18"/>
      <c r="S13" s="8"/>
      <c r="T13" s="8"/>
      <c r="U13" s="8"/>
      <c r="V13" s="8"/>
      <c r="W13" s="8"/>
    </row>
    <row r="14" spans="1:23" x14ac:dyDescent="0.35">
      <c r="A14" s="5" t="s">
        <v>13</v>
      </c>
      <c r="B14" s="4">
        <v>13</v>
      </c>
      <c r="C14" s="15">
        <v>3.6537500000000005</v>
      </c>
      <c r="D14" s="17">
        <f t="shared" si="0"/>
        <v>3653750.0000000005</v>
      </c>
      <c r="E14" s="6">
        <v>0</v>
      </c>
      <c r="F14" s="6">
        <v>0.05</v>
      </c>
      <c r="G14" s="9">
        <v>1</v>
      </c>
      <c r="H14" s="7">
        <v>2002</v>
      </c>
      <c r="I14" s="13">
        <v>18.899999999999999</v>
      </c>
      <c r="J14" s="2">
        <f t="shared" si="2"/>
        <v>18900000</v>
      </c>
      <c r="K14" s="4">
        <v>8.9</v>
      </c>
      <c r="L14" s="4">
        <v>229.4</v>
      </c>
      <c r="M14" s="12">
        <f t="shared" si="1"/>
        <v>229400000</v>
      </c>
      <c r="N14" s="4">
        <v>229.4</v>
      </c>
      <c r="O14" s="4">
        <v>229.4</v>
      </c>
      <c r="P14" s="4" t="s">
        <v>110</v>
      </c>
      <c r="Q14" s="4">
        <v>0</v>
      </c>
      <c r="R14" s="18" t="s">
        <v>111</v>
      </c>
      <c r="S14" s="8" t="s">
        <v>117</v>
      </c>
      <c r="T14" s="8" t="s">
        <v>115</v>
      </c>
      <c r="U14" s="8" t="s">
        <v>115</v>
      </c>
      <c r="V14" s="8" t="s">
        <v>111</v>
      </c>
      <c r="W14" s="8" t="s">
        <v>115</v>
      </c>
    </row>
    <row r="15" spans="1:23" x14ac:dyDescent="0.35">
      <c r="A15" s="5" t="s">
        <v>14</v>
      </c>
      <c r="B15" s="4">
        <v>14</v>
      </c>
      <c r="C15" s="15">
        <v>1.51125</v>
      </c>
      <c r="D15" s="17">
        <f t="shared" si="0"/>
        <v>1511250</v>
      </c>
      <c r="E15" s="6">
        <v>0</v>
      </c>
      <c r="F15" s="6">
        <v>0.05</v>
      </c>
      <c r="G15" s="9">
        <v>1</v>
      </c>
      <c r="H15" s="7">
        <v>2002</v>
      </c>
      <c r="I15" s="13">
        <v>16.8</v>
      </c>
      <c r="J15" s="2">
        <f t="shared" si="2"/>
        <v>16800000</v>
      </c>
      <c r="K15" s="4">
        <v>8.5</v>
      </c>
      <c r="L15" s="4">
        <v>594.70000000000005</v>
      </c>
      <c r="M15" s="12">
        <f t="shared" si="1"/>
        <v>594700000</v>
      </c>
      <c r="N15" s="4">
        <v>594.70000000000005</v>
      </c>
      <c r="O15" s="4">
        <v>0</v>
      </c>
      <c r="P15" s="4" t="s">
        <v>110</v>
      </c>
      <c r="Q15" s="4">
        <v>0</v>
      </c>
      <c r="R15" s="18" t="s">
        <v>113</v>
      </c>
      <c r="S15" s="8" t="s">
        <v>117</v>
      </c>
      <c r="T15" s="8" t="s">
        <v>115</v>
      </c>
      <c r="U15" s="8" t="s">
        <v>115</v>
      </c>
      <c r="V15" s="8" t="s">
        <v>115</v>
      </c>
      <c r="W15" s="8" t="s">
        <v>113</v>
      </c>
    </row>
    <row r="16" spans="1:23" x14ac:dyDescent="0.35">
      <c r="A16" s="5" t="s">
        <v>15</v>
      </c>
      <c r="B16" s="4">
        <v>15</v>
      </c>
      <c r="C16" s="15">
        <v>0.57250000000000001</v>
      </c>
      <c r="D16" s="17">
        <f t="shared" si="0"/>
        <v>572500</v>
      </c>
      <c r="E16" s="6">
        <v>0</v>
      </c>
      <c r="F16" s="6">
        <v>0.05</v>
      </c>
      <c r="G16" s="9">
        <v>1</v>
      </c>
      <c r="H16" s="7">
        <v>2002</v>
      </c>
      <c r="I16" s="13">
        <v>17.3</v>
      </c>
      <c r="J16" s="2">
        <f t="shared" si="2"/>
        <v>17300000</v>
      </c>
      <c r="K16" s="4">
        <v>7.3</v>
      </c>
      <c r="L16" s="4">
        <v>350.1</v>
      </c>
      <c r="M16" s="12">
        <f t="shared" si="1"/>
        <v>350100000</v>
      </c>
      <c r="N16" s="4">
        <v>350.1</v>
      </c>
      <c r="O16" s="4">
        <v>0</v>
      </c>
      <c r="P16" s="4" t="s">
        <v>110</v>
      </c>
      <c r="Q16" s="4">
        <v>0</v>
      </c>
      <c r="R16" s="18" t="s">
        <v>112</v>
      </c>
      <c r="S16" s="8" t="s">
        <v>117</v>
      </c>
      <c r="T16" s="8" t="s">
        <v>115</v>
      </c>
      <c r="U16" s="8" t="s">
        <v>115</v>
      </c>
      <c r="V16" s="8" t="s">
        <v>115</v>
      </c>
      <c r="W16" s="8" t="s">
        <v>112</v>
      </c>
    </row>
    <row r="17" spans="1:23" x14ac:dyDescent="0.35">
      <c r="A17" s="5" t="s">
        <v>16</v>
      </c>
      <c r="B17" s="4">
        <v>16</v>
      </c>
      <c r="C17" s="15">
        <v>5.8900000000000006</v>
      </c>
      <c r="D17" s="17">
        <f t="shared" si="0"/>
        <v>5890000.0000000009</v>
      </c>
      <c r="E17" s="6">
        <v>0</v>
      </c>
      <c r="F17" s="6">
        <v>0.05</v>
      </c>
      <c r="G17" s="9">
        <v>1</v>
      </c>
      <c r="H17" s="7">
        <v>2002</v>
      </c>
      <c r="I17" s="13">
        <v>14.9</v>
      </c>
      <c r="J17" s="2">
        <f t="shared" si="2"/>
        <v>14900000</v>
      </c>
      <c r="K17" s="4">
        <v>6.6</v>
      </c>
      <c r="L17" s="4">
        <v>298</v>
      </c>
      <c r="M17" s="12">
        <f t="shared" si="1"/>
        <v>298000000</v>
      </c>
      <c r="N17" s="4">
        <v>298</v>
      </c>
      <c r="O17" s="4">
        <v>213.3</v>
      </c>
      <c r="P17" s="4" t="s">
        <v>110</v>
      </c>
      <c r="Q17" s="4">
        <v>0</v>
      </c>
      <c r="R17" s="18" t="s">
        <v>113</v>
      </c>
      <c r="S17" s="8" t="s">
        <v>112</v>
      </c>
      <c r="T17" s="8" t="s">
        <v>114</v>
      </c>
      <c r="U17" s="8" t="s">
        <v>114</v>
      </c>
      <c r="V17" s="8" t="s">
        <v>114</v>
      </c>
      <c r="W17" s="8" t="s">
        <v>114</v>
      </c>
    </row>
    <row r="18" spans="1:23" x14ac:dyDescent="0.35">
      <c r="A18" s="5" t="s">
        <v>17</v>
      </c>
      <c r="B18" s="4">
        <v>17</v>
      </c>
      <c r="C18" s="15">
        <v>0.15</v>
      </c>
      <c r="D18" s="17">
        <f t="shared" si="0"/>
        <v>150000</v>
      </c>
      <c r="E18" s="6">
        <v>0</v>
      </c>
      <c r="F18" s="6">
        <v>0.05</v>
      </c>
      <c r="G18" s="9">
        <v>1</v>
      </c>
      <c r="H18" s="7">
        <v>2002</v>
      </c>
      <c r="I18" s="13">
        <v>19.2</v>
      </c>
      <c r="J18" s="2">
        <f t="shared" si="2"/>
        <v>19200000</v>
      </c>
      <c r="K18" s="4">
        <v>9.5</v>
      </c>
      <c r="L18" s="4">
        <v>115.6</v>
      </c>
      <c r="M18" s="12">
        <f t="shared" si="1"/>
        <v>115600000</v>
      </c>
      <c r="N18" s="4">
        <v>115.6</v>
      </c>
      <c r="O18" s="4">
        <v>115.6</v>
      </c>
      <c r="P18" s="4" t="s">
        <v>110</v>
      </c>
      <c r="Q18" s="4">
        <v>0</v>
      </c>
      <c r="R18" s="18" t="s">
        <v>117</v>
      </c>
      <c r="S18" s="8" t="s">
        <v>117</v>
      </c>
      <c r="T18" s="8" t="s">
        <v>115</v>
      </c>
      <c r="U18" s="8" t="s">
        <v>115</v>
      </c>
      <c r="V18" s="8" t="s">
        <v>117</v>
      </c>
      <c r="W18" s="8" t="s">
        <v>115</v>
      </c>
    </row>
    <row r="19" spans="1:23" x14ac:dyDescent="0.35">
      <c r="A19" s="5" t="s">
        <v>18</v>
      </c>
      <c r="B19" s="4">
        <v>18</v>
      </c>
      <c r="C19" s="15">
        <v>3.4999999999999996E-2</v>
      </c>
      <c r="D19" s="17">
        <f t="shared" si="0"/>
        <v>35000</v>
      </c>
      <c r="E19" s="6">
        <v>0</v>
      </c>
      <c r="F19" s="6">
        <v>0.05</v>
      </c>
      <c r="G19" s="9">
        <v>1</v>
      </c>
      <c r="H19" s="7">
        <v>2002</v>
      </c>
      <c r="I19" s="13">
        <v>18.3</v>
      </c>
      <c r="J19" s="2">
        <f t="shared" si="2"/>
        <v>18300000</v>
      </c>
      <c r="K19" s="4">
        <v>8.3000000000000007</v>
      </c>
      <c r="L19" s="4">
        <v>460.6</v>
      </c>
      <c r="M19" s="12">
        <f t="shared" si="1"/>
        <v>460600000</v>
      </c>
      <c r="N19" s="4">
        <v>460.6</v>
      </c>
      <c r="O19" s="4">
        <v>460.6</v>
      </c>
      <c r="P19" s="4" t="s">
        <v>110</v>
      </c>
      <c r="Q19" s="4">
        <v>0</v>
      </c>
      <c r="R19" s="18" t="s">
        <v>114</v>
      </c>
      <c r="S19" s="8" t="s">
        <v>114</v>
      </c>
      <c r="T19" s="8" t="s">
        <v>117</v>
      </c>
      <c r="U19" s="8" t="s">
        <v>117</v>
      </c>
      <c r="V19" s="8" t="s">
        <v>115</v>
      </c>
      <c r="W19" s="8" t="s">
        <v>115</v>
      </c>
    </row>
    <row r="20" spans="1:23" x14ac:dyDescent="0.35">
      <c r="A20" s="5" t="s">
        <v>19</v>
      </c>
      <c r="B20" s="4">
        <v>19</v>
      </c>
      <c r="C20" s="15">
        <v>0.03</v>
      </c>
      <c r="D20" s="17">
        <f t="shared" si="0"/>
        <v>30000</v>
      </c>
      <c r="E20" s="6">
        <v>0</v>
      </c>
      <c r="F20" s="6">
        <v>0.05</v>
      </c>
      <c r="G20" s="9">
        <v>1</v>
      </c>
      <c r="H20" s="7">
        <v>2002</v>
      </c>
      <c r="I20" s="13">
        <v>19.5</v>
      </c>
      <c r="J20" s="2">
        <f t="shared" si="2"/>
        <v>19500000</v>
      </c>
      <c r="K20" s="4">
        <v>8.6</v>
      </c>
      <c r="L20" s="4">
        <v>349.9</v>
      </c>
      <c r="M20" s="12">
        <f t="shared" si="1"/>
        <v>349900000</v>
      </c>
      <c r="N20" s="4">
        <v>349.9</v>
      </c>
      <c r="O20" s="4">
        <v>349.9</v>
      </c>
      <c r="P20" s="4" t="s">
        <v>110</v>
      </c>
      <c r="Q20" s="4">
        <v>0</v>
      </c>
      <c r="R20" s="18" t="s">
        <v>114</v>
      </c>
      <c r="S20" s="8" t="s">
        <v>114</v>
      </c>
      <c r="T20" s="8" t="s">
        <v>117</v>
      </c>
      <c r="U20" s="8" t="s">
        <v>115</v>
      </c>
      <c r="V20" s="8" t="s">
        <v>117</v>
      </c>
      <c r="W20" s="8" t="s">
        <v>115</v>
      </c>
    </row>
    <row r="21" spans="1:23" x14ac:dyDescent="0.35">
      <c r="A21" s="5" t="s">
        <v>20</v>
      </c>
      <c r="B21" s="4">
        <v>20</v>
      </c>
      <c r="C21" s="15">
        <v>0.11</v>
      </c>
      <c r="D21" s="17">
        <f t="shared" si="0"/>
        <v>110000</v>
      </c>
      <c r="E21" s="6">
        <v>0</v>
      </c>
      <c r="F21" s="6">
        <v>0.05</v>
      </c>
      <c r="G21" s="9">
        <v>1</v>
      </c>
      <c r="H21" s="7">
        <v>2002</v>
      </c>
      <c r="I21" s="13">
        <v>19.7</v>
      </c>
      <c r="J21" s="2">
        <f t="shared" si="2"/>
        <v>19700000</v>
      </c>
      <c r="K21" s="4">
        <v>8.1999999999999993</v>
      </c>
      <c r="L21" s="4">
        <v>111.6</v>
      </c>
      <c r="M21" s="12">
        <f t="shared" si="1"/>
        <v>111600000</v>
      </c>
      <c r="N21" s="4">
        <v>111.6</v>
      </c>
      <c r="O21" s="4">
        <v>111.6</v>
      </c>
      <c r="P21" s="4" t="s">
        <v>110</v>
      </c>
      <c r="Q21" s="4">
        <v>0</v>
      </c>
      <c r="R21" s="18" t="s">
        <v>117</v>
      </c>
      <c r="S21" s="8" t="s">
        <v>117</v>
      </c>
      <c r="T21" s="8" t="s">
        <v>115</v>
      </c>
      <c r="U21" s="8" t="s">
        <v>117</v>
      </c>
      <c r="V21" s="8" t="s">
        <v>115</v>
      </c>
      <c r="W21" s="8" t="s">
        <v>115</v>
      </c>
    </row>
    <row r="22" spans="1:23" x14ac:dyDescent="0.35">
      <c r="A22" s="5" t="s">
        <v>21</v>
      </c>
      <c r="B22" s="4">
        <v>21</v>
      </c>
      <c r="C22" s="15">
        <v>0.31500000000000006</v>
      </c>
      <c r="D22" s="17">
        <f t="shared" si="0"/>
        <v>315000.00000000006</v>
      </c>
      <c r="E22" s="6">
        <v>0</v>
      </c>
      <c r="F22" s="6">
        <v>0.05</v>
      </c>
      <c r="G22" s="9">
        <v>1</v>
      </c>
      <c r="H22" s="7">
        <v>2002</v>
      </c>
      <c r="I22" s="13">
        <v>19.600000000000001</v>
      </c>
      <c r="J22" s="2">
        <f t="shared" si="2"/>
        <v>19600000</v>
      </c>
      <c r="K22" s="4">
        <v>8.1999999999999993</v>
      </c>
      <c r="L22" s="4">
        <v>213.6</v>
      </c>
      <c r="M22" s="12">
        <f t="shared" si="1"/>
        <v>213600000</v>
      </c>
      <c r="N22" s="4">
        <v>213.6</v>
      </c>
      <c r="O22" s="4">
        <v>213.6</v>
      </c>
      <c r="P22" s="4" t="s">
        <v>110</v>
      </c>
      <c r="Q22" s="4">
        <v>0</v>
      </c>
      <c r="R22" s="18" t="s">
        <v>112</v>
      </c>
      <c r="S22" s="8" t="s">
        <v>116</v>
      </c>
      <c r="T22" s="8" t="s">
        <v>114</v>
      </c>
      <c r="U22" s="8" t="s">
        <v>117</v>
      </c>
      <c r="V22" s="8" t="s">
        <v>117</v>
      </c>
      <c r="W22" s="8" t="s">
        <v>115</v>
      </c>
    </row>
    <row r="23" spans="1:23" x14ac:dyDescent="0.35">
      <c r="A23" s="5" t="s">
        <v>22</v>
      </c>
      <c r="B23" s="4">
        <v>22</v>
      </c>
      <c r="C23" s="15">
        <v>3.4506250000000001</v>
      </c>
      <c r="D23" s="17">
        <f t="shared" si="0"/>
        <v>3450625</v>
      </c>
      <c r="E23" s="6">
        <v>0</v>
      </c>
      <c r="F23" s="6">
        <v>0.05</v>
      </c>
      <c r="G23" s="9">
        <v>1</v>
      </c>
      <c r="H23" s="7">
        <v>2002</v>
      </c>
      <c r="I23" s="13">
        <v>19.2</v>
      </c>
      <c r="J23" s="2">
        <f t="shared" si="2"/>
        <v>19200000</v>
      </c>
      <c r="K23" s="4">
        <v>8</v>
      </c>
      <c r="L23" s="4">
        <v>278.8</v>
      </c>
      <c r="M23" s="12">
        <f t="shared" si="1"/>
        <v>278800000</v>
      </c>
      <c r="N23" s="4">
        <v>278.8</v>
      </c>
      <c r="O23" s="4">
        <v>83.4</v>
      </c>
      <c r="P23" s="4" t="s">
        <v>110</v>
      </c>
      <c r="Q23" s="4">
        <v>0</v>
      </c>
      <c r="R23" s="18" t="s">
        <v>111</v>
      </c>
      <c r="S23" s="8" t="s">
        <v>116</v>
      </c>
      <c r="T23" s="8" t="s">
        <v>115</v>
      </c>
      <c r="U23" s="8" t="s">
        <v>118</v>
      </c>
      <c r="V23" s="8" t="s">
        <v>119</v>
      </c>
      <c r="W23" s="8" t="s">
        <v>119</v>
      </c>
    </row>
    <row r="24" spans="1:23" x14ac:dyDescent="0.35">
      <c r="A24" s="5" t="s">
        <v>23</v>
      </c>
      <c r="B24" s="4">
        <v>23</v>
      </c>
      <c r="C24" s="15">
        <v>0.15</v>
      </c>
      <c r="D24" s="17">
        <f t="shared" si="0"/>
        <v>150000</v>
      </c>
      <c r="E24" s="6">
        <v>0</v>
      </c>
      <c r="F24" s="6">
        <v>0.05</v>
      </c>
      <c r="G24" s="9">
        <v>1</v>
      </c>
      <c r="H24" s="7">
        <v>2002</v>
      </c>
      <c r="I24" s="13">
        <v>18.100000000000001</v>
      </c>
      <c r="J24" s="2">
        <f t="shared" si="2"/>
        <v>18100000</v>
      </c>
      <c r="K24" s="4">
        <v>8.6999999999999993</v>
      </c>
      <c r="L24" s="4">
        <v>276</v>
      </c>
      <c r="M24" s="12">
        <f t="shared" si="1"/>
        <v>276000000</v>
      </c>
      <c r="N24" s="4">
        <v>276</v>
      </c>
      <c r="O24" s="4">
        <v>276</v>
      </c>
      <c r="P24" s="4" t="s">
        <v>110</v>
      </c>
      <c r="Q24" s="4">
        <v>0</v>
      </c>
      <c r="R24" s="18" t="s">
        <v>112</v>
      </c>
      <c r="S24" s="8" t="s">
        <v>114</v>
      </c>
      <c r="T24" s="8" t="s">
        <v>114</v>
      </c>
      <c r="U24" s="8" t="s">
        <v>115</v>
      </c>
      <c r="V24" s="8" t="s">
        <v>114</v>
      </c>
      <c r="W24" s="8" t="s">
        <v>115</v>
      </c>
    </row>
    <row r="25" spans="1:23" x14ac:dyDescent="0.35">
      <c r="A25" s="5" t="s">
        <v>24</v>
      </c>
      <c r="B25" s="4">
        <v>24</v>
      </c>
      <c r="C25" s="20">
        <v>3</v>
      </c>
      <c r="D25" s="17">
        <f t="shared" si="0"/>
        <v>3000000</v>
      </c>
      <c r="E25" s="6">
        <v>0</v>
      </c>
      <c r="F25" s="6">
        <v>0.05</v>
      </c>
      <c r="G25" s="9">
        <v>1</v>
      </c>
      <c r="H25" s="7">
        <v>2002</v>
      </c>
      <c r="I25" s="13">
        <v>20.9</v>
      </c>
      <c r="J25" s="2">
        <f t="shared" si="2"/>
        <v>20900000</v>
      </c>
      <c r="K25" s="4">
        <v>9.6999999999999993</v>
      </c>
      <c r="L25" s="4">
        <v>177.3</v>
      </c>
      <c r="M25" s="12">
        <f t="shared" si="1"/>
        <v>177300000</v>
      </c>
      <c r="N25" s="4">
        <v>177.3</v>
      </c>
      <c r="O25" s="4">
        <v>44</v>
      </c>
      <c r="P25" s="4" t="s">
        <v>110</v>
      </c>
      <c r="Q25" s="4">
        <v>0</v>
      </c>
      <c r="R25" s="18" t="s">
        <v>120</v>
      </c>
      <c r="S25" s="8" t="s">
        <v>112</v>
      </c>
      <c r="T25" s="8" t="s">
        <v>111</v>
      </c>
      <c r="U25" s="8" t="s">
        <v>121</v>
      </c>
      <c r="V25" s="8" t="s">
        <v>122</v>
      </c>
      <c r="W25" s="8" t="s">
        <v>121</v>
      </c>
    </row>
    <row r="26" spans="1:23" x14ac:dyDescent="0.35">
      <c r="A26" s="5" t="s">
        <v>86</v>
      </c>
      <c r="B26" s="4">
        <v>25</v>
      </c>
      <c r="C26" s="15"/>
      <c r="D26" s="17">
        <f t="shared" si="0"/>
        <v>0</v>
      </c>
      <c r="E26" s="6"/>
      <c r="F26" s="6"/>
      <c r="G26" s="9">
        <v>1</v>
      </c>
      <c r="H26" s="7"/>
      <c r="J26" s="2">
        <f t="shared" si="2"/>
        <v>0</v>
      </c>
      <c r="M26" s="12">
        <f t="shared" si="1"/>
        <v>0</v>
      </c>
      <c r="R26" s="18" t="s">
        <v>127</v>
      </c>
      <c r="S26" s="8"/>
      <c r="T26" s="8"/>
      <c r="U26" s="8"/>
      <c r="V26" s="8"/>
      <c r="W26" s="8"/>
    </row>
    <row r="27" spans="1:23" x14ac:dyDescent="0.35">
      <c r="A27" s="5" t="s">
        <v>25</v>
      </c>
      <c r="B27" s="4">
        <v>26</v>
      </c>
      <c r="C27" s="15">
        <v>0.5625</v>
      </c>
      <c r="D27" s="17">
        <f t="shared" si="0"/>
        <v>562500</v>
      </c>
      <c r="E27" s="6">
        <v>0</v>
      </c>
      <c r="F27" s="6">
        <v>0.05</v>
      </c>
      <c r="G27" s="9">
        <v>1</v>
      </c>
      <c r="H27" s="7">
        <v>2002</v>
      </c>
      <c r="I27" s="13">
        <v>17.399999999999999</v>
      </c>
      <c r="J27" s="2">
        <f t="shared" si="2"/>
        <v>17400000</v>
      </c>
      <c r="K27" s="4">
        <v>7.2</v>
      </c>
      <c r="L27" s="4">
        <v>234.7</v>
      </c>
      <c r="M27" s="12">
        <f t="shared" si="1"/>
        <v>234700000</v>
      </c>
      <c r="N27" s="4">
        <v>234.7</v>
      </c>
      <c r="O27" s="4">
        <v>52.799999999999983</v>
      </c>
      <c r="P27" s="4" t="s">
        <v>110</v>
      </c>
      <c r="Q27" s="4">
        <v>0</v>
      </c>
      <c r="R27" s="18" t="s">
        <v>112</v>
      </c>
      <c r="S27" s="8" t="s">
        <v>112</v>
      </c>
      <c r="T27" s="8" t="s">
        <v>117</v>
      </c>
      <c r="U27" s="8" t="s">
        <v>117</v>
      </c>
      <c r="V27" s="8" t="s">
        <v>117</v>
      </c>
      <c r="W27" s="8" t="s">
        <v>117</v>
      </c>
    </row>
    <row r="28" spans="1:23" x14ac:dyDescent="0.35">
      <c r="A28" s="5" t="s">
        <v>26</v>
      </c>
      <c r="B28" s="4">
        <v>27</v>
      </c>
      <c r="C28" s="15">
        <v>0.01</v>
      </c>
      <c r="D28" s="17">
        <f t="shared" si="0"/>
        <v>10000</v>
      </c>
      <c r="E28" s="6">
        <v>0</v>
      </c>
      <c r="F28" s="6">
        <v>0.05</v>
      </c>
      <c r="G28" s="9">
        <v>1</v>
      </c>
      <c r="H28" s="7">
        <v>2002</v>
      </c>
      <c r="I28" s="13">
        <v>17.600000000000001</v>
      </c>
      <c r="J28" s="2">
        <f t="shared" si="2"/>
        <v>17600000</v>
      </c>
      <c r="K28" s="4">
        <v>8.3000000000000007</v>
      </c>
      <c r="L28" s="4">
        <v>193.6</v>
      </c>
      <c r="M28" s="12">
        <f t="shared" si="1"/>
        <v>193600000</v>
      </c>
      <c r="N28" s="4">
        <v>193.6</v>
      </c>
      <c r="O28" s="4">
        <v>193.6</v>
      </c>
      <c r="P28" s="4" t="s">
        <v>110</v>
      </c>
      <c r="Q28" s="4">
        <v>0</v>
      </c>
      <c r="R28" s="18" t="s">
        <v>114</v>
      </c>
      <c r="S28" s="8" t="s">
        <v>117</v>
      </c>
      <c r="T28" s="8" t="s">
        <v>114</v>
      </c>
      <c r="U28" s="8" t="s">
        <v>115</v>
      </c>
      <c r="V28" s="8" t="s">
        <v>115</v>
      </c>
      <c r="W28" s="8" t="s">
        <v>115</v>
      </c>
    </row>
    <row r="29" spans="1:23" x14ac:dyDescent="0.35">
      <c r="A29" s="5" t="s">
        <v>27</v>
      </c>
      <c r="B29" s="4">
        <v>28</v>
      </c>
      <c r="C29" s="15">
        <v>3</v>
      </c>
      <c r="D29" s="17">
        <f t="shared" si="0"/>
        <v>3000000</v>
      </c>
      <c r="E29" s="6">
        <v>0</v>
      </c>
      <c r="F29" s="6">
        <v>0.05</v>
      </c>
      <c r="G29" s="9">
        <v>1</v>
      </c>
      <c r="H29" s="7">
        <v>2002</v>
      </c>
      <c r="I29" s="13">
        <v>19.399999999999999</v>
      </c>
      <c r="J29" s="2">
        <f t="shared" si="2"/>
        <v>19400000</v>
      </c>
      <c r="K29" s="4">
        <v>7.8</v>
      </c>
      <c r="L29" s="4">
        <v>308.8</v>
      </c>
      <c r="M29" s="12">
        <f t="shared" si="1"/>
        <v>308800000</v>
      </c>
      <c r="N29" s="4">
        <v>308.8</v>
      </c>
      <c r="O29" s="4">
        <v>246.3</v>
      </c>
      <c r="P29" s="4" t="s">
        <v>110</v>
      </c>
      <c r="Q29" s="4">
        <v>0</v>
      </c>
      <c r="R29" s="18" t="s">
        <v>120</v>
      </c>
      <c r="S29" s="8" t="s">
        <v>112</v>
      </c>
      <c r="T29" s="8" t="s">
        <v>111</v>
      </c>
      <c r="U29" s="8" t="s">
        <v>121</v>
      </c>
      <c r="V29" s="8" t="s">
        <v>122</v>
      </c>
      <c r="W29" s="8" t="s">
        <v>121</v>
      </c>
    </row>
    <row r="30" spans="1:23" x14ac:dyDescent="0.35">
      <c r="A30" s="5" t="s">
        <v>28</v>
      </c>
      <c r="B30" s="4">
        <v>29</v>
      </c>
      <c r="C30" s="15">
        <v>3.72</v>
      </c>
      <c r="D30" s="17">
        <f t="shared" si="0"/>
        <v>3720000</v>
      </c>
      <c r="E30" s="6">
        <v>0</v>
      </c>
      <c r="F30" s="6">
        <v>0.05</v>
      </c>
      <c r="G30" s="9">
        <v>1</v>
      </c>
      <c r="H30" s="7">
        <v>2002</v>
      </c>
      <c r="I30" s="13">
        <v>17.8</v>
      </c>
      <c r="J30" s="2">
        <f t="shared" si="2"/>
        <v>17800000</v>
      </c>
      <c r="K30" s="4">
        <v>8.4</v>
      </c>
      <c r="L30" s="4">
        <v>117.3</v>
      </c>
      <c r="M30" s="12">
        <f t="shared" si="1"/>
        <v>117300000</v>
      </c>
      <c r="N30" s="4">
        <v>117.3</v>
      </c>
      <c r="O30" s="4">
        <v>117.3</v>
      </c>
      <c r="P30" s="4" t="s">
        <v>110</v>
      </c>
      <c r="Q30" s="4">
        <v>0</v>
      </c>
      <c r="R30" s="18" t="s">
        <v>117</v>
      </c>
      <c r="S30" s="8" t="s">
        <v>117</v>
      </c>
      <c r="T30" s="8" t="s">
        <v>115</v>
      </c>
      <c r="U30" s="8" t="s">
        <v>115</v>
      </c>
      <c r="V30" s="8" t="s">
        <v>117</v>
      </c>
      <c r="W30" s="8" t="s">
        <v>115</v>
      </c>
    </row>
    <row r="31" spans="1:23" x14ac:dyDescent="0.35">
      <c r="A31" s="5" t="s">
        <v>29</v>
      </c>
      <c r="B31" s="4">
        <v>30</v>
      </c>
      <c r="C31" s="15">
        <v>0.01</v>
      </c>
      <c r="D31" s="17">
        <f t="shared" si="0"/>
        <v>10000</v>
      </c>
      <c r="E31" s="6">
        <v>0</v>
      </c>
      <c r="F31" s="6">
        <v>0.05</v>
      </c>
      <c r="G31" s="9">
        <v>1</v>
      </c>
      <c r="H31" s="7">
        <v>2002</v>
      </c>
      <c r="I31" s="13">
        <v>20.3</v>
      </c>
      <c r="J31" s="2">
        <f t="shared" si="2"/>
        <v>20300000</v>
      </c>
      <c r="K31" s="4">
        <v>9.5</v>
      </c>
      <c r="L31" s="4">
        <v>168</v>
      </c>
      <c r="M31" s="12">
        <f t="shared" si="1"/>
        <v>168000000</v>
      </c>
      <c r="N31" s="4">
        <v>168</v>
      </c>
      <c r="O31" s="4">
        <v>168</v>
      </c>
      <c r="P31" s="4" t="s">
        <v>110</v>
      </c>
      <c r="Q31" s="4">
        <v>0</v>
      </c>
      <c r="R31" s="18" t="s">
        <v>117</v>
      </c>
      <c r="S31" s="8" t="s">
        <v>117</v>
      </c>
      <c r="T31" s="8" t="s">
        <v>117</v>
      </c>
      <c r="U31" s="8" t="s">
        <v>115</v>
      </c>
      <c r="V31" s="8" t="s">
        <v>115</v>
      </c>
      <c r="W31" s="8" t="s">
        <v>115</v>
      </c>
    </row>
    <row r="32" spans="1:23" x14ac:dyDescent="0.35">
      <c r="A32" s="5" t="s">
        <v>30</v>
      </c>
      <c r="B32" s="4">
        <v>31</v>
      </c>
      <c r="C32" s="15">
        <v>3.5374999999999996</v>
      </c>
      <c r="D32" s="17">
        <f t="shared" si="0"/>
        <v>3537499.9999999995</v>
      </c>
      <c r="E32" s="6">
        <v>0</v>
      </c>
      <c r="F32" s="6">
        <v>0.05</v>
      </c>
      <c r="G32" s="9">
        <v>1</v>
      </c>
      <c r="H32" s="7">
        <v>2002</v>
      </c>
      <c r="I32" s="13">
        <v>20.7</v>
      </c>
      <c r="J32" s="2">
        <f t="shared" si="2"/>
        <v>20700000</v>
      </c>
      <c r="K32" s="4">
        <v>11.7</v>
      </c>
      <c r="L32" s="4">
        <v>389.4</v>
      </c>
      <c r="M32" s="12">
        <f t="shared" si="1"/>
        <v>389400000</v>
      </c>
      <c r="N32" s="4">
        <v>389.4</v>
      </c>
      <c r="O32" s="4">
        <v>384.5</v>
      </c>
      <c r="P32" s="4" t="s">
        <v>110</v>
      </c>
      <c r="Q32" s="4">
        <v>0</v>
      </c>
      <c r="R32" s="18" t="s">
        <v>112</v>
      </c>
      <c r="S32" s="8" t="s">
        <v>114</v>
      </c>
      <c r="T32" s="8" t="s">
        <v>115</v>
      </c>
      <c r="U32" s="8" t="s">
        <v>114</v>
      </c>
      <c r="V32" s="8" t="s">
        <v>115</v>
      </c>
      <c r="W32" s="8" t="s">
        <v>114</v>
      </c>
    </row>
    <row r="33" spans="1:23" x14ac:dyDescent="0.35">
      <c r="A33" s="5" t="s">
        <v>99</v>
      </c>
      <c r="B33" s="4">
        <v>32</v>
      </c>
      <c r="C33" s="15"/>
      <c r="D33" s="17">
        <f t="shared" si="0"/>
        <v>0</v>
      </c>
      <c r="E33" s="6"/>
      <c r="F33" s="6"/>
      <c r="G33" s="9">
        <v>1</v>
      </c>
      <c r="H33" s="7"/>
      <c r="J33" s="2">
        <f t="shared" si="2"/>
        <v>0</v>
      </c>
      <c r="M33" s="12">
        <f t="shared" si="1"/>
        <v>0</v>
      </c>
      <c r="R33" s="18" t="s">
        <v>128</v>
      </c>
      <c r="S33" s="8"/>
      <c r="T33" s="8"/>
      <c r="U33" s="8"/>
      <c r="V33" s="8"/>
      <c r="W33" s="8"/>
    </row>
    <row r="34" spans="1:23" x14ac:dyDescent="0.35">
      <c r="A34" s="5" t="s">
        <v>31</v>
      </c>
      <c r="B34" s="4">
        <v>33</v>
      </c>
      <c r="C34" s="15">
        <v>0.27500000000000002</v>
      </c>
      <c r="D34" s="17">
        <f t="shared" si="0"/>
        <v>275000</v>
      </c>
      <c r="E34" s="6">
        <v>0</v>
      </c>
      <c r="F34" s="6">
        <v>0.05</v>
      </c>
      <c r="G34" s="9">
        <v>1</v>
      </c>
      <c r="H34" s="7">
        <v>2002</v>
      </c>
      <c r="I34" s="13">
        <v>23.2</v>
      </c>
      <c r="J34" s="2">
        <f t="shared" si="2"/>
        <v>23200000</v>
      </c>
      <c r="K34" s="4">
        <v>11</v>
      </c>
      <c r="L34" s="4">
        <v>24.3</v>
      </c>
      <c r="M34" s="12">
        <f t="shared" si="1"/>
        <v>24300000</v>
      </c>
      <c r="N34" s="4">
        <v>24.3</v>
      </c>
      <c r="O34" s="4">
        <v>18</v>
      </c>
      <c r="P34" s="4" t="s">
        <v>110</v>
      </c>
      <c r="Q34" s="4">
        <v>0</v>
      </c>
      <c r="R34" s="18" t="s">
        <v>114</v>
      </c>
      <c r="S34" s="8" t="s">
        <v>114</v>
      </c>
      <c r="T34" s="8" t="s">
        <v>115</v>
      </c>
      <c r="U34" s="8" t="s">
        <v>115</v>
      </c>
      <c r="V34" s="8" t="s">
        <v>117</v>
      </c>
      <c r="W34" s="8" t="s">
        <v>117</v>
      </c>
    </row>
    <row r="35" spans="1:23" x14ac:dyDescent="0.35">
      <c r="A35" s="5" t="s">
        <v>32</v>
      </c>
      <c r="B35" s="4">
        <v>34</v>
      </c>
      <c r="C35" s="15">
        <v>3.0125000000000002</v>
      </c>
      <c r="D35" s="17">
        <f t="shared" si="0"/>
        <v>3012500</v>
      </c>
      <c r="E35" s="6">
        <v>0</v>
      </c>
      <c r="F35" s="6">
        <v>0.05</v>
      </c>
      <c r="G35" s="9">
        <v>1</v>
      </c>
      <c r="H35" s="7">
        <v>2002</v>
      </c>
      <c r="I35" s="13">
        <v>22.7</v>
      </c>
      <c r="J35" s="2">
        <f t="shared" si="2"/>
        <v>22700000</v>
      </c>
      <c r="K35" s="4">
        <v>11.5</v>
      </c>
      <c r="L35" s="4">
        <v>0</v>
      </c>
      <c r="M35" s="12">
        <f t="shared" si="1"/>
        <v>0</v>
      </c>
      <c r="N35" s="4">
        <v>0</v>
      </c>
      <c r="O35" s="4">
        <v>0</v>
      </c>
      <c r="P35" s="4" t="s">
        <v>110</v>
      </c>
      <c r="Q35" s="4">
        <v>0</v>
      </c>
      <c r="R35" s="18" t="s">
        <v>112</v>
      </c>
      <c r="S35" s="8" t="s">
        <v>117</v>
      </c>
      <c r="T35" s="8" t="s">
        <v>115</v>
      </c>
      <c r="U35" s="8" t="s">
        <v>112</v>
      </c>
      <c r="V35" s="8" t="s">
        <v>115</v>
      </c>
      <c r="W35" s="8" t="s">
        <v>115</v>
      </c>
    </row>
    <row r="36" spans="1:23" x14ac:dyDescent="0.35">
      <c r="A36" s="5" t="s">
        <v>33</v>
      </c>
      <c r="B36" s="4">
        <v>35</v>
      </c>
      <c r="C36" s="15">
        <v>1.3387499999999999</v>
      </c>
      <c r="D36" s="17">
        <f t="shared" si="0"/>
        <v>1338750</v>
      </c>
      <c r="E36" s="6">
        <v>0</v>
      </c>
      <c r="F36" s="6">
        <v>0.05</v>
      </c>
      <c r="G36" s="9">
        <v>1</v>
      </c>
      <c r="H36" s="7">
        <v>2002</v>
      </c>
      <c r="I36" s="13">
        <v>22.6</v>
      </c>
      <c r="J36" s="2">
        <f t="shared" si="2"/>
        <v>22600000</v>
      </c>
      <c r="K36" s="4">
        <v>11.1</v>
      </c>
      <c r="L36" s="4">
        <v>334</v>
      </c>
      <c r="M36" s="12">
        <f t="shared" si="1"/>
        <v>334000000</v>
      </c>
      <c r="N36" s="4">
        <v>334</v>
      </c>
      <c r="O36" s="4">
        <v>334</v>
      </c>
      <c r="P36" s="4" t="s">
        <v>110</v>
      </c>
      <c r="Q36" s="4">
        <v>0</v>
      </c>
      <c r="R36" s="18" t="s">
        <v>111</v>
      </c>
      <c r="S36" s="8" t="s">
        <v>114</v>
      </c>
      <c r="T36" s="8" t="s">
        <v>113</v>
      </c>
      <c r="U36" s="8" t="s">
        <v>113</v>
      </c>
      <c r="V36" s="8" t="s">
        <v>115</v>
      </c>
      <c r="W36" s="8" t="s">
        <v>115</v>
      </c>
    </row>
    <row r="37" spans="1:23" x14ac:dyDescent="0.35">
      <c r="A37" s="5" t="s">
        <v>88</v>
      </c>
      <c r="B37" s="4">
        <v>36</v>
      </c>
      <c r="C37" s="15"/>
      <c r="D37" s="17">
        <f t="shared" si="0"/>
        <v>0</v>
      </c>
      <c r="E37" s="6"/>
      <c r="F37" s="6"/>
      <c r="G37" s="9">
        <v>1</v>
      </c>
      <c r="H37" s="7"/>
      <c r="J37" s="2">
        <f t="shared" si="2"/>
        <v>0</v>
      </c>
      <c r="M37" s="12">
        <f t="shared" si="1"/>
        <v>0</v>
      </c>
      <c r="R37" s="18" t="s">
        <v>129</v>
      </c>
      <c r="S37" s="8"/>
      <c r="T37" s="8"/>
      <c r="U37" s="8"/>
      <c r="V37" s="8"/>
      <c r="W37" s="8"/>
    </row>
    <row r="38" spans="1:23" x14ac:dyDescent="0.35">
      <c r="A38" s="5" t="s">
        <v>34</v>
      </c>
      <c r="B38" s="4">
        <v>37</v>
      </c>
      <c r="C38" s="15">
        <v>3.2149999999999999</v>
      </c>
      <c r="D38" s="17">
        <f t="shared" si="0"/>
        <v>3215000</v>
      </c>
      <c r="E38" s="6">
        <v>0</v>
      </c>
      <c r="F38" s="6">
        <v>0.05</v>
      </c>
      <c r="G38" s="9">
        <v>1</v>
      </c>
      <c r="H38" s="7">
        <v>2002</v>
      </c>
      <c r="I38" s="13">
        <v>17.8</v>
      </c>
      <c r="J38" s="2">
        <f t="shared" si="2"/>
        <v>17800000</v>
      </c>
      <c r="K38" s="4">
        <v>8.9</v>
      </c>
      <c r="L38" s="4">
        <v>91</v>
      </c>
      <c r="M38" s="12">
        <f t="shared" si="1"/>
        <v>91000000</v>
      </c>
      <c r="N38" s="4">
        <v>91</v>
      </c>
      <c r="O38" s="4">
        <v>91</v>
      </c>
      <c r="P38" s="4" t="s">
        <v>110</v>
      </c>
      <c r="Q38" s="4">
        <v>0</v>
      </c>
      <c r="R38" s="18" t="s">
        <v>113</v>
      </c>
      <c r="S38" s="8" t="s">
        <v>117</v>
      </c>
      <c r="T38" s="8" t="s">
        <v>115</v>
      </c>
      <c r="U38" s="8" t="s">
        <v>115</v>
      </c>
      <c r="V38" s="8" t="s">
        <v>113</v>
      </c>
      <c r="W38" s="8" t="s">
        <v>115</v>
      </c>
    </row>
    <row r="39" spans="1:23" x14ac:dyDescent="0.35">
      <c r="A39" s="5" t="s">
        <v>35</v>
      </c>
      <c r="B39" s="4">
        <v>38</v>
      </c>
      <c r="C39" s="15">
        <v>0.06</v>
      </c>
      <c r="D39" s="17">
        <f t="shared" si="0"/>
        <v>60000</v>
      </c>
      <c r="E39" s="6">
        <v>0</v>
      </c>
      <c r="F39" s="6">
        <v>0.05</v>
      </c>
      <c r="G39" s="9">
        <v>1</v>
      </c>
      <c r="H39" s="7">
        <v>2002</v>
      </c>
      <c r="I39" s="13">
        <v>16.7</v>
      </c>
      <c r="J39" s="2">
        <f t="shared" si="2"/>
        <v>16700000</v>
      </c>
      <c r="K39" s="4">
        <v>11.2</v>
      </c>
      <c r="L39" s="4">
        <v>248.9</v>
      </c>
      <c r="M39" s="12">
        <f t="shared" si="1"/>
        <v>248900000</v>
      </c>
      <c r="N39" s="4">
        <v>248.9</v>
      </c>
      <c r="O39" s="4">
        <v>248.9</v>
      </c>
      <c r="P39" s="4" t="s">
        <v>110</v>
      </c>
      <c r="Q39" s="4">
        <v>0</v>
      </c>
      <c r="R39" s="18" t="s">
        <v>117</v>
      </c>
      <c r="S39" s="8" t="s">
        <v>117</v>
      </c>
      <c r="T39" s="8" t="s">
        <v>115</v>
      </c>
      <c r="U39" s="8" t="s">
        <v>117</v>
      </c>
      <c r="V39" s="8" t="s">
        <v>115</v>
      </c>
      <c r="W39" s="8" t="s">
        <v>115</v>
      </c>
    </row>
    <row r="40" spans="1:23" x14ac:dyDescent="0.35">
      <c r="A40" s="5" t="s">
        <v>36</v>
      </c>
      <c r="B40" s="4">
        <v>39</v>
      </c>
      <c r="C40" s="15">
        <v>2.4324999999999997</v>
      </c>
      <c r="D40" s="17">
        <f t="shared" si="0"/>
        <v>2432499.9999999995</v>
      </c>
      <c r="E40" s="6">
        <v>0</v>
      </c>
      <c r="F40" s="6">
        <v>0.05</v>
      </c>
      <c r="G40" s="9">
        <v>1</v>
      </c>
      <c r="H40" s="7">
        <v>2002</v>
      </c>
      <c r="I40" s="13">
        <v>18.899999999999999</v>
      </c>
      <c r="J40" s="2">
        <f t="shared" si="2"/>
        <v>18900000</v>
      </c>
      <c r="K40" s="4">
        <v>9.8000000000000007</v>
      </c>
      <c r="L40" s="4">
        <v>316.5</v>
      </c>
      <c r="M40" s="12">
        <f t="shared" si="1"/>
        <v>316500000</v>
      </c>
      <c r="N40" s="4">
        <v>316.5</v>
      </c>
      <c r="O40" s="4">
        <v>25</v>
      </c>
      <c r="P40" s="4" t="s">
        <v>110</v>
      </c>
      <c r="Q40" s="4">
        <v>0</v>
      </c>
      <c r="R40" s="18" t="s">
        <v>113</v>
      </c>
      <c r="S40" s="8" t="s">
        <v>112</v>
      </c>
      <c r="T40" s="8" t="s">
        <v>114</v>
      </c>
      <c r="U40" s="8" t="s">
        <v>114</v>
      </c>
      <c r="V40" s="8" t="s">
        <v>114</v>
      </c>
      <c r="W40" s="8" t="s">
        <v>114</v>
      </c>
    </row>
    <row r="41" spans="1:23" x14ac:dyDescent="0.35">
      <c r="A41" s="5" t="s">
        <v>37</v>
      </c>
      <c r="B41" s="4">
        <v>40</v>
      </c>
      <c r="C41" s="15">
        <v>1.81</v>
      </c>
      <c r="D41" s="17">
        <f t="shared" si="0"/>
        <v>1810000</v>
      </c>
      <c r="E41" s="6">
        <v>0</v>
      </c>
      <c r="F41" s="6">
        <v>0.05</v>
      </c>
      <c r="G41" s="9">
        <v>1</v>
      </c>
      <c r="H41" s="7">
        <v>2002</v>
      </c>
      <c r="I41" s="13">
        <v>21.4</v>
      </c>
      <c r="J41" s="2">
        <f t="shared" si="2"/>
        <v>21400000</v>
      </c>
      <c r="K41" s="4">
        <v>10.5</v>
      </c>
      <c r="L41" s="4">
        <v>407.6</v>
      </c>
      <c r="M41" s="12">
        <f t="shared" si="1"/>
        <v>407600000</v>
      </c>
      <c r="N41" s="4">
        <v>407.6</v>
      </c>
      <c r="O41" s="4">
        <v>0</v>
      </c>
      <c r="P41" s="4" t="s">
        <v>110</v>
      </c>
      <c r="Q41" s="4">
        <v>0</v>
      </c>
      <c r="R41" s="18" t="s">
        <v>117</v>
      </c>
      <c r="S41" s="8" t="s">
        <v>117</v>
      </c>
      <c r="T41" s="8" t="s">
        <v>115</v>
      </c>
      <c r="U41" s="8" t="s">
        <v>115</v>
      </c>
      <c r="V41" s="8" t="s">
        <v>115</v>
      </c>
      <c r="W41" s="8" t="s">
        <v>117</v>
      </c>
    </row>
    <row r="42" spans="1:23" x14ac:dyDescent="0.35">
      <c r="A42" s="5" t="s">
        <v>38</v>
      </c>
      <c r="B42" s="4">
        <v>41</v>
      </c>
      <c r="C42" s="15">
        <v>6.5925000000000002</v>
      </c>
      <c r="D42" s="17">
        <f t="shared" si="0"/>
        <v>6592500</v>
      </c>
      <c r="E42" s="6">
        <v>0</v>
      </c>
      <c r="F42" s="6">
        <v>0.05</v>
      </c>
      <c r="G42" s="9">
        <v>1</v>
      </c>
      <c r="H42" s="7">
        <v>2002</v>
      </c>
      <c r="I42" s="13">
        <v>23</v>
      </c>
      <c r="J42" s="2">
        <f t="shared" si="2"/>
        <v>23000000</v>
      </c>
      <c r="K42" s="4">
        <v>11.6</v>
      </c>
      <c r="L42" s="4">
        <v>255.9</v>
      </c>
      <c r="M42" s="12">
        <f t="shared" si="1"/>
        <v>255900000</v>
      </c>
      <c r="N42" s="4">
        <v>255.9</v>
      </c>
      <c r="O42" s="4">
        <v>28.099999999999994</v>
      </c>
      <c r="P42" s="4" t="s">
        <v>110</v>
      </c>
      <c r="Q42" s="4">
        <v>0</v>
      </c>
      <c r="R42" s="18" t="s">
        <v>112</v>
      </c>
      <c r="S42" s="8" t="s">
        <v>116</v>
      </c>
      <c r="T42" s="8" t="s">
        <v>115</v>
      </c>
      <c r="U42" s="8" t="s">
        <v>114</v>
      </c>
      <c r="V42" s="8" t="s">
        <v>117</v>
      </c>
      <c r="W42" s="8" t="s">
        <v>117</v>
      </c>
    </row>
    <row r="43" spans="1:23" x14ac:dyDescent="0.35">
      <c r="A43" s="5" t="s">
        <v>39</v>
      </c>
      <c r="B43" s="4">
        <v>42</v>
      </c>
      <c r="C43" s="15">
        <v>12.133749999999999</v>
      </c>
      <c r="D43" s="17">
        <f t="shared" si="0"/>
        <v>12133750</v>
      </c>
      <c r="E43" s="6">
        <v>0</v>
      </c>
      <c r="F43" s="6">
        <v>0.05</v>
      </c>
      <c r="G43" s="9">
        <v>1</v>
      </c>
      <c r="H43" s="7">
        <v>2002</v>
      </c>
      <c r="I43" s="13">
        <v>20.5</v>
      </c>
      <c r="J43" s="2">
        <f t="shared" si="2"/>
        <v>20500000</v>
      </c>
      <c r="K43" s="4">
        <v>13.4</v>
      </c>
      <c r="L43" s="4">
        <v>123.2</v>
      </c>
      <c r="M43" s="12">
        <f t="shared" si="1"/>
        <v>123200000</v>
      </c>
      <c r="N43" s="4">
        <v>123.2</v>
      </c>
      <c r="O43" s="4">
        <v>112.7</v>
      </c>
      <c r="P43" s="4" t="s">
        <v>110</v>
      </c>
      <c r="Q43" s="4">
        <v>0</v>
      </c>
      <c r="R43" s="18" t="s">
        <v>113</v>
      </c>
      <c r="S43" s="8" t="s">
        <v>114</v>
      </c>
      <c r="T43" s="8" t="s">
        <v>115</v>
      </c>
      <c r="U43" s="8" t="s">
        <v>112</v>
      </c>
      <c r="V43" s="8" t="s">
        <v>115</v>
      </c>
      <c r="W43" s="8" t="s">
        <v>112</v>
      </c>
    </row>
    <row r="44" spans="1:23" x14ac:dyDescent="0.35">
      <c r="A44" s="5" t="s">
        <v>40</v>
      </c>
      <c r="B44" s="4">
        <v>43</v>
      </c>
      <c r="C44" s="15">
        <v>2.1712500000000001</v>
      </c>
      <c r="D44" s="17">
        <f t="shared" si="0"/>
        <v>2171250</v>
      </c>
      <c r="E44" s="6">
        <v>0</v>
      </c>
      <c r="F44" s="6">
        <v>0.05</v>
      </c>
      <c r="G44" s="9">
        <v>1</v>
      </c>
      <c r="H44" s="7">
        <v>2002</v>
      </c>
      <c r="I44" s="13">
        <v>21.6</v>
      </c>
      <c r="J44" s="2">
        <f t="shared" si="2"/>
        <v>21600000</v>
      </c>
      <c r="K44" s="4">
        <v>13.1</v>
      </c>
      <c r="L44" s="4">
        <v>236.6</v>
      </c>
      <c r="M44" s="12">
        <f t="shared" si="1"/>
        <v>236600000</v>
      </c>
      <c r="N44" s="4">
        <v>236.6</v>
      </c>
      <c r="O44" s="4">
        <v>139.80000000000001</v>
      </c>
      <c r="P44" s="4" t="s">
        <v>110</v>
      </c>
      <c r="Q44" s="4">
        <v>0</v>
      </c>
      <c r="R44" s="18" t="s">
        <v>111</v>
      </c>
      <c r="S44" s="8" t="s">
        <v>112</v>
      </c>
      <c r="T44" s="8" t="s">
        <v>112</v>
      </c>
      <c r="U44" s="8" t="s">
        <v>112</v>
      </c>
      <c r="V44" s="8" t="s">
        <v>112</v>
      </c>
      <c r="W44" s="8" t="s">
        <v>112</v>
      </c>
    </row>
    <row r="45" spans="1:23" x14ac:dyDescent="0.35">
      <c r="A45" s="5" t="s">
        <v>41</v>
      </c>
      <c r="B45" s="4">
        <v>44</v>
      </c>
      <c r="C45" s="15">
        <v>2.2949999999999999</v>
      </c>
      <c r="D45" s="17">
        <f t="shared" si="0"/>
        <v>2295000</v>
      </c>
      <c r="E45" s="6">
        <v>0</v>
      </c>
      <c r="F45" s="6">
        <v>0.05</v>
      </c>
      <c r="G45" s="9">
        <v>1</v>
      </c>
      <c r="H45" s="7">
        <v>2002</v>
      </c>
      <c r="I45" s="13">
        <v>23</v>
      </c>
      <c r="J45" s="2">
        <f t="shared" si="2"/>
        <v>23000000</v>
      </c>
      <c r="K45" s="4">
        <v>12.7</v>
      </c>
      <c r="L45" s="4">
        <v>283</v>
      </c>
      <c r="M45" s="12">
        <f t="shared" si="1"/>
        <v>283000000</v>
      </c>
      <c r="N45" s="4">
        <v>283</v>
      </c>
      <c r="O45" s="4">
        <v>283</v>
      </c>
      <c r="P45" s="4" t="s">
        <v>110</v>
      </c>
      <c r="Q45" s="4">
        <v>0</v>
      </c>
      <c r="R45" s="18" t="s">
        <v>114</v>
      </c>
      <c r="S45" s="8" t="s">
        <v>117</v>
      </c>
      <c r="T45" s="8" t="s">
        <v>115</v>
      </c>
      <c r="U45" s="8" t="s">
        <v>114</v>
      </c>
      <c r="V45" s="8" t="s">
        <v>115</v>
      </c>
      <c r="W45" s="8" t="s">
        <v>115</v>
      </c>
    </row>
    <row r="46" spans="1:23" x14ac:dyDescent="0.35">
      <c r="A46" s="5" t="s">
        <v>42</v>
      </c>
      <c r="B46" s="4">
        <v>45</v>
      </c>
      <c r="C46" s="15">
        <v>0.15</v>
      </c>
      <c r="D46" s="17">
        <f t="shared" si="0"/>
        <v>150000</v>
      </c>
      <c r="E46" s="6">
        <v>0</v>
      </c>
      <c r="F46" s="6">
        <v>0.05</v>
      </c>
      <c r="G46" s="9">
        <v>1</v>
      </c>
      <c r="H46" s="7">
        <v>2002</v>
      </c>
      <c r="I46" s="13">
        <v>23.1</v>
      </c>
      <c r="J46" s="2">
        <f t="shared" si="2"/>
        <v>23100000</v>
      </c>
      <c r="K46" s="4">
        <v>12.9</v>
      </c>
      <c r="L46" s="4">
        <v>215.1</v>
      </c>
      <c r="M46" s="12">
        <f t="shared" si="1"/>
        <v>215100000</v>
      </c>
      <c r="N46" s="4">
        <v>215.1</v>
      </c>
      <c r="O46" s="4">
        <v>214.9</v>
      </c>
      <c r="P46" s="4" t="s">
        <v>110</v>
      </c>
      <c r="Q46" s="4">
        <v>0</v>
      </c>
      <c r="R46" s="18" t="s">
        <v>114</v>
      </c>
      <c r="S46" s="8" t="s">
        <v>114</v>
      </c>
      <c r="T46" s="8" t="s">
        <v>115</v>
      </c>
      <c r="U46" s="8" t="s">
        <v>117</v>
      </c>
      <c r="V46" s="8" t="s">
        <v>115</v>
      </c>
      <c r="W46" s="8" t="s">
        <v>117</v>
      </c>
    </row>
    <row r="47" spans="1:23" x14ac:dyDescent="0.35">
      <c r="A47" s="5" t="s">
        <v>43</v>
      </c>
      <c r="B47" s="4">
        <v>46</v>
      </c>
      <c r="C47" s="15">
        <v>2.6775000000000002</v>
      </c>
      <c r="D47" s="17">
        <f t="shared" si="0"/>
        <v>2677500</v>
      </c>
      <c r="E47" s="6">
        <v>0</v>
      </c>
      <c r="F47" s="6">
        <v>0.05</v>
      </c>
      <c r="G47" s="9">
        <v>1</v>
      </c>
      <c r="H47" s="7">
        <v>2002</v>
      </c>
      <c r="I47" s="13">
        <v>22.9</v>
      </c>
      <c r="J47" s="2">
        <f t="shared" si="2"/>
        <v>22900000</v>
      </c>
      <c r="K47" s="4">
        <v>12.7</v>
      </c>
      <c r="L47" s="4">
        <v>241.3</v>
      </c>
      <c r="M47" s="12">
        <f t="shared" si="1"/>
        <v>241300000</v>
      </c>
      <c r="N47" s="4">
        <v>241.3</v>
      </c>
      <c r="O47" s="4">
        <v>155.4</v>
      </c>
      <c r="P47" s="4" t="s">
        <v>110</v>
      </c>
      <c r="Q47" s="4">
        <v>0</v>
      </c>
      <c r="R47" s="18" t="s">
        <v>113</v>
      </c>
      <c r="S47" s="8" t="s">
        <v>116</v>
      </c>
      <c r="T47" s="8" t="s">
        <v>115</v>
      </c>
      <c r="U47" s="8" t="s">
        <v>114</v>
      </c>
      <c r="V47" s="8" t="s">
        <v>116</v>
      </c>
      <c r="W47" s="8" t="s">
        <v>116</v>
      </c>
    </row>
    <row r="48" spans="1:23" x14ac:dyDescent="0.35">
      <c r="A48" s="5" t="s">
        <v>44</v>
      </c>
      <c r="B48" s="4">
        <v>47</v>
      </c>
      <c r="C48" s="15">
        <v>2.1512500000000001</v>
      </c>
      <c r="D48" s="17">
        <f t="shared" si="0"/>
        <v>2151250</v>
      </c>
      <c r="E48" s="6">
        <v>0</v>
      </c>
      <c r="F48" s="6">
        <v>0.05</v>
      </c>
      <c r="G48" s="9">
        <v>1</v>
      </c>
      <c r="H48" s="7">
        <v>2002</v>
      </c>
      <c r="I48" s="13">
        <v>22.8</v>
      </c>
      <c r="J48" s="2">
        <f t="shared" si="2"/>
        <v>22800000</v>
      </c>
      <c r="K48" s="4">
        <v>12.4</v>
      </c>
      <c r="L48" s="4">
        <v>209.3</v>
      </c>
      <c r="M48" s="12">
        <f t="shared" si="1"/>
        <v>209300000</v>
      </c>
      <c r="N48" s="4">
        <v>209.3</v>
      </c>
      <c r="O48" s="4">
        <v>77.200000000000017</v>
      </c>
      <c r="P48" s="4" t="s">
        <v>110</v>
      </c>
      <c r="Q48" s="4">
        <v>0</v>
      </c>
      <c r="R48" s="18" t="s">
        <v>111</v>
      </c>
      <c r="S48" s="8" t="s">
        <v>116</v>
      </c>
      <c r="T48" s="8" t="s">
        <v>119</v>
      </c>
      <c r="U48" s="8" t="s">
        <v>115</v>
      </c>
      <c r="V48" s="8" t="s">
        <v>119</v>
      </c>
      <c r="W48" s="8" t="s">
        <v>118</v>
      </c>
    </row>
    <row r="49" spans="1:23" x14ac:dyDescent="0.35">
      <c r="A49" s="5" t="s">
        <v>94</v>
      </c>
      <c r="B49" s="4">
        <v>48</v>
      </c>
      <c r="C49" s="15"/>
      <c r="D49" s="17">
        <f t="shared" si="0"/>
        <v>0</v>
      </c>
      <c r="E49" s="6"/>
      <c r="F49" s="6"/>
      <c r="G49" s="9">
        <v>1</v>
      </c>
      <c r="H49" s="7"/>
      <c r="J49" s="2">
        <f t="shared" si="2"/>
        <v>0</v>
      </c>
      <c r="M49" s="12">
        <f t="shared" si="1"/>
        <v>0</v>
      </c>
      <c r="R49" s="18" t="s">
        <v>131</v>
      </c>
      <c r="S49" s="8"/>
      <c r="T49" s="8"/>
      <c r="U49" s="8"/>
      <c r="V49" s="8"/>
      <c r="W49" s="8"/>
    </row>
    <row r="50" spans="1:23" x14ac:dyDescent="0.35">
      <c r="A50" s="5" t="s">
        <v>95</v>
      </c>
      <c r="B50" s="4">
        <v>49</v>
      </c>
      <c r="C50" s="15"/>
      <c r="D50" s="17">
        <f t="shared" si="0"/>
        <v>0</v>
      </c>
      <c r="E50" s="6"/>
      <c r="F50" s="6"/>
      <c r="G50" s="9">
        <v>1</v>
      </c>
      <c r="H50" s="7"/>
      <c r="J50" s="2">
        <f t="shared" si="2"/>
        <v>0</v>
      </c>
      <c r="M50" s="12">
        <f t="shared" si="1"/>
        <v>0</v>
      </c>
      <c r="R50" s="18" t="s">
        <v>131</v>
      </c>
      <c r="S50" s="8"/>
      <c r="T50" s="8"/>
      <c r="U50" s="8"/>
      <c r="V50" s="8"/>
      <c r="W50" s="8"/>
    </row>
    <row r="51" spans="1:23" x14ac:dyDescent="0.35">
      <c r="A51" s="5" t="s">
        <v>45</v>
      </c>
      <c r="B51" s="4">
        <v>50</v>
      </c>
      <c r="C51" s="15">
        <v>2.69</v>
      </c>
      <c r="D51" s="17">
        <f t="shared" si="0"/>
        <v>2690000</v>
      </c>
      <c r="E51" s="6">
        <v>0</v>
      </c>
      <c r="F51" s="6">
        <v>0.05</v>
      </c>
      <c r="G51" s="9">
        <v>1</v>
      </c>
      <c r="H51" s="7">
        <v>2002</v>
      </c>
      <c r="I51" s="13">
        <v>21.6</v>
      </c>
      <c r="J51" s="2">
        <f t="shared" si="2"/>
        <v>21600000</v>
      </c>
      <c r="K51" s="4">
        <v>19.600000000000001</v>
      </c>
      <c r="L51" s="4">
        <v>31.9</v>
      </c>
      <c r="M51" s="12">
        <f t="shared" si="1"/>
        <v>31900000</v>
      </c>
      <c r="N51" s="4">
        <v>31.9</v>
      </c>
      <c r="O51" s="4">
        <v>31.9</v>
      </c>
      <c r="P51" s="4" t="s">
        <v>110</v>
      </c>
      <c r="Q51" s="4">
        <v>0</v>
      </c>
      <c r="R51" s="18" t="s">
        <v>117</v>
      </c>
      <c r="S51" s="8" t="s">
        <v>117</v>
      </c>
      <c r="T51" s="8" t="s">
        <v>115</v>
      </c>
      <c r="U51" s="8" t="s">
        <v>115</v>
      </c>
      <c r="V51" s="8" t="s">
        <v>117</v>
      </c>
      <c r="W51" s="8" t="s">
        <v>115</v>
      </c>
    </row>
    <row r="52" spans="1:23" x14ac:dyDescent="0.35">
      <c r="A52" s="5" t="s">
        <v>46</v>
      </c>
      <c r="B52" s="4">
        <v>51</v>
      </c>
      <c r="C52" s="15">
        <v>3.4999999999999996E-2</v>
      </c>
      <c r="D52" s="17">
        <f t="shared" si="0"/>
        <v>35000</v>
      </c>
      <c r="E52" s="6">
        <v>0</v>
      </c>
      <c r="F52" s="6">
        <v>0.05</v>
      </c>
      <c r="G52" s="9">
        <v>1</v>
      </c>
      <c r="H52" s="7">
        <v>2002</v>
      </c>
      <c r="I52" s="13">
        <v>20.2</v>
      </c>
      <c r="J52" s="2">
        <f t="shared" si="2"/>
        <v>20200000</v>
      </c>
      <c r="K52" s="4">
        <v>17.600000000000001</v>
      </c>
      <c r="L52" s="4">
        <v>143.19999999999999</v>
      </c>
      <c r="M52" s="12">
        <f t="shared" si="1"/>
        <v>143200000</v>
      </c>
      <c r="N52" s="4">
        <v>143.19999999999999</v>
      </c>
      <c r="O52" s="4">
        <v>143.19999999999999</v>
      </c>
      <c r="P52" s="4" t="s">
        <v>110</v>
      </c>
      <c r="Q52" s="4">
        <v>0</v>
      </c>
      <c r="R52" s="18" t="s">
        <v>114</v>
      </c>
      <c r="S52" s="8" t="s">
        <v>114</v>
      </c>
      <c r="T52" s="8" t="s">
        <v>117</v>
      </c>
      <c r="U52" s="8" t="s">
        <v>115</v>
      </c>
      <c r="V52" s="8" t="s">
        <v>117</v>
      </c>
      <c r="W52" s="8" t="s">
        <v>115</v>
      </c>
    </row>
    <row r="53" spans="1:23" x14ac:dyDescent="0.35">
      <c r="A53" s="5" t="s">
        <v>47</v>
      </c>
      <c r="B53" s="4">
        <v>52</v>
      </c>
      <c r="C53" s="15">
        <v>1.5425</v>
      </c>
      <c r="D53" s="17">
        <f t="shared" si="0"/>
        <v>1542500</v>
      </c>
      <c r="E53" s="6">
        <v>0</v>
      </c>
      <c r="F53" s="6">
        <v>0.05</v>
      </c>
      <c r="G53" s="9">
        <v>1</v>
      </c>
      <c r="H53" s="7">
        <v>2002</v>
      </c>
      <c r="I53" s="13">
        <v>22.1</v>
      </c>
      <c r="J53" s="2">
        <f t="shared" si="2"/>
        <v>22100000</v>
      </c>
      <c r="K53" s="4">
        <v>20</v>
      </c>
      <c r="L53" s="4">
        <v>333.5</v>
      </c>
      <c r="M53" s="12">
        <f t="shared" si="1"/>
        <v>333500000</v>
      </c>
      <c r="N53" s="4">
        <v>333.5</v>
      </c>
      <c r="O53" s="4">
        <v>36.600000000000023</v>
      </c>
      <c r="P53" s="4" t="s">
        <v>110</v>
      </c>
      <c r="Q53" s="4">
        <v>0</v>
      </c>
      <c r="R53" s="18" t="s">
        <v>112</v>
      </c>
      <c r="S53" s="8" t="s">
        <v>116</v>
      </c>
      <c r="T53" s="8" t="s">
        <v>117</v>
      </c>
      <c r="U53" s="8" t="s">
        <v>117</v>
      </c>
      <c r="V53" s="8" t="s">
        <v>115</v>
      </c>
      <c r="W53" s="8" t="s">
        <v>114</v>
      </c>
    </row>
    <row r="54" spans="1:23" x14ac:dyDescent="0.35">
      <c r="A54" s="5" t="s">
        <v>48</v>
      </c>
      <c r="B54" s="4">
        <v>53</v>
      </c>
      <c r="C54" s="15">
        <v>0.11375000000000002</v>
      </c>
      <c r="D54" s="17">
        <f t="shared" si="0"/>
        <v>113750.00000000001</v>
      </c>
      <c r="E54" s="6">
        <v>0</v>
      </c>
      <c r="F54" s="6">
        <v>0.05</v>
      </c>
      <c r="G54" s="9">
        <v>1</v>
      </c>
      <c r="H54" s="7">
        <v>2002</v>
      </c>
      <c r="I54" s="13">
        <v>19.3</v>
      </c>
      <c r="J54" s="2">
        <f t="shared" si="2"/>
        <v>19300000</v>
      </c>
      <c r="K54" s="4">
        <v>19.7</v>
      </c>
      <c r="L54" s="4">
        <v>157</v>
      </c>
      <c r="M54" s="12">
        <f t="shared" si="1"/>
        <v>157000000</v>
      </c>
      <c r="N54" s="4">
        <v>157</v>
      </c>
      <c r="O54" s="4">
        <v>157</v>
      </c>
      <c r="P54" s="4" t="s">
        <v>110</v>
      </c>
      <c r="Q54" s="4">
        <v>0</v>
      </c>
      <c r="R54" s="18" t="s">
        <v>113</v>
      </c>
      <c r="S54" s="8" t="s">
        <v>117</v>
      </c>
      <c r="T54" s="8" t="s">
        <v>113</v>
      </c>
      <c r="U54" s="8" t="s">
        <v>115</v>
      </c>
      <c r="V54" s="8" t="s">
        <v>115</v>
      </c>
      <c r="W54" s="8" t="s">
        <v>115</v>
      </c>
    </row>
    <row r="55" spans="1:23" x14ac:dyDescent="0.35">
      <c r="A55" s="5" t="s">
        <v>49</v>
      </c>
      <c r="B55" s="4">
        <v>54</v>
      </c>
      <c r="C55" s="15">
        <v>0.315</v>
      </c>
      <c r="D55" s="17">
        <f t="shared" si="0"/>
        <v>315000</v>
      </c>
      <c r="E55" s="6">
        <v>0</v>
      </c>
      <c r="F55" s="6">
        <v>0.05</v>
      </c>
      <c r="G55" s="9">
        <v>1</v>
      </c>
      <c r="H55" s="7">
        <v>2002</v>
      </c>
      <c r="I55" s="13">
        <v>20.7</v>
      </c>
      <c r="J55" s="2">
        <f t="shared" si="2"/>
        <v>20700000</v>
      </c>
      <c r="K55" s="4">
        <v>18.3</v>
      </c>
      <c r="L55" s="4">
        <v>206.3</v>
      </c>
      <c r="M55" s="12">
        <f t="shared" si="1"/>
        <v>206300000</v>
      </c>
      <c r="N55" s="4">
        <v>206.3</v>
      </c>
      <c r="O55" s="4">
        <v>22.300000000000011</v>
      </c>
      <c r="P55" s="4" t="s">
        <v>110</v>
      </c>
      <c r="Q55" s="4">
        <v>0</v>
      </c>
      <c r="R55" s="18" t="s">
        <v>113</v>
      </c>
      <c r="S55" s="8" t="s">
        <v>116</v>
      </c>
      <c r="T55" s="8" t="s">
        <v>116</v>
      </c>
      <c r="U55" s="8" t="s">
        <v>115</v>
      </c>
      <c r="V55" s="8" t="s">
        <v>114</v>
      </c>
      <c r="W55" s="8" t="s">
        <v>116</v>
      </c>
    </row>
    <row r="56" spans="1:23" x14ac:dyDescent="0.35">
      <c r="A56" s="5" t="s">
        <v>50</v>
      </c>
      <c r="B56" s="4">
        <v>55</v>
      </c>
      <c r="C56" s="15">
        <v>0.01</v>
      </c>
      <c r="D56" s="17">
        <f t="shared" si="0"/>
        <v>10000</v>
      </c>
      <c r="E56" s="6">
        <v>0</v>
      </c>
      <c r="F56" s="6">
        <v>0.05</v>
      </c>
      <c r="G56" s="9">
        <v>1</v>
      </c>
      <c r="H56" s="7">
        <v>2002</v>
      </c>
      <c r="I56" s="13">
        <v>22.7</v>
      </c>
      <c r="J56" s="2">
        <f t="shared" si="2"/>
        <v>22700000</v>
      </c>
      <c r="K56" s="4">
        <v>17.2</v>
      </c>
      <c r="L56" s="4">
        <v>153.19999999999999</v>
      </c>
      <c r="M56" s="12">
        <f t="shared" si="1"/>
        <v>153200000</v>
      </c>
      <c r="N56" s="4">
        <v>153.19999999999999</v>
      </c>
      <c r="O56" s="4">
        <v>153.19999999999999</v>
      </c>
      <c r="P56" s="4" t="s">
        <v>110</v>
      </c>
      <c r="Q56" s="4">
        <v>0</v>
      </c>
      <c r="R56" s="18" t="s">
        <v>117</v>
      </c>
      <c r="S56" s="8" t="s">
        <v>117</v>
      </c>
      <c r="T56" s="8" t="s">
        <v>117</v>
      </c>
      <c r="U56" s="8" t="s">
        <v>115</v>
      </c>
      <c r="V56" s="8" t="s">
        <v>115</v>
      </c>
      <c r="W56" s="8" t="s">
        <v>115</v>
      </c>
    </row>
    <row r="57" spans="1:23" x14ac:dyDescent="0.35">
      <c r="A57" s="5" t="s">
        <v>51</v>
      </c>
      <c r="B57" s="4">
        <v>56</v>
      </c>
      <c r="C57" s="15">
        <v>0.46750000000000003</v>
      </c>
      <c r="D57" s="17">
        <f t="shared" si="0"/>
        <v>467500</v>
      </c>
      <c r="E57" s="6">
        <v>0</v>
      </c>
      <c r="F57" s="6">
        <v>0.05</v>
      </c>
      <c r="G57" s="9">
        <v>1</v>
      </c>
      <c r="H57" s="7">
        <v>2002</v>
      </c>
      <c r="I57" s="13">
        <v>19.3</v>
      </c>
      <c r="J57" s="2">
        <f t="shared" si="2"/>
        <v>19300000</v>
      </c>
      <c r="K57" s="4">
        <v>15.1</v>
      </c>
      <c r="L57" s="4">
        <v>215.8</v>
      </c>
      <c r="M57" s="12">
        <f t="shared" si="1"/>
        <v>215800000</v>
      </c>
      <c r="N57" s="4">
        <v>215.8</v>
      </c>
      <c r="O57" s="4">
        <v>65.100000000000023</v>
      </c>
      <c r="P57" s="4" t="s">
        <v>110</v>
      </c>
      <c r="Q57" s="4">
        <v>0</v>
      </c>
      <c r="R57" s="18" t="s">
        <v>113</v>
      </c>
      <c r="S57" s="8" t="s">
        <v>112</v>
      </c>
      <c r="T57" s="8" t="s">
        <v>114</v>
      </c>
      <c r="U57" s="8" t="s">
        <v>114</v>
      </c>
      <c r="V57" s="8" t="s">
        <v>114</v>
      </c>
      <c r="W57" s="8" t="s">
        <v>114</v>
      </c>
    </row>
    <row r="58" spans="1:23" x14ac:dyDescent="0.35">
      <c r="A58" s="5" t="s">
        <v>52</v>
      </c>
      <c r="B58" s="4">
        <v>57</v>
      </c>
      <c r="C58" s="15">
        <v>0.01</v>
      </c>
      <c r="D58" s="17">
        <f t="shared" si="0"/>
        <v>10000</v>
      </c>
      <c r="E58" s="6">
        <v>0</v>
      </c>
      <c r="F58" s="6">
        <v>0.05</v>
      </c>
      <c r="G58" s="9">
        <v>1</v>
      </c>
      <c r="H58" s="7">
        <v>2002</v>
      </c>
      <c r="I58" s="13">
        <v>20.9</v>
      </c>
      <c r="J58" s="2">
        <f t="shared" si="2"/>
        <v>20900000</v>
      </c>
      <c r="K58" s="4">
        <v>13.8</v>
      </c>
      <c r="L58" s="4">
        <v>196.4</v>
      </c>
      <c r="M58" s="12">
        <f t="shared" si="1"/>
        <v>196400000</v>
      </c>
      <c r="N58" s="4">
        <v>196.4</v>
      </c>
      <c r="O58" s="4">
        <v>196.4</v>
      </c>
      <c r="P58" s="4" t="s">
        <v>110</v>
      </c>
      <c r="Q58" s="4">
        <v>0</v>
      </c>
      <c r="R58" s="18" t="s">
        <v>114</v>
      </c>
      <c r="S58" s="8" t="s">
        <v>117</v>
      </c>
      <c r="T58" s="8" t="s">
        <v>114</v>
      </c>
      <c r="U58" s="8" t="s">
        <v>115</v>
      </c>
      <c r="V58" s="8" t="s">
        <v>115</v>
      </c>
      <c r="W58" s="8" t="s">
        <v>115</v>
      </c>
    </row>
    <row r="59" spans="1:23" x14ac:dyDescent="0.35">
      <c r="A59" s="5" t="s">
        <v>53</v>
      </c>
      <c r="B59" s="4">
        <v>58</v>
      </c>
      <c r="C59" s="15">
        <v>9.5625000000000002E-2</v>
      </c>
      <c r="D59" s="17">
        <f t="shared" si="0"/>
        <v>95625</v>
      </c>
      <c r="E59" s="6">
        <v>0</v>
      </c>
      <c r="F59" s="6">
        <v>0.05</v>
      </c>
      <c r="G59" s="9">
        <v>1</v>
      </c>
      <c r="H59" s="7">
        <v>2002</v>
      </c>
      <c r="I59" s="13">
        <v>23.7</v>
      </c>
      <c r="J59" s="2">
        <f t="shared" si="2"/>
        <v>23700000</v>
      </c>
      <c r="K59" s="4">
        <v>12.9</v>
      </c>
      <c r="L59" s="4">
        <v>143.69999999999999</v>
      </c>
      <c r="M59" s="12">
        <f t="shared" si="1"/>
        <v>143700000</v>
      </c>
      <c r="N59" s="4">
        <v>143.69999999999999</v>
      </c>
      <c r="O59" s="4">
        <v>143.69999999999999</v>
      </c>
      <c r="P59" s="4" t="s">
        <v>110</v>
      </c>
      <c r="Q59" s="4">
        <v>0</v>
      </c>
      <c r="R59" s="18" t="s">
        <v>111</v>
      </c>
      <c r="S59" s="8" t="s">
        <v>117</v>
      </c>
      <c r="T59" s="8" t="s">
        <v>111</v>
      </c>
      <c r="U59" s="8" t="s">
        <v>115</v>
      </c>
      <c r="V59" s="8" t="s">
        <v>115</v>
      </c>
      <c r="W59" s="8" t="s">
        <v>115</v>
      </c>
    </row>
    <row r="60" spans="1:23" x14ac:dyDescent="0.35">
      <c r="A60" s="5" t="s">
        <v>100</v>
      </c>
      <c r="B60" s="4">
        <v>59</v>
      </c>
      <c r="C60" s="15"/>
      <c r="D60" s="17">
        <f t="shared" si="0"/>
        <v>0</v>
      </c>
      <c r="E60" s="6"/>
      <c r="F60" s="6"/>
      <c r="G60" s="9">
        <v>1</v>
      </c>
      <c r="H60" s="7"/>
      <c r="J60" s="2">
        <f t="shared" si="2"/>
        <v>0</v>
      </c>
      <c r="M60" s="12">
        <f t="shared" si="1"/>
        <v>0</v>
      </c>
      <c r="R60" s="18" t="s">
        <v>128</v>
      </c>
      <c r="S60" s="8"/>
      <c r="T60" s="8"/>
      <c r="U60" s="8"/>
      <c r="V60" s="8"/>
      <c r="W60" s="8"/>
    </row>
    <row r="61" spans="1:23" x14ac:dyDescent="0.35">
      <c r="A61" s="5" t="s">
        <v>54</v>
      </c>
      <c r="B61" s="4">
        <v>60</v>
      </c>
      <c r="C61" s="15">
        <v>9.7500000000000003E-2</v>
      </c>
      <c r="D61" s="17">
        <f t="shared" si="0"/>
        <v>97500</v>
      </c>
      <c r="E61" s="6">
        <v>0</v>
      </c>
      <c r="F61" s="6">
        <v>0.05</v>
      </c>
      <c r="G61" s="9">
        <v>1</v>
      </c>
      <c r="H61" s="7">
        <v>2002</v>
      </c>
      <c r="I61" s="13">
        <v>23</v>
      </c>
      <c r="J61" s="2">
        <f t="shared" si="2"/>
        <v>23000000</v>
      </c>
      <c r="K61" s="4">
        <v>12.9</v>
      </c>
      <c r="L61" s="4">
        <v>439.5</v>
      </c>
      <c r="M61" s="12">
        <f t="shared" si="1"/>
        <v>439500000</v>
      </c>
      <c r="N61" s="4">
        <v>439.5</v>
      </c>
      <c r="O61" s="4">
        <v>439.5</v>
      </c>
      <c r="P61" s="4" t="s">
        <v>110</v>
      </c>
      <c r="Q61" s="4">
        <v>0</v>
      </c>
      <c r="R61" s="18" t="s">
        <v>112</v>
      </c>
      <c r="S61" s="8" t="s">
        <v>114</v>
      </c>
      <c r="T61" s="8" t="s">
        <v>114</v>
      </c>
      <c r="U61" s="8" t="s">
        <v>114</v>
      </c>
      <c r="V61" s="8" t="s">
        <v>115</v>
      </c>
      <c r="W61" s="8" t="s">
        <v>115</v>
      </c>
    </row>
    <row r="62" spans="1:23" x14ac:dyDescent="0.35">
      <c r="A62" s="5" t="s">
        <v>55</v>
      </c>
      <c r="B62" s="4">
        <v>61</v>
      </c>
      <c r="C62" s="15">
        <v>9.42</v>
      </c>
      <c r="D62" s="17">
        <f t="shared" si="0"/>
        <v>9420000</v>
      </c>
      <c r="E62" s="6">
        <v>0</v>
      </c>
      <c r="F62" s="6">
        <v>0.05</v>
      </c>
      <c r="G62" s="9">
        <v>1</v>
      </c>
      <c r="H62" s="7">
        <v>2002</v>
      </c>
      <c r="I62" s="13">
        <v>26.1</v>
      </c>
      <c r="J62" s="2">
        <f t="shared" si="2"/>
        <v>26100000</v>
      </c>
      <c r="K62" s="4">
        <v>13.7</v>
      </c>
      <c r="L62" s="4">
        <v>87.7</v>
      </c>
      <c r="M62" s="12">
        <f t="shared" si="1"/>
        <v>87700000</v>
      </c>
      <c r="N62" s="4">
        <v>87.7</v>
      </c>
      <c r="O62" s="4">
        <v>0</v>
      </c>
      <c r="P62" s="4" t="s">
        <v>110</v>
      </c>
      <c r="Q62" s="4">
        <v>0</v>
      </c>
      <c r="R62" s="18" t="s">
        <v>117</v>
      </c>
      <c r="S62" s="8" t="s">
        <v>117</v>
      </c>
      <c r="T62" s="8" t="s">
        <v>115</v>
      </c>
      <c r="U62" s="8" t="s">
        <v>115</v>
      </c>
      <c r="V62" s="8" t="s">
        <v>115</v>
      </c>
      <c r="W62" s="8" t="s">
        <v>117</v>
      </c>
    </row>
    <row r="63" spans="1:23" x14ac:dyDescent="0.35">
      <c r="A63" s="5" t="s">
        <v>56</v>
      </c>
      <c r="B63" s="4">
        <v>62</v>
      </c>
      <c r="C63" s="15">
        <v>7.0000000000000007E-2</v>
      </c>
      <c r="D63" s="17">
        <f t="shared" si="0"/>
        <v>70000</v>
      </c>
      <c r="E63" s="6">
        <v>0</v>
      </c>
      <c r="F63" s="6">
        <v>0.05</v>
      </c>
      <c r="G63" s="9">
        <v>1</v>
      </c>
      <c r="H63" s="7">
        <v>2002</v>
      </c>
      <c r="I63" s="13">
        <v>20.9</v>
      </c>
      <c r="J63" s="2">
        <f t="shared" si="2"/>
        <v>20900000</v>
      </c>
      <c r="K63" s="4">
        <v>12.9</v>
      </c>
      <c r="L63" s="4">
        <v>71.900000000000006</v>
      </c>
      <c r="M63" s="12">
        <f t="shared" si="1"/>
        <v>71900000</v>
      </c>
      <c r="N63" s="4">
        <v>71.900000000000006</v>
      </c>
      <c r="O63" s="4">
        <v>71.900000000000006</v>
      </c>
      <c r="P63" s="4" t="s">
        <v>110</v>
      </c>
      <c r="Q63" s="4">
        <v>0</v>
      </c>
      <c r="R63" s="18" t="s">
        <v>112</v>
      </c>
      <c r="S63" s="8" t="s">
        <v>117</v>
      </c>
      <c r="T63" s="8" t="s">
        <v>112</v>
      </c>
      <c r="U63" s="8" t="s">
        <v>115</v>
      </c>
      <c r="V63" s="8" t="s">
        <v>115</v>
      </c>
      <c r="W63" s="8" t="s">
        <v>115</v>
      </c>
    </row>
    <row r="64" spans="1:23" x14ac:dyDescent="0.35">
      <c r="A64" s="5" t="s">
        <v>57</v>
      </c>
      <c r="B64" s="4">
        <v>63</v>
      </c>
      <c r="C64" s="15">
        <v>3</v>
      </c>
      <c r="D64" s="17">
        <f t="shared" si="0"/>
        <v>3000000</v>
      </c>
      <c r="E64" s="6">
        <v>0</v>
      </c>
      <c r="F64" s="6">
        <v>0.05</v>
      </c>
      <c r="G64" s="9">
        <v>1</v>
      </c>
      <c r="H64" s="7">
        <v>2002</v>
      </c>
      <c r="I64" s="13">
        <v>17.3</v>
      </c>
      <c r="J64" s="2">
        <f t="shared" si="2"/>
        <v>17300000</v>
      </c>
      <c r="K64" s="4">
        <v>13.3</v>
      </c>
      <c r="L64" s="4">
        <v>210.7</v>
      </c>
      <c r="M64" s="12">
        <f t="shared" si="1"/>
        <v>210700000</v>
      </c>
      <c r="N64" s="4">
        <v>210.7</v>
      </c>
      <c r="O64" s="4">
        <v>192.39999999999998</v>
      </c>
      <c r="P64" s="4" t="s">
        <v>110</v>
      </c>
      <c r="Q64" s="4">
        <v>0</v>
      </c>
      <c r="R64" s="18" t="s">
        <v>120</v>
      </c>
      <c r="S64" s="8" t="s">
        <v>112</v>
      </c>
      <c r="T64" s="8" t="s">
        <v>111</v>
      </c>
      <c r="U64" s="8" t="s">
        <v>121</v>
      </c>
      <c r="V64" s="8" t="s">
        <v>122</v>
      </c>
      <c r="W64" s="8" t="s">
        <v>121</v>
      </c>
    </row>
    <row r="65" spans="1:23" x14ac:dyDescent="0.35">
      <c r="A65" s="5" t="s">
        <v>92</v>
      </c>
      <c r="B65" s="4">
        <v>64</v>
      </c>
      <c r="C65" s="15"/>
      <c r="D65" s="17">
        <f t="shared" si="0"/>
        <v>0</v>
      </c>
      <c r="E65" s="6"/>
      <c r="F65" s="6"/>
      <c r="G65" s="9">
        <v>1</v>
      </c>
      <c r="H65" s="7"/>
      <c r="J65" s="2">
        <f t="shared" si="2"/>
        <v>0</v>
      </c>
      <c r="M65" s="12">
        <f t="shared" si="1"/>
        <v>0</v>
      </c>
      <c r="R65" s="18" t="s">
        <v>132</v>
      </c>
      <c r="S65" s="8"/>
      <c r="T65" s="8"/>
      <c r="U65" s="8"/>
      <c r="V65" s="8"/>
      <c r="W65" s="8"/>
    </row>
    <row r="66" spans="1:23" x14ac:dyDescent="0.35">
      <c r="A66" s="5" t="s">
        <v>58</v>
      </c>
      <c r="B66" s="4">
        <v>65</v>
      </c>
      <c r="C66" s="15">
        <v>5.8693750000000007</v>
      </c>
      <c r="D66" s="17">
        <f t="shared" si="0"/>
        <v>5869375.0000000009</v>
      </c>
      <c r="E66" s="6">
        <v>0</v>
      </c>
      <c r="F66" s="6">
        <v>0.05</v>
      </c>
      <c r="G66" s="9">
        <v>1</v>
      </c>
      <c r="H66" s="7">
        <v>2002</v>
      </c>
      <c r="I66" s="13">
        <v>18</v>
      </c>
      <c r="J66" s="2">
        <f t="shared" si="2"/>
        <v>18000000</v>
      </c>
      <c r="K66" s="4">
        <v>15.9</v>
      </c>
      <c r="L66" s="4">
        <v>432.4</v>
      </c>
      <c r="M66" s="12">
        <f t="shared" si="1"/>
        <v>432400000</v>
      </c>
      <c r="N66" s="4">
        <v>432.4</v>
      </c>
      <c r="O66" s="4">
        <v>42.100000000000023</v>
      </c>
      <c r="P66" s="4" t="s">
        <v>110</v>
      </c>
      <c r="Q66" s="4">
        <v>0</v>
      </c>
      <c r="R66" s="18" t="s">
        <v>111</v>
      </c>
      <c r="S66" s="8" t="s">
        <v>114</v>
      </c>
      <c r="T66" s="8" t="s">
        <v>115</v>
      </c>
      <c r="U66" s="8" t="s">
        <v>113</v>
      </c>
      <c r="V66" s="8" t="s">
        <v>115</v>
      </c>
      <c r="W66" s="8" t="s">
        <v>113</v>
      </c>
    </row>
    <row r="67" spans="1:23" x14ac:dyDescent="0.35">
      <c r="A67" s="5" t="s">
        <v>59</v>
      </c>
      <c r="B67" s="4">
        <v>66</v>
      </c>
      <c r="C67" s="15">
        <v>0.26</v>
      </c>
      <c r="D67" s="17">
        <f t="shared" si="0"/>
        <v>260000</v>
      </c>
      <c r="E67" s="6">
        <v>0</v>
      </c>
      <c r="F67" s="6">
        <v>0.05</v>
      </c>
      <c r="G67" s="9">
        <v>1</v>
      </c>
      <c r="H67" s="7">
        <v>2002</v>
      </c>
      <c r="I67" s="13">
        <v>19.8</v>
      </c>
      <c r="J67" s="2">
        <f t="shared" si="2"/>
        <v>19800000</v>
      </c>
      <c r="K67" s="4">
        <v>14.4</v>
      </c>
      <c r="L67" s="4">
        <v>45.5</v>
      </c>
      <c r="M67" s="12">
        <f t="shared" si="1"/>
        <v>45500000</v>
      </c>
      <c r="N67" s="4">
        <v>45.5</v>
      </c>
      <c r="O67" s="4">
        <v>45.5</v>
      </c>
      <c r="P67" s="4" t="s">
        <v>110</v>
      </c>
      <c r="Q67" s="4">
        <v>0</v>
      </c>
      <c r="R67" s="18" t="s">
        <v>117</v>
      </c>
      <c r="S67" s="8" t="s">
        <v>117</v>
      </c>
      <c r="T67" s="8" t="s">
        <v>115</v>
      </c>
      <c r="U67" s="8" t="s">
        <v>117</v>
      </c>
      <c r="V67" s="8" t="s">
        <v>115</v>
      </c>
      <c r="W67" s="8" t="s">
        <v>115</v>
      </c>
    </row>
    <row r="68" spans="1:23" x14ac:dyDescent="0.35">
      <c r="A68" s="5" t="s">
        <v>96</v>
      </c>
      <c r="B68" s="4">
        <v>67</v>
      </c>
      <c r="C68" s="15"/>
      <c r="D68" s="17">
        <f t="shared" si="0"/>
        <v>0</v>
      </c>
      <c r="E68" s="6"/>
      <c r="F68" s="6"/>
      <c r="G68" s="9">
        <v>1</v>
      </c>
      <c r="H68" s="7"/>
      <c r="J68" s="2">
        <f t="shared" si="2"/>
        <v>0</v>
      </c>
      <c r="M68" s="12">
        <f t="shared" si="1"/>
        <v>0</v>
      </c>
      <c r="R68" s="18" t="s">
        <v>131</v>
      </c>
      <c r="S68" s="8"/>
      <c r="T68" s="8"/>
      <c r="U68" s="8"/>
      <c r="V68" s="8"/>
      <c r="W68" s="8"/>
    </row>
    <row r="69" spans="1:23" x14ac:dyDescent="0.35">
      <c r="A69" s="5" t="s">
        <v>97</v>
      </c>
      <c r="B69" s="4">
        <v>68</v>
      </c>
      <c r="C69" s="15"/>
      <c r="D69" s="17">
        <f t="shared" ref="D69:D101" si="3">C69*1000000</f>
        <v>0</v>
      </c>
      <c r="E69" s="6"/>
      <c r="F69" s="6"/>
      <c r="G69" s="9">
        <v>1</v>
      </c>
      <c r="H69" s="7"/>
      <c r="J69" s="2">
        <f t="shared" si="2"/>
        <v>0</v>
      </c>
      <c r="M69" s="12">
        <f t="shared" ref="M69:M132" si="4">L69*1000000</f>
        <v>0</v>
      </c>
      <c r="R69" s="18" t="s">
        <v>131</v>
      </c>
      <c r="S69" s="8"/>
      <c r="T69" s="8"/>
      <c r="U69" s="8"/>
      <c r="V69" s="8"/>
      <c r="W69" s="8"/>
    </row>
    <row r="70" spans="1:23" x14ac:dyDescent="0.35">
      <c r="A70" s="5" t="s">
        <v>60</v>
      </c>
      <c r="B70" s="4">
        <v>69</v>
      </c>
      <c r="C70" s="15">
        <v>2.2799999999999998</v>
      </c>
      <c r="D70" s="17">
        <f t="shared" si="3"/>
        <v>2280000</v>
      </c>
      <c r="E70" s="6">
        <v>0</v>
      </c>
      <c r="F70" s="6">
        <v>0.05</v>
      </c>
      <c r="G70" s="9">
        <v>1</v>
      </c>
      <c r="H70" s="7">
        <v>2002</v>
      </c>
      <c r="I70" s="13">
        <v>21.3</v>
      </c>
      <c r="J70" s="2">
        <f t="shared" ref="J70:J133" si="5">I70*1000000</f>
        <v>21300000</v>
      </c>
      <c r="K70" s="4">
        <v>17</v>
      </c>
      <c r="L70" s="4">
        <v>237.7</v>
      </c>
      <c r="M70" s="12">
        <f t="shared" si="4"/>
        <v>237700000</v>
      </c>
      <c r="N70" s="4">
        <v>237.7</v>
      </c>
      <c r="O70" s="4">
        <v>237.7</v>
      </c>
      <c r="P70" s="4" t="s">
        <v>110</v>
      </c>
      <c r="Q70" s="4">
        <v>0</v>
      </c>
      <c r="R70" s="18" t="s">
        <v>114</v>
      </c>
      <c r="S70" s="8" t="s">
        <v>114</v>
      </c>
      <c r="T70" s="8" t="s">
        <v>117</v>
      </c>
      <c r="U70" s="8" t="s">
        <v>117</v>
      </c>
      <c r="V70" s="8" t="s">
        <v>115</v>
      </c>
      <c r="W70" s="8" t="s">
        <v>115</v>
      </c>
    </row>
    <row r="71" spans="1:23" x14ac:dyDescent="0.35">
      <c r="A71" s="5" t="s">
        <v>61</v>
      </c>
      <c r="B71" s="4">
        <v>70</v>
      </c>
      <c r="C71" s="15">
        <v>8.2037499999999994</v>
      </c>
      <c r="D71" s="17">
        <f t="shared" si="3"/>
        <v>8203749.9999999991</v>
      </c>
      <c r="E71" s="6">
        <v>0</v>
      </c>
      <c r="F71" s="6">
        <v>0.05</v>
      </c>
      <c r="G71" s="9">
        <v>1</v>
      </c>
      <c r="H71" s="7">
        <v>2002</v>
      </c>
      <c r="I71" s="13">
        <v>20.9</v>
      </c>
      <c r="J71" s="2">
        <f t="shared" si="5"/>
        <v>20900000</v>
      </c>
      <c r="K71" s="4">
        <v>15.6</v>
      </c>
      <c r="L71" s="4">
        <v>291.10000000000002</v>
      </c>
      <c r="M71" s="12">
        <f t="shared" si="4"/>
        <v>291100000</v>
      </c>
      <c r="N71" s="4">
        <v>291.10000000000002</v>
      </c>
      <c r="O71" s="4">
        <v>5.9000000000000341</v>
      </c>
      <c r="P71" s="4" t="s">
        <v>110</v>
      </c>
      <c r="Q71" s="4">
        <v>0</v>
      </c>
      <c r="R71" s="18" t="s">
        <v>113</v>
      </c>
      <c r="S71" s="8" t="s">
        <v>114</v>
      </c>
      <c r="T71" s="8" t="s">
        <v>115</v>
      </c>
      <c r="U71" s="8" t="s">
        <v>115</v>
      </c>
      <c r="V71" s="8" t="s">
        <v>112</v>
      </c>
      <c r="W71" s="8" t="s">
        <v>112</v>
      </c>
    </row>
    <row r="72" spans="1:23" x14ac:dyDescent="0.35">
      <c r="A72" s="5" t="s">
        <v>62</v>
      </c>
      <c r="B72" s="4">
        <v>71</v>
      </c>
      <c r="C72" s="15">
        <v>0.1</v>
      </c>
      <c r="D72" s="17">
        <f t="shared" si="3"/>
        <v>100000</v>
      </c>
      <c r="E72" s="6">
        <v>0</v>
      </c>
      <c r="F72" s="6">
        <v>0.05</v>
      </c>
      <c r="G72" s="9">
        <v>1</v>
      </c>
      <c r="H72" s="7">
        <v>2002</v>
      </c>
      <c r="I72" s="13">
        <v>21.9</v>
      </c>
      <c r="J72" s="2">
        <f t="shared" si="5"/>
        <v>21900000</v>
      </c>
      <c r="K72" s="4">
        <v>15.1</v>
      </c>
      <c r="L72" s="4">
        <v>282.89999999999998</v>
      </c>
      <c r="M72" s="12">
        <f t="shared" si="4"/>
        <v>282900000</v>
      </c>
      <c r="N72" s="4">
        <v>282.89999999999998</v>
      </c>
      <c r="O72" s="4">
        <v>0</v>
      </c>
      <c r="P72" s="4" t="s">
        <v>110</v>
      </c>
      <c r="Q72" s="4">
        <v>0</v>
      </c>
      <c r="R72" s="18" t="s">
        <v>114</v>
      </c>
      <c r="S72" s="8" t="s">
        <v>117</v>
      </c>
      <c r="T72" s="8" t="s">
        <v>115</v>
      </c>
      <c r="U72" s="8" t="s">
        <v>115</v>
      </c>
      <c r="V72" s="8" t="s">
        <v>115</v>
      </c>
      <c r="W72" s="8" t="s">
        <v>114</v>
      </c>
    </row>
    <row r="73" spans="1:23" x14ac:dyDescent="0.35">
      <c r="A73" s="5" t="s">
        <v>63</v>
      </c>
      <c r="B73" s="4">
        <v>72</v>
      </c>
      <c r="C73" s="15">
        <v>4.5656249999999998</v>
      </c>
      <c r="D73" s="17">
        <f t="shared" si="3"/>
        <v>4565625</v>
      </c>
      <c r="E73" s="6">
        <v>0</v>
      </c>
      <c r="F73" s="6">
        <v>0.05</v>
      </c>
      <c r="G73" s="9">
        <v>1</v>
      </c>
      <c r="H73" s="7">
        <v>2002</v>
      </c>
      <c r="I73" s="13">
        <v>22.1</v>
      </c>
      <c r="J73" s="2">
        <f t="shared" si="5"/>
        <v>22100000</v>
      </c>
      <c r="K73" s="4">
        <v>14.8</v>
      </c>
      <c r="L73" s="4">
        <v>389.5</v>
      </c>
      <c r="M73" s="12">
        <f t="shared" si="4"/>
        <v>389500000</v>
      </c>
      <c r="N73" s="4">
        <v>389.5</v>
      </c>
      <c r="O73" s="4">
        <v>74.300000000000011</v>
      </c>
      <c r="P73" s="4" t="s">
        <v>110</v>
      </c>
      <c r="Q73" s="4">
        <v>0</v>
      </c>
      <c r="R73" s="18" t="s">
        <v>111</v>
      </c>
      <c r="S73" s="8" t="s">
        <v>112</v>
      </c>
      <c r="T73" s="8" t="s">
        <v>112</v>
      </c>
      <c r="U73" s="8" t="s">
        <v>112</v>
      </c>
      <c r="V73" s="8" t="s">
        <v>112</v>
      </c>
      <c r="W73" s="8" t="s">
        <v>112</v>
      </c>
    </row>
    <row r="74" spans="1:23" x14ac:dyDescent="0.35">
      <c r="A74" s="5" t="s">
        <v>64</v>
      </c>
      <c r="B74" s="4">
        <v>73</v>
      </c>
      <c r="C74" s="15">
        <v>11.5725</v>
      </c>
      <c r="D74" s="17">
        <f t="shared" si="3"/>
        <v>11572500</v>
      </c>
      <c r="E74" s="6">
        <v>0</v>
      </c>
      <c r="F74" s="6">
        <v>0.05</v>
      </c>
      <c r="G74" s="9">
        <v>1</v>
      </c>
      <c r="H74" s="7">
        <v>2002</v>
      </c>
      <c r="I74" s="13">
        <v>22.6</v>
      </c>
      <c r="J74" s="2">
        <f t="shared" si="5"/>
        <v>22600000</v>
      </c>
      <c r="K74" s="4">
        <v>13.7</v>
      </c>
      <c r="L74" s="4">
        <v>138.4</v>
      </c>
      <c r="M74" s="12">
        <f t="shared" si="4"/>
        <v>138400000</v>
      </c>
      <c r="N74" s="4">
        <v>138.4</v>
      </c>
      <c r="O74" s="4">
        <v>124.4</v>
      </c>
      <c r="P74" s="4" t="s">
        <v>110</v>
      </c>
      <c r="Q74" s="4">
        <v>0</v>
      </c>
      <c r="R74" s="18" t="s">
        <v>112</v>
      </c>
      <c r="S74" s="8" t="s">
        <v>112</v>
      </c>
      <c r="T74" s="8" t="s">
        <v>117</v>
      </c>
      <c r="U74" s="8" t="s">
        <v>117</v>
      </c>
      <c r="V74" s="8" t="s">
        <v>117</v>
      </c>
      <c r="W74" s="8" t="s">
        <v>117</v>
      </c>
    </row>
    <row r="75" spans="1:23" x14ac:dyDescent="0.35">
      <c r="A75" s="5" t="s">
        <v>65</v>
      </c>
      <c r="B75" s="4">
        <v>74</v>
      </c>
      <c r="C75" s="15">
        <v>2.3375000000000004</v>
      </c>
      <c r="D75" s="17">
        <f t="shared" si="3"/>
        <v>2337500.0000000005</v>
      </c>
      <c r="E75" s="6">
        <v>0</v>
      </c>
      <c r="F75" s="6">
        <v>0.05</v>
      </c>
      <c r="G75" s="9">
        <v>1</v>
      </c>
      <c r="H75" s="7">
        <v>2002</v>
      </c>
      <c r="I75" s="13">
        <v>27.5</v>
      </c>
      <c r="J75" s="2">
        <f t="shared" si="5"/>
        <v>27500000</v>
      </c>
      <c r="K75" s="4">
        <v>15.5</v>
      </c>
      <c r="L75" s="4">
        <v>382.6</v>
      </c>
      <c r="M75" s="12">
        <f t="shared" si="4"/>
        <v>382600000</v>
      </c>
      <c r="N75" s="4">
        <v>382.6</v>
      </c>
      <c r="O75" s="4">
        <v>89.199999999999989</v>
      </c>
      <c r="P75" s="4" t="s">
        <v>110</v>
      </c>
      <c r="Q75" s="4">
        <v>0</v>
      </c>
      <c r="R75" s="18" t="s">
        <v>111</v>
      </c>
      <c r="S75" s="8" t="s">
        <v>116</v>
      </c>
      <c r="T75" s="8" t="s">
        <v>118</v>
      </c>
      <c r="U75" s="8" t="s">
        <v>119</v>
      </c>
      <c r="V75" s="8" t="s">
        <v>115</v>
      </c>
      <c r="W75" s="8" t="s">
        <v>119</v>
      </c>
    </row>
    <row r="76" spans="1:23" x14ac:dyDescent="0.35">
      <c r="A76" s="5" t="s">
        <v>87</v>
      </c>
      <c r="B76" s="4">
        <v>75</v>
      </c>
      <c r="C76" s="15"/>
      <c r="D76" s="17">
        <f t="shared" si="3"/>
        <v>0</v>
      </c>
      <c r="E76" s="6"/>
      <c r="F76" s="6"/>
      <c r="G76" s="9">
        <v>1</v>
      </c>
      <c r="H76" s="7"/>
      <c r="J76" s="2">
        <f t="shared" si="5"/>
        <v>0</v>
      </c>
      <c r="M76" s="12">
        <f t="shared" si="4"/>
        <v>0</v>
      </c>
      <c r="R76" s="18" t="s">
        <v>133</v>
      </c>
      <c r="S76" s="8"/>
      <c r="T76" s="8"/>
      <c r="U76" s="8"/>
      <c r="V76" s="8"/>
      <c r="W76" s="8"/>
    </row>
    <row r="77" spans="1:23" x14ac:dyDescent="0.35">
      <c r="A77" s="5" t="s">
        <v>66</v>
      </c>
      <c r="B77" s="4">
        <v>76</v>
      </c>
      <c r="C77" s="15">
        <v>3</v>
      </c>
      <c r="D77" s="17">
        <f t="shared" si="3"/>
        <v>3000000</v>
      </c>
      <c r="E77" s="6">
        <v>0</v>
      </c>
      <c r="F77" s="6">
        <v>0.05</v>
      </c>
      <c r="G77" s="9">
        <v>1</v>
      </c>
      <c r="H77" s="7">
        <v>2002</v>
      </c>
      <c r="I77" s="13">
        <v>19.899999999999999</v>
      </c>
      <c r="J77" s="2">
        <f t="shared" si="5"/>
        <v>19900000</v>
      </c>
      <c r="K77" s="4">
        <v>32.1</v>
      </c>
      <c r="L77" s="4">
        <v>313.89999999999998</v>
      </c>
      <c r="M77" s="12">
        <f t="shared" si="4"/>
        <v>313900000</v>
      </c>
      <c r="N77" s="4">
        <v>313.89999999999998</v>
      </c>
      <c r="O77" s="4">
        <v>267</v>
      </c>
      <c r="P77" s="4" t="s">
        <v>110</v>
      </c>
      <c r="Q77" s="4">
        <v>0</v>
      </c>
      <c r="R77" s="18" t="s">
        <v>120</v>
      </c>
      <c r="S77" s="8" t="s">
        <v>112</v>
      </c>
      <c r="T77" s="8" t="s">
        <v>111</v>
      </c>
      <c r="U77" s="8" t="s">
        <v>121</v>
      </c>
      <c r="V77" s="8" t="s">
        <v>122</v>
      </c>
      <c r="W77" s="8" t="s">
        <v>121</v>
      </c>
    </row>
    <row r="78" spans="1:23" x14ac:dyDescent="0.35">
      <c r="A78" s="5" t="s">
        <v>67</v>
      </c>
      <c r="B78" s="4">
        <v>77</v>
      </c>
      <c r="C78" s="15">
        <v>1.7962500000000001</v>
      </c>
      <c r="D78" s="17">
        <f t="shared" si="3"/>
        <v>1796250.0000000002</v>
      </c>
      <c r="E78" s="6">
        <v>0</v>
      </c>
      <c r="F78" s="6">
        <v>0.05</v>
      </c>
      <c r="G78" s="9">
        <v>1</v>
      </c>
      <c r="H78" s="7">
        <v>2002</v>
      </c>
      <c r="I78" s="13">
        <v>20.3</v>
      </c>
      <c r="J78" s="2">
        <f t="shared" si="5"/>
        <v>20300000</v>
      </c>
      <c r="K78" s="4">
        <v>31</v>
      </c>
      <c r="L78" s="4">
        <v>105.2</v>
      </c>
      <c r="M78" s="12">
        <f t="shared" si="4"/>
        <v>105200000</v>
      </c>
      <c r="N78" s="4">
        <v>105.2</v>
      </c>
      <c r="O78" s="4">
        <v>105.2</v>
      </c>
      <c r="P78" s="4" t="s">
        <v>110</v>
      </c>
      <c r="Q78" s="4">
        <v>0</v>
      </c>
      <c r="R78" s="18" t="s">
        <v>111</v>
      </c>
      <c r="S78" s="8" t="s">
        <v>116</v>
      </c>
      <c r="T78" s="8" t="s">
        <v>119</v>
      </c>
      <c r="U78" s="8" t="s">
        <v>119</v>
      </c>
      <c r="V78" s="8" t="s">
        <v>118</v>
      </c>
      <c r="W78" s="8" t="s">
        <v>115</v>
      </c>
    </row>
    <row r="79" spans="1:23" x14ac:dyDescent="0.35">
      <c r="A79" s="5" t="s">
        <v>68</v>
      </c>
      <c r="B79" s="4">
        <v>78</v>
      </c>
      <c r="C79" s="15">
        <v>0.27</v>
      </c>
      <c r="D79" s="17">
        <f t="shared" si="3"/>
        <v>270000</v>
      </c>
      <c r="E79" s="6">
        <v>0</v>
      </c>
      <c r="F79" s="6">
        <v>0.05</v>
      </c>
      <c r="G79" s="9">
        <v>1</v>
      </c>
      <c r="H79" s="7">
        <v>2002</v>
      </c>
      <c r="I79" s="13">
        <v>19.3</v>
      </c>
      <c r="J79" s="2">
        <f t="shared" si="5"/>
        <v>19300000</v>
      </c>
      <c r="K79" s="4">
        <v>32.200000000000003</v>
      </c>
      <c r="L79" s="4">
        <v>20.2</v>
      </c>
      <c r="M79" s="12">
        <f t="shared" si="4"/>
        <v>20200000</v>
      </c>
      <c r="N79" s="4">
        <v>20.2</v>
      </c>
      <c r="O79" s="4">
        <v>20.2</v>
      </c>
      <c r="P79" s="4" t="s">
        <v>110</v>
      </c>
      <c r="Q79" s="4">
        <v>0</v>
      </c>
      <c r="R79" s="18" t="s">
        <v>117</v>
      </c>
      <c r="S79" s="8" t="s">
        <v>117</v>
      </c>
      <c r="T79" s="8" t="s">
        <v>115</v>
      </c>
      <c r="U79" s="8" t="s">
        <v>117</v>
      </c>
      <c r="V79" s="8" t="s">
        <v>115</v>
      </c>
      <c r="W79" s="8" t="s">
        <v>115</v>
      </c>
    </row>
    <row r="80" spans="1:23" x14ac:dyDescent="0.35">
      <c r="A80" s="5" t="s">
        <v>69</v>
      </c>
      <c r="B80" s="4">
        <v>79</v>
      </c>
      <c r="C80" s="15">
        <v>0.30500000000000005</v>
      </c>
      <c r="D80" s="17">
        <f t="shared" si="3"/>
        <v>305000.00000000006</v>
      </c>
      <c r="E80" s="6">
        <v>0</v>
      </c>
      <c r="F80" s="6">
        <v>0.05</v>
      </c>
      <c r="G80" s="9">
        <v>1</v>
      </c>
      <c r="H80" s="7">
        <v>2002</v>
      </c>
      <c r="I80" s="13">
        <v>18.399999999999999</v>
      </c>
      <c r="J80" s="2">
        <f t="shared" si="5"/>
        <v>18400000</v>
      </c>
      <c r="K80" s="4">
        <v>28.9</v>
      </c>
      <c r="L80" s="4">
        <v>292.7</v>
      </c>
      <c r="M80" s="12">
        <f t="shared" si="4"/>
        <v>292700000</v>
      </c>
      <c r="N80" s="4">
        <v>292.7</v>
      </c>
      <c r="O80" s="4">
        <v>292.7</v>
      </c>
      <c r="P80" s="4" t="s">
        <v>110</v>
      </c>
      <c r="Q80" s="4">
        <v>0</v>
      </c>
      <c r="R80" s="18" t="s">
        <v>112</v>
      </c>
      <c r="S80" s="8" t="s">
        <v>112</v>
      </c>
      <c r="T80" s="8" t="s">
        <v>117</v>
      </c>
      <c r="U80" s="8" t="s">
        <v>117</v>
      </c>
      <c r="V80" s="8" t="s">
        <v>117</v>
      </c>
      <c r="W80" s="8" t="s">
        <v>117</v>
      </c>
    </row>
    <row r="81" spans="1:23" x14ac:dyDescent="0.35">
      <c r="A81" s="5" t="s">
        <v>101</v>
      </c>
      <c r="B81" s="4">
        <v>80</v>
      </c>
      <c r="C81" s="15"/>
      <c r="D81" s="17">
        <f t="shared" si="3"/>
        <v>0</v>
      </c>
      <c r="E81" s="6"/>
      <c r="F81" s="6"/>
      <c r="G81" s="9">
        <v>1</v>
      </c>
      <c r="H81" s="7"/>
      <c r="J81" s="2">
        <f t="shared" si="5"/>
        <v>0</v>
      </c>
      <c r="M81" s="12">
        <f t="shared" si="4"/>
        <v>0</v>
      </c>
      <c r="R81" s="18" t="s">
        <v>128</v>
      </c>
      <c r="S81" s="8"/>
      <c r="T81" s="8"/>
      <c r="U81" s="8"/>
      <c r="V81" s="8"/>
      <c r="W81" s="8"/>
    </row>
    <row r="82" spans="1:23" x14ac:dyDescent="0.35">
      <c r="A82" s="5" t="s">
        <v>70</v>
      </c>
      <c r="B82" s="4">
        <v>81</v>
      </c>
      <c r="C82" s="15">
        <v>6.0337499999999986</v>
      </c>
      <c r="D82" s="17">
        <f t="shared" si="3"/>
        <v>6033749.9999999991</v>
      </c>
      <c r="E82" s="6">
        <v>0</v>
      </c>
      <c r="F82" s="6">
        <v>0.05</v>
      </c>
      <c r="G82" s="9">
        <v>1</v>
      </c>
      <c r="H82" s="7">
        <v>2002</v>
      </c>
      <c r="I82" s="13">
        <v>18.7</v>
      </c>
      <c r="J82" s="2">
        <f t="shared" si="5"/>
        <v>18700000</v>
      </c>
      <c r="K82" s="4">
        <v>34.299999999999997</v>
      </c>
      <c r="L82" s="4">
        <v>182.6</v>
      </c>
      <c r="M82" s="12">
        <f t="shared" si="4"/>
        <v>182600000</v>
      </c>
      <c r="N82" s="4">
        <v>182.6</v>
      </c>
      <c r="O82" s="4">
        <v>182.6</v>
      </c>
      <c r="P82" s="4" t="s">
        <v>110</v>
      </c>
      <c r="Q82" s="4">
        <v>0</v>
      </c>
      <c r="R82" s="18" t="s">
        <v>113</v>
      </c>
      <c r="S82" s="8" t="s">
        <v>117</v>
      </c>
      <c r="T82" s="8" t="s">
        <v>115</v>
      </c>
      <c r="U82" s="8" t="s">
        <v>113</v>
      </c>
      <c r="V82" s="8" t="s">
        <v>115</v>
      </c>
      <c r="W82" s="8" t="s">
        <v>115</v>
      </c>
    </row>
    <row r="83" spans="1:23" x14ac:dyDescent="0.35">
      <c r="A83" s="5" t="s">
        <v>71</v>
      </c>
      <c r="B83" s="4">
        <v>82</v>
      </c>
      <c r="C83" s="15">
        <v>4.4424999999999999</v>
      </c>
      <c r="D83" s="17">
        <f t="shared" si="3"/>
        <v>4442500</v>
      </c>
      <c r="E83" s="6">
        <v>0</v>
      </c>
      <c r="F83" s="6">
        <v>0.05</v>
      </c>
      <c r="G83" s="9">
        <v>1</v>
      </c>
      <c r="H83" s="7">
        <v>2002</v>
      </c>
      <c r="I83" s="13">
        <v>18.399999999999999</v>
      </c>
      <c r="J83" s="2">
        <f t="shared" si="5"/>
        <v>18400000</v>
      </c>
      <c r="K83" s="4">
        <v>33.700000000000003</v>
      </c>
      <c r="L83" s="4">
        <v>266.89999999999998</v>
      </c>
      <c r="M83" s="12">
        <f t="shared" si="4"/>
        <v>266899999.99999997</v>
      </c>
      <c r="N83" s="4">
        <v>266.89999999999998</v>
      </c>
      <c r="O83" s="4">
        <v>91</v>
      </c>
      <c r="P83" s="4" t="s">
        <v>110</v>
      </c>
      <c r="Q83" s="4">
        <v>0</v>
      </c>
      <c r="R83" s="18" t="s">
        <v>112</v>
      </c>
      <c r="S83" s="8" t="s">
        <v>114</v>
      </c>
      <c r="T83" s="8" t="s">
        <v>115</v>
      </c>
      <c r="U83" s="8" t="s">
        <v>115</v>
      </c>
      <c r="V83" s="8" t="s">
        <v>114</v>
      </c>
      <c r="W83" s="8" t="s">
        <v>114</v>
      </c>
    </row>
    <row r="84" spans="1:23" x14ac:dyDescent="0.35">
      <c r="A84" s="5" t="s">
        <v>72</v>
      </c>
      <c r="B84" s="4">
        <v>83</v>
      </c>
      <c r="C84" s="15">
        <v>2.0337500000000004</v>
      </c>
      <c r="D84" s="17">
        <f t="shared" si="3"/>
        <v>2033750.0000000005</v>
      </c>
      <c r="E84" s="6">
        <v>0</v>
      </c>
      <c r="F84" s="6">
        <v>0.05</v>
      </c>
      <c r="G84" s="9">
        <v>1</v>
      </c>
      <c r="H84" s="7">
        <v>2002</v>
      </c>
      <c r="I84" s="13">
        <v>17.600000000000001</v>
      </c>
      <c r="J84" s="2">
        <f t="shared" si="5"/>
        <v>17600000</v>
      </c>
      <c r="K84" s="4">
        <v>30.2</v>
      </c>
      <c r="L84" s="4">
        <v>631.70000000000005</v>
      </c>
      <c r="M84" s="12">
        <f t="shared" si="4"/>
        <v>631700000</v>
      </c>
      <c r="N84" s="4">
        <v>631.70000000000005</v>
      </c>
      <c r="O84" s="4">
        <v>631.70000000000005</v>
      </c>
      <c r="P84" s="4" t="s">
        <v>110</v>
      </c>
      <c r="Q84" s="4">
        <v>0</v>
      </c>
      <c r="R84" s="18" t="s">
        <v>113</v>
      </c>
      <c r="S84" s="8" t="s">
        <v>114</v>
      </c>
      <c r="T84" s="8" t="s">
        <v>112</v>
      </c>
      <c r="U84" s="8" t="s">
        <v>112</v>
      </c>
      <c r="V84" s="8" t="s">
        <v>115</v>
      </c>
      <c r="W84" s="8" t="s">
        <v>115</v>
      </c>
    </row>
    <row r="85" spans="1:23" x14ac:dyDescent="0.35">
      <c r="A85" s="5" t="s">
        <v>73</v>
      </c>
      <c r="B85" s="4">
        <v>84</v>
      </c>
      <c r="C85" s="15">
        <v>0.28999999999999998</v>
      </c>
      <c r="D85" s="17">
        <f t="shared" si="3"/>
        <v>290000</v>
      </c>
      <c r="E85" s="6">
        <v>0</v>
      </c>
      <c r="F85" s="6">
        <v>0.05</v>
      </c>
      <c r="G85" s="9">
        <v>1</v>
      </c>
      <c r="H85" s="7">
        <v>2002</v>
      </c>
      <c r="I85" s="13">
        <v>15.8</v>
      </c>
      <c r="J85" s="2">
        <f t="shared" si="5"/>
        <v>15800000</v>
      </c>
      <c r="K85" s="4">
        <v>36.700000000000003</v>
      </c>
      <c r="L85" s="4">
        <v>330.5</v>
      </c>
      <c r="M85" s="12">
        <f t="shared" si="4"/>
        <v>330500000</v>
      </c>
      <c r="N85" s="4">
        <v>330.5</v>
      </c>
      <c r="O85" s="4">
        <v>0</v>
      </c>
      <c r="P85" s="4" t="s">
        <v>110</v>
      </c>
      <c r="Q85" s="4">
        <v>0</v>
      </c>
      <c r="R85" s="18" t="s">
        <v>117</v>
      </c>
      <c r="S85" s="8" t="s">
        <v>117</v>
      </c>
      <c r="T85" s="8" t="s">
        <v>115</v>
      </c>
      <c r="U85" s="8" t="s">
        <v>115</v>
      </c>
      <c r="V85" s="8" t="s">
        <v>115</v>
      </c>
      <c r="W85" s="8" t="s">
        <v>117</v>
      </c>
    </row>
    <row r="86" spans="1:23" x14ac:dyDescent="0.35">
      <c r="A86" s="5" t="s">
        <v>74</v>
      </c>
      <c r="B86" s="4">
        <v>85</v>
      </c>
      <c r="C86" s="15">
        <v>1.55375</v>
      </c>
      <c r="D86" s="17">
        <f t="shared" si="3"/>
        <v>1553750</v>
      </c>
      <c r="E86" s="6">
        <v>0</v>
      </c>
      <c r="F86" s="6">
        <v>0.05</v>
      </c>
      <c r="G86" s="9">
        <v>1</v>
      </c>
      <c r="H86" s="7">
        <v>2002</v>
      </c>
      <c r="I86" s="13">
        <v>17</v>
      </c>
      <c r="J86" s="2">
        <f t="shared" si="5"/>
        <v>17000000</v>
      </c>
      <c r="K86" s="4">
        <v>36.5</v>
      </c>
      <c r="L86" s="4">
        <v>265</v>
      </c>
      <c r="M86" s="12">
        <f t="shared" si="4"/>
        <v>265000000</v>
      </c>
      <c r="N86" s="4">
        <v>265</v>
      </c>
      <c r="O86" s="4">
        <v>265</v>
      </c>
      <c r="P86" s="4" t="s">
        <v>110</v>
      </c>
      <c r="Q86" s="4">
        <v>0</v>
      </c>
      <c r="R86" s="18" t="s">
        <v>113</v>
      </c>
      <c r="S86" s="8" t="s">
        <v>116</v>
      </c>
      <c r="T86" s="8" t="s">
        <v>114</v>
      </c>
      <c r="U86" s="8" t="s">
        <v>116</v>
      </c>
      <c r="V86" s="8" t="s">
        <v>116</v>
      </c>
      <c r="W86" s="8" t="s">
        <v>115</v>
      </c>
    </row>
    <row r="87" spans="1:23" x14ac:dyDescent="0.35">
      <c r="A87" s="5" t="s">
        <v>75</v>
      </c>
      <c r="B87" s="4">
        <v>86</v>
      </c>
      <c r="C87" s="15">
        <v>0.72500000000000009</v>
      </c>
      <c r="D87" s="17">
        <f t="shared" si="3"/>
        <v>725000.00000000012</v>
      </c>
      <c r="E87" s="6">
        <v>0</v>
      </c>
      <c r="F87" s="6">
        <v>0.05</v>
      </c>
      <c r="G87" s="9">
        <v>1</v>
      </c>
      <c r="H87" s="7">
        <v>2002</v>
      </c>
      <c r="I87" s="13">
        <v>17.600000000000001</v>
      </c>
      <c r="J87" s="2">
        <f t="shared" si="5"/>
        <v>17600000</v>
      </c>
      <c r="K87" s="4">
        <v>34.799999999999997</v>
      </c>
      <c r="L87" s="4">
        <v>185.1</v>
      </c>
      <c r="M87" s="12">
        <f t="shared" si="4"/>
        <v>185100000</v>
      </c>
      <c r="N87" s="4">
        <v>185.1</v>
      </c>
      <c r="O87" s="4">
        <v>65.399999999999991</v>
      </c>
      <c r="P87" s="4" t="s">
        <v>110</v>
      </c>
      <c r="Q87" s="4">
        <v>0</v>
      </c>
      <c r="R87" s="18" t="s">
        <v>112</v>
      </c>
      <c r="S87" s="8" t="s">
        <v>116</v>
      </c>
      <c r="T87" s="8" t="s">
        <v>117</v>
      </c>
      <c r="U87" s="8" t="s">
        <v>115</v>
      </c>
      <c r="V87" s="8" t="s">
        <v>114</v>
      </c>
      <c r="W87" s="8" t="s">
        <v>117</v>
      </c>
    </row>
    <row r="88" spans="1:23" x14ac:dyDescent="0.35">
      <c r="A88" s="5" t="s">
        <v>76</v>
      </c>
      <c r="B88" s="4">
        <v>87</v>
      </c>
      <c r="C88" s="15">
        <v>0.01</v>
      </c>
      <c r="D88" s="17">
        <f t="shared" si="3"/>
        <v>10000</v>
      </c>
      <c r="E88" s="6">
        <v>0</v>
      </c>
      <c r="F88" s="6">
        <v>0.05</v>
      </c>
      <c r="G88" s="9">
        <v>1</v>
      </c>
      <c r="H88" s="7">
        <v>2002</v>
      </c>
      <c r="I88" s="13">
        <v>17</v>
      </c>
      <c r="J88" s="2">
        <f t="shared" si="5"/>
        <v>17000000</v>
      </c>
      <c r="K88" s="4">
        <v>32.1</v>
      </c>
      <c r="L88" s="4">
        <v>9.1999999999999993</v>
      </c>
      <c r="M88" s="12">
        <f t="shared" si="4"/>
        <v>9200000</v>
      </c>
      <c r="N88" s="4">
        <v>9.1999999999999993</v>
      </c>
      <c r="O88" s="4">
        <v>9.1999999999999993</v>
      </c>
      <c r="P88" s="4" t="s">
        <v>110</v>
      </c>
      <c r="Q88" s="4">
        <v>0</v>
      </c>
      <c r="R88" s="18" t="s">
        <v>117</v>
      </c>
      <c r="S88" s="8" t="s">
        <v>117</v>
      </c>
      <c r="T88" s="8" t="s">
        <v>117</v>
      </c>
      <c r="U88" s="8" t="s">
        <v>115</v>
      </c>
      <c r="V88" s="8" t="s">
        <v>115</v>
      </c>
      <c r="W88" s="8" t="s">
        <v>115</v>
      </c>
    </row>
    <row r="89" spans="1:23" x14ac:dyDescent="0.35">
      <c r="A89" s="5" t="s">
        <v>77</v>
      </c>
      <c r="B89" s="4">
        <v>88</v>
      </c>
      <c r="C89" s="15">
        <v>13.2</v>
      </c>
      <c r="D89" s="17">
        <f t="shared" si="3"/>
        <v>13200000</v>
      </c>
      <c r="E89" s="6">
        <v>0</v>
      </c>
      <c r="F89" s="6">
        <v>0.05</v>
      </c>
      <c r="G89" s="9">
        <v>1</v>
      </c>
      <c r="H89" s="7">
        <v>2002</v>
      </c>
      <c r="I89" s="13">
        <v>16</v>
      </c>
      <c r="J89" s="2">
        <f t="shared" si="5"/>
        <v>16000000</v>
      </c>
      <c r="K89" s="4">
        <v>37.6</v>
      </c>
      <c r="L89" s="4">
        <v>90</v>
      </c>
      <c r="M89" s="12">
        <f t="shared" si="4"/>
        <v>90000000</v>
      </c>
      <c r="N89" s="4">
        <v>90</v>
      </c>
      <c r="O89" s="4">
        <v>90</v>
      </c>
      <c r="P89" s="4" t="s">
        <v>110</v>
      </c>
      <c r="Q89" s="4">
        <v>0</v>
      </c>
      <c r="R89" s="18" t="s">
        <v>117</v>
      </c>
      <c r="S89" s="8" t="s">
        <v>117</v>
      </c>
      <c r="T89" s="8" t="s">
        <v>115</v>
      </c>
      <c r="U89" s="8" t="s">
        <v>115</v>
      </c>
      <c r="V89" s="8" t="s">
        <v>117</v>
      </c>
      <c r="W89" s="8" t="s">
        <v>115</v>
      </c>
    </row>
    <row r="90" spans="1:23" x14ac:dyDescent="0.35">
      <c r="A90" s="5" t="s">
        <v>78</v>
      </c>
      <c r="B90" s="4">
        <v>89</v>
      </c>
      <c r="C90" s="15">
        <v>0.16500000000000001</v>
      </c>
      <c r="D90" s="17">
        <f t="shared" si="3"/>
        <v>165000</v>
      </c>
      <c r="E90" s="6">
        <v>0</v>
      </c>
      <c r="F90" s="6">
        <v>0.05</v>
      </c>
      <c r="G90" s="9">
        <v>1</v>
      </c>
      <c r="H90" s="7">
        <v>2002</v>
      </c>
      <c r="I90" s="13">
        <v>17.600000000000001</v>
      </c>
      <c r="J90" s="2">
        <f t="shared" si="5"/>
        <v>17600000</v>
      </c>
      <c r="K90" s="4">
        <v>37.4</v>
      </c>
      <c r="L90" s="4">
        <v>193.2</v>
      </c>
      <c r="M90" s="12">
        <f t="shared" si="4"/>
        <v>193200000</v>
      </c>
      <c r="N90" s="4">
        <v>193.2</v>
      </c>
      <c r="O90" s="4">
        <v>193.2</v>
      </c>
      <c r="P90" s="4" t="s">
        <v>110</v>
      </c>
      <c r="Q90" s="4">
        <v>0</v>
      </c>
      <c r="R90" s="18" t="s">
        <v>114</v>
      </c>
      <c r="S90" s="8" t="s">
        <v>117</v>
      </c>
      <c r="T90" s="8" t="s">
        <v>115</v>
      </c>
      <c r="U90" s="8" t="s">
        <v>114</v>
      </c>
      <c r="V90" s="8" t="s">
        <v>115</v>
      </c>
      <c r="W90" s="8" t="s">
        <v>115</v>
      </c>
    </row>
    <row r="91" spans="1:23" x14ac:dyDescent="0.35">
      <c r="A91" s="5" t="s">
        <v>79</v>
      </c>
      <c r="B91" s="4">
        <v>90</v>
      </c>
      <c r="C91" s="15">
        <v>0.38</v>
      </c>
      <c r="D91" s="17">
        <f t="shared" si="3"/>
        <v>380000</v>
      </c>
      <c r="E91" s="6">
        <v>0</v>
      </c>
      <c r="F91" s="6">
        <v>0.05</v>
      </c>
      <c r="G91" s="9">
        <v>1</v>
      </c>
      <c r="H91" s="7">
        <v>2002</v>
      </c>
      <c r="I91" s="13">
        <v>18.399999999999999</v>
      </c>
      <c r="J91" s="2">
        <f t="shared" si="5"/>
        <v>18400000</v>
      </c>
      <c r="K91" s="4">
        <v>35.200000000000003</v>
      </c>
      <c r="L91" s="4">
        <v>271.7</v>
      </c>
      <c r="M91" s="12">
        <f t="shared" si="4"/>
        <v>271700000</v>
      </c>
      <c r="N91" s="4">
        <v>271.7</v>
      </c>
      <c r="O91" s="4">
        <v>41.5</v>
      </c>
      <c r="P91" s="4" t="s">
        <v>110</v>
      </c>
      <c r="Q91" s="4">
        <v>0</v>
      </c>
      <c r="R91" s="18" t="s">
        <v>114</v>
      </c>
      <c r="S91" s="8" t="s">
        <v>114</v>
      </c>
      <c r="T91" s="8" t="s">
        <v>115</v>
      </c>
      <c r="U91" s="8" t="s">
        <v>117</v>
      </c>
      <c r="V91" s="8" t="s">
        <v>115</v>
      </c>
      <c r="W91" s="8" t="s">
        <v>117</v>
      </c>
    </row>
    <row r="92" spans="1:23" x14ac:dyDescent="0.35">
      <c r="A92" s="5" t="s">
        <v>80</v>
      </c>
      <c r="B92" s="4">
        <v>91</v>
      </c>
      <c r="C92" s="15">
        <v>8.4337499999999999</v>
      </c>
      <c r="D92" s="17">
        <f t="shared" si="3"/>
        <v>8433750</v>
      </c>
      <c r="E92" s="6">
        <v>0</v>
      </c>
      <c r="F92" s="6">
        <v>0.05</v>
      </c>
      <c r="G92" s="9">
        <v>1</v>
      </c>
      <c r="H92" s="7">
        <v>2002</v>
      </c>
      <c r="I92" s="13">
        <v>17.2</v>
      </c>
      <c r="J92" s="2">
        <f t="shared" si="5"/>
        <v>17200000</v>
      </c>
      <c r="K92" s="4">
        <v>31</v>
      </c>
      <c r="L92" s="4">
        <v>221.6</v>
      </c>
      <c r="M92" s="12">
        <f t="shared" si="4"/>
        <v>221600000</v>
      </c>
      <c r="N92" s="4">
        <v>221.6</v>
      </c>
      <c r="O92" s="4">
        <v>191.79999999999998</v>
      </c>
      <c r="P92" s="4" t="s">
        <v>110</v>
      </c>
      <c r="Q92" s="4">
        <v>0</v>
      </c>
      <c r="R92" s="18" t="s">
        <v>113</v>
      </c>
      <c r="S92" s="8" t="s">
        <v>112</v>
      </c>
      <c r="T92" s="8" t="s">
        <v>114</v>
      </c>
      <c r="U92" s="8" t="s">
        <v>114</v>
      </c>
      <c r="V92" s="8" t="s">
        <v>114</v>
      </c>
      <c r="W92" s="8" t="s">
        <v>114</v>
      </c>
    </row>
    <row r="93" spans="1:23" x14ac:dyDescent="0.35">
      <c r="A93" s="5" t="s">
        <v>81</v>
      </c>
      <c r="B93" s="4">
        <v>92</v>
      </c>
      <c r="C93" s="15">
        <v>0.28000000000000003</v>
      </c>
      <c r="D93" s="17">
        <f t="shared" si="3"/>
        <v>280000</v>
      </c>
      <c r="E93" s="6">
        <v>0</v>
      </c>
      <c r="F93" s="6">
        <v>0.05</v>
      </c>
      <c r="G93" s="9">
        <v>1</v>
      </c>
      <c r="H93" s="7">
        <v>2002</v>
      </c>
      <c r="I93" s="13">
        <v>14.5</v>
      </c>
      <c r="J93" s="2">
        <f t="shared" si="5"/>
        <v>14500000</v>
      </c>
      <c r="K93" s="4">
        <v>38.299999999999997</v>
      </c>
      <c r="L93" s="4">
        <v>111.6</v>
      </c>
      <c r="M93" s="12">
        <f t="shared" si="4"/>
        <v>111600000</v>
      </c>
      <c r="N93" s="4">
        <v>111.6</v>
      </c>
      <c r="O93" s="4">
        <v>111.6</v>
      </c>
      <c r="P93" s="4" t="s">
        <v>110</v>
      </c>
      <c r="Q93" s="4">
        <v>0</v>
      </c>
      <c r="R93" s="18" t="s">
        <v>114</v>
      </c>
      <c r="S93" s="8" t="s">
        <v>117</v>
      </c>
      <c r="T93" s="8" t="s">
        <v>115</v>
      </c>
      <c r="U93" s="8" t="s">
        <v>115</v>
      </c>
      <c r="V93" s="8" t="s">
        <v>114</v>
      </c>
      <c r="W93" s="8" t="s">
        <v>115</v>
      </c>
    </row>
    <row r="94" spans="1:23" x14ac:dyDescent="0.35">
      <c r="A94" s="5" t="s">
        <v>82</v>
      </c>
      <c r="B94" s="4">
        <v>93</v>
      </c>
      <c r="C94" s="15">
        <v>2.2512500000000002</v>
      </c>
      <c r="D94" s="17">
        <f t="shared" si="3"/>
        <v>2251250</v>
      </c>
      <c r="E94" s="6">
        <v>0</v>
      </c>
      <c r="F94" s="6">
        <v>0.05</v>
      </c>
      <c r="G94" s="9">
        <v>1</v>
      </c>
      <c r="H94" s="7">
        <v>2002</v>
      </c>
      <c r="I94" s="13">
        <v>16.8</v>
      </c>
      <c r="J94" s="2">
        <f t="shared" si="5"/>
        <v>16800000</v>
      </c>
      <c r="K94" s="4">
        <v>35.6</v>
      </c>
      <c r="L94" s="4">
        <v>579.4</v>
      </c>
      <c r="M94" s="12">
        <f t="shared" si="4"/>
        <v>579400000</v>
      </c>
      <c r="N94" s="4">
        <v>579.4</v>
      </c>
      <c r="O94" s="4">
        <v>112.69999999999993</v>
      </c>
      <c r="P94" s="4" t="s">
        <v>110</v>
      </c>
      <c r="Q94" s="4">
        <v>0</v>
      </c>
      <c r="R94" s="18" t="s">
        <v>111</v>
      </c>
      <c r="S94" s="8" t="s">
        <v>112</v>
      </c>
      <c r="T94" s="8" t="s">
        <v>112</v>
      </c>
      <c r="U94" s="8" t="s">
        <v>112</v>
      </c>
      <c r="V94" s="8" t="s">
        <v>112</v>
      </c>
      <c r="W94" s="8" t="s">
        <v>112</v>
      </c>
    </row>
    <row r="95" spans="1:23" x14ac:dyDescent="0.35">
      <c r="A95" s="5" t="s">
        <v>89</v>
      </c>
      <c r="B95" s="4">
        <v>94</v>
      </c>
      <c r="C95" s="15"/>
      <c r="D95" s="17">
        <f t="shared" si="3"/>
        <v>0</v>
      </c>
      <c r="E95" s="6"/>
      <c r="F95" s="6"/>
      <c r="G95" s="9">
        <v>1</v>
      </c>
      <c r="H95" s="7"/>
      <c r="J95" s="2">
        <f t="shared" si="5"/>
        <v>0</v>
      </c>
      <c r="M95" s="12">
        <f t="shared" si="4"/>
        <v>0</v>
      </c>
      <c r="R95" s="18" t="s">
        <v>129</v>
      </c>
      <c r="S95" s="8"/>
      <c r="T95" s="8"/>
      <c r="U95" s="8"/>
      <c r="V95" s="8"/>
      <c r="W95" s="8"/>
    </row>
    <row r="96" spans="1:23" x14ac:dyDescent="0.35">
      <c r="A96" s="5" t="s">
        <v>83</v>
      </c>
      <c r="B96" s="4">
        <v>95</v>
      </c>
      <c r="C96" s="15">
        <v>5.6125000000000007</v>
      </c>
      <c r="D96" s="17">
        <f t="shared" si="3"/>
        <v>5612500.0000000009</v>
      </c>
      <c r="E96" s="6">
        <v>0</v>
      </c>
      <c r="F96" s="6">
        <v>0.05</v>
      </c>
      <c r="G96" s="9">
        <v>1</v>
      </c>
      <c r="H96" s="7">
        <v>2002</v>
      </c>
      <c r="I96" s="13">
        <v>16.3</v>
      </c>
      <c r="J96" s="2">
        <f t="shared" si="5"/>
        <v>16300000</v>
      </c>
      <c r="K96" s="4">
        <v>31</v>
      </c>
      <c r="L96" s="4">
        <v>596.1</v>
      </c>
      <c r="M96" s="12">
        <f t="shared" si="4"/>
        <v>596100000</v>
      </c>
      <c r="N96" s="4">
        <v>596.1</v>
      </c>
      <c r="O96" s="4">
        <v>94.600000000000023</v>
      </c>
      <c r="P96" s="4" t="s">
        <v>110</v>
      </c>
      <c r="Q96" s="4">
        <v>0</v>
      </c>
      <c r="R96" s="18" t="s">
        <v>111</v>
      </c>
      <c r="S96" s="8" t="s">
        <v>114</v>
      </c>
      <c r="T96" s="8" t="s">
        <v>115</v>
      </c>
      <c r="U96" s="8" t="s">
        <v>115</v>
      </c>
      <c r="V96" s="8" t="s">
        <v>113</v>
      </c>
      <c r="W96" s="8" t="s">
        <v>113</v>
      </c>
    </row>
    <row r="97" spans="1:23" x14ac:dyDescent="0.35">
      <c r="A97" s="5" t="s">
        <v>84</v>
      </c>
      <c r="B97" s="4">
        <v>96</v>
      </c>
      <c r="C97" s="15">
        <v>0.14500000000000002</v>
      </c>
      <c r="D97" s="17">
        <f t="shared" si="3"/>
        <v>145000.00000000003</v>
      </c>
      <c r="E97" s="6">
        <v>0</v>
      </c>
      <c r="F97" s="6">
        <v>0.05</v>
      </c>
      <c r="G97" s="9">
        <v>1</v>
      </c>
      <c r="H97" s="7">
        <v>2002</v>
      </c>
      <c r="I97" s="13">
        <v>16.2</v>
      </c>
      <c r="J97" s="2">
        <f t="shared" si="5"/>
        <v>16200000</v>
      </c>
      <c r="K97" s="4">
        <v>37.4</v>
      </c>
      <c r="L97" s="4">
        <v>148.1</v>
      </c>
      <c r="M97" s="12">
        <f t="shared" si="4"/>
        <v>148100000</v>
      </c>
      <c r="N97" s="4">
        <v>148.1</v>
      </c>
      <c r="O97" s="4">
        <v>16.099999999999994</v>
      </c>
      <c r="P97" s="4" t="s">
        <v>110</v>
      </c>
      <c r="Q97" s="4">
        <v>0</v>
      </c>
      <c r="R97" s="18" t="s">
        <v>114</v>
      </c>
      <c r="S97" s="8" t="s">
        <v>114</v>
      </c>
      <c r="T97" s="8" t="s">
        <v>115</v>
      </c>
      <c r="U97" s="8" t="s">
        <v>115</v>
      </c>
      <c r="V97" s="8" t="s">
        <v>117</v>
      </c>
      <c r="W97" s="8" t="s">
        <v>117</v>
      </c>
    </row>
    <row r="98" spans="1:23" x14ac:dyDescent="0.35">
      <c r="A98" s="5" t="s">
        <v>85</v>
      </c>
      <c r="B98" s="4">
        <v>97</v>
      </c>
      <c r="C98" s="15">
        <v>5.7449999999999992</v>
      </c>
      <c r="D98" s="17">
        <f t="shared" si="3"/>
        <v>5744999.9999999991</v>
      </c>
      <c r="E98" s="6">
        <v>0</v>
      </c>
      <c r="F98" s="6">
        <v>0.05</v>
      </c>
      <c r="G98" s="9">
        <v>1</v>
      </c>
      <c r="H98" s="7">
        <v>2002</v>
      </c>
      <c r="I98" s="13">
        <v>17</v>
      </c>
      <c r="J98" s="2">
        <f t="shared" si="5"/>
        <v>17000000</v>
      </c>
      <c r="K98" s="4">
        <v>34.6</v>
      </c>
      <c r="L98" s="4">
        <v>140.19999999999999</v>
      </c>
      <c r="M98" s="12">
        <f t="shared" si="4"/>
        <v>140200000</v>
      </c>
      <c r="N98" s="4">
        <v>140.19999999999999</v>
      </c>
      <c r="O98" s="4">
        <v>140.19999999999999</v>
      </c>
      <c r="P98" s="4" t="s">
        <v>110</v>
      </c>
      <c r="Q98" s="4">
        <v>0</v>
      </c>
      <c r="R98" s="18" t="s">
        <v>112</v>
      </c>
      <c r="S98" s="8" t="s">
        <v>117</v>
      </c>
      <c r="T98" s="8" t="s">
        <v>115</v>
      </c>
      <c r="U98" s="8" t="s">
        <v>115</v>
      </c>
      <c r="V98" s="8" t="s">
        <v>112</v>
      </c>
      <c r="W98" s="8" t="s">
        <v>115</v>
      </c>
    </row>
    <row r="99" spans="1:23" x14ac:dyDescent="0.35">
      <c r="A99" s="5" t="s">
        <v>93</v>
      </c>
      <c r="B99" s="4">
        <v>98</v>
      </c>
      <c r="C99" s="15"/>
      <c r="D99" s="17">
        <f t="shared" si="3"/>
        <v>0</v>
      </c>
      <c r="E99" s="6"/>
      <c r="F99" s="6"/>
      <c r="G99" s="9">
        <v>1</v>
      </c>
      <c r="H99" s="7"/>
      <c r="J99" s="2">
        <f t="shared" si="5"/>
        <v>0</v>
      </c>
      <c r="M99" s="12">
        <f t="shared" si="4"/>
        <v>0</v>
      </c>
      <c r="R99" s="18" t="s">
        <v>132</v>
      </c>
      <c r="S99" s="8"/>
      <c r="T99" s="8"/>
      <c r="U99" s="8"/>
      <c r="V99" s="8"/>
      <c r="W99" s="8"/>
    </row>
    <row r="100" spans="1:23" x14ac:dyDescent="0.35">
      <c r="A100" s="3" t="s">
        <v>90</v>
      </c>
      <c r="B100" s="4">
        <v>1</v>
      </c>
      <c r="D100" s="17">
        <f t="shared" si="3"/>
        <v>0</v>
      </c>
      <c r="J100" s="2">
        <f t="shared" si="5"/>
        <v>0</v>
      </c>
      <c r="M100" s="12">
        <f t="shared" si="4"/>
        <v>0</v>
      </c>
      <c r="R100" s="12" t="s">
        <v>125</v>
      </c>
    </row>
    <row r="101" spans="1:23" x14ac:dyDescent="0.35">
      <c r="A101" s="3" t="s">
        <v>91</v>
      </c>
      <c r="B101" s="4">
        <v>2</v>
      </c>
      <c r="D101" s="17">
        <f t="shared" si="3"/>
        <v>0</v>
      </c>
      <c r="J101" s="2">
        <f t="shared" si="5"/>
        <v>0</v>
      </c>
      <c r="M101" s="12">
        <f t="shared" si="4"/>
        <v>0</v>
      </c>
      <c r="R101" s="12" t="s">
        <v>126</v>
      </c>
    </row>
    <row r="102" spans="1:23" x14ac:dyDescent="0.35">
      <c r="A102" s="5" t="s">
        <v>4</v>
      </c>
      <c r="B102" s="4">
        <v>3</v>
      </c>
      <c r="C102" s="15">
        <v>0</v>
      </c>
      <c r="D102" s="17">
        <v>0</v>
      </c>
      <c r="E102" s="6">
        <v>0</v>
      </c>
      <c r="F102" s="6">
        <v>0.05</v>
      </c>
      <c r="G102" s="10">
        <v>2</v>
      </c>
      <c r="H102" s="7">
        <v>2004</v>
      </c>
      <c r="I102" s="13">
        <v>16</v>
      </c>
      <c r="J102" s="2">
        <f t="shared" si="5"/>
        <v>16000000</v>
      </c>
      <c r="K102" s="4">
        <v>7.1</v>
      </c>
      <c r="L102" s="4">
        <v>292.60000000000002</v>
      </c>
      <c r="M102" s="12">
        <f t="shared" si="4"/>
        <v>292600000</v>
      </c>
      <c r="N102" s="4">
        <v>181.7</v>
      </c>
      <c r="O102" s="4">
        <v>152.89999999999998</v>
      </c>
      <c r="P102" s="4" t="s">
        <v>123</v>
      </c>
      <c r="Q102" s="4">
        <v>1</v>
      </c>
      <c r="R102" s="18" t="s">
        <v>111</v>
      </c>
      <c r="S102" s="8" t="s">
        <v>112</v>
      </c>
      <c r="T102" s="8" t="s">
        <v>112</v>
      </c>
      <c r="U102" s="8" t="s">
        <v>112</v>
      </c>
      <c r="V102" s="8" t="s">
        <v>112</v>
      </c>
      <c r="W102" s="8" t="s">
        <v>112</v>
      </c>
    </row>
    <row r="103" spans="1:23" x14ac:dyDescent="0.35">
      <c r="A103" s="5" t="s">
        <v>5</v>
      </c>
      <c r="B103" s="4">
        <v>4</v>
      </c>
      <c r="C103" s="15">
        <v>0</v>
      </c>
      <c r="D103" s="17">
        <v>0</v>
      </c>
      <c r="E103" s="6">
        <v>0</v>
      </c>
      <c r="F103" s="6">
        <v>0.05</v>
      </c>
      <c r="G103" s="10">
        <v>2</v>
      </c>
      <c r="H103" s="7">
        <v>2004</v>
      </c>
      <c r="I103" s="13">
        <v>18.399999999999999</v>
      </c>
      <c r="J103" s="2">
        <f t="shared" si="5"/>
        <v>18400000</v>
      </c>
      <c r="K103" s="4">
        <v>6</v>
      </c>
      <c r="L103" s="4">
        <v>469.72500000000002</v>
      </c>
      <c r="M103" s="12">
        <f t="shared" si="4"/>
        <v>469725000</v>
      </c>
      <c r="N103" s="4">
        <v>506.1</v>
      </c>
      <c r="O103" s="4">
        <v>506.1</v>
      </c>
      <c r="P103" s="4" t="s">
        <v>123</v>
      </c>
      <c r="Q103" s="4">
        <v>1</v>
      </c>
      <c r="R103" s="18" t="s">
        <v>113</v>
      </c>
      <c r="S103" s="8" t="s">
        <v>114</v>
      </c>
      <c r="T103" s="8" t="s">
        <v>112</v>
      </c>
      <c r="U103" s="8" t="s">
        <v>115</v>
      </c>
      <c r="V103" s="8" t="s">
        <v>112</v>
      </c>
      <c r="W103" s="8" t="s">
        <v>115</v>
      </c>
    </row>
    <row r="104" spans="1:23" x14ac:dyDescent="0.35">
      <c r="A104" s="5" t="s">
        <v>6</v>
      </c>
      <c r="B104" s="4">
        <v>5</v>
      </c>
      <c r="C104" s="15">
        <v>0</v>
      </c>
      <c r="D104" s="17">
        <v>0</v>
      </c>
      <c r="E104" s="6">
        <v>0</v>
      </c>
      <c r="F104" s="6">
        <v>0.05</v>
      </c>
      <c r="G104" s="10">
        <v>2</v>
      </c>
      <c r="H104" s="7">
        <v>2004</v>
      </c>
      <c r="I104" s="13">
        <v>17</v>
      </c>
      <c r="J104" s="2">
        <f t="shared" si="5"/>
        <v>17000000</v>
      </c>
      <c r="K104" s="4">
        <v>6.6</v>
      </c>
      <c r="L104" s="4">
        <v>498.32499999999999</v>
      </c>
      <c r="M104" s="12">
        <f t="shared" si="4"/>
        <v>498325000</v>
      </c>
      <c r="N104" s="4">
        <v>624.9</v>
      </c>
      <c r="O104" s="4">
        <v>445.9</v>
      </c>
      <c r="P104" s="4" t="s">
        <v>123</v>
      </c>
      <c r="Q104" s="4">
        <v>1</v>
      </c>
      <c r="R104" s="18" t="s">
        <v>113</v>
      </c>
      <c r="S104" s="8" t="s">
        <v>116</v>
      </c>
      <c r="T104" s="8" t="s">
        <v>116</v>
      </c>
      <c r="U104" s="8" t="s">
        <v>116</v>
      </c>
      <c r="V104" s="8" t="s">
        <v>115</v>
      </c>
      <c r="W104" s="8" t="s">
        <v>114</v>
      </c>
    </row>
    <row r="105" spans="1:23" x14ac:dyDescent="0.35">
      <c r="A105" s="5" t="s">
        <v>7</v>
      </c>
      <c r="B105" s="4">
        <v>6</v>
      </c>
      <c r="C105" s="15">
        <v>0</v>
      </c>
      <c r="D105" s="17">
        <v>0</v>
      </c>
      <c r="E105" s="6">
        <v>0</v>
      </c>
      <c r="F105" s="6">
        <v>0.05</v>
      </c>
      <c r="G105" s="10">
        <v>2</v>
      </c>
      <c r="H105" s="7">
        <v>2004</v>
      </c>
      <c r="I105" s="13">
        <v>19.600000000000001</v>
      </c>
      <c r="J105" s="2">
        <f t="shared" si="5"/>
        <v>19600000</v>
      </c>
      <c r="K105" s="4">
        <v>6.7</v>
      </c>
      <c r="L105" s="4">
        <v>722.6</v>
      </c>
      <c r="M105" s="12">
        <f t="shared" si="4"/>
        <v>722600000</v>
      </c>
      <c r="N105" s="4">
        <v>1081.5</v>
      </c>
      <c r="O105" s="4">
        <v>230.70000000000005</v>
      </c>
      <c r="P105" s="4" t="s">
        <v>123</v>
      </c>
      <c r="Q105" s="4">
        <v>1</v>
      </c>
      <c r="R105" s="18" t="s">
        <v>112</v>
      </c>
      <c r="S105" s="8" t="s">
        <v>112</v>
      </c>
      <c r="T105" s="8" t="s">
        <v>117</v>
      </c>
      <c r="U105" s="8" t="s">
        <v>117</v>
      </c>
      <c r="V105" s="8" t="s">
        <v>117</v>
      </c>
      <c r="W105" s="8" t="s">
        <v>117</v>
      </c>
    </row>
    <row r="106" spans="1:23" x14ac:dyDescent="0.35">
      <c r="A106" s="5" t="s">
        <v>8</v>
      </c>
      <c r="B106" s="4">
        <v>7</v>
      </c>
      <c r="C106" s="15">
        <v>0</v>
      </c>
      <c r="D106" s="17">
        <v>0</v>
      </c>
      <c r="E106" s="6">
        <v>0</v>
      </c>
      <c r="F106" s="6">
        <v>0.05</v>
      </c>
      <c r="G106" s="10">
        <v>2</v>
      </c>
      <c r="H106" s="7">
        <v>2004</v>
      </c>
      <c r="I106" s="13">
        <v>17.100000000000001</v>
      </c>
      <c r="J106" s="2">
        <f t="shared" si="5"/>
        <v>17100000</v>
      </c>
      <c r="K106" s="4">
        <v>5.5</v>
      </c>
      <c r="L106" s="4">
        <v>814.95</v>
      </c>
      <c r="M106" s="12">
        <f t="shared" si="4"/>
        <v>814950000</v>
      </c>
      <c r="N106" s="4">
        <v>818.8</v>
      </c>
      <c r="O106" s="4">
        <v>0</v>
      </c>
      <c r="P106" s="4" t="s">
        <v>123</v>
      </c>
      <c r="Q106" s="4">
        <v>1</v>
      </c>
      <c r="R106" s="18" t="s">
        <v>114</v>
      </c>
      <c r="S106" s="8" t="s">
        <v>117</v>
      </c>
      <c r="T106" s="8" t="s">
        <v>115</v>
      </c>
      <c r="U106" s="8" t="s">
        <v>115</v>
      </c>
      <c r="V106" s="8" t="s">
        <v>115</v>
      </c>
      <c r="W106" s="8" t="s">
        <v>114</v>
      </c>
    </row>
    <row r="107" spans="1:23" x14ac:dyDescent="0.35">
      <c r="A107" s="5" t="s">
        <v>9</v>
      </c>
      <c r="B107" s="4">
        <v>8</v>
      </c>
      <c r="C107" s="15">
        <v>0</v>
      </c>
      <c r="D107" s="17">
        <v>0</v>
      </c>
      <c r="E107" s="6">
        <v>0</v>
      </c>
      <c r="F107" s="6">
        <v>0.05</v>
      </c>
      <c r="G107" s="10">
        <v>2</v>
      </c>
      <c r="H107" s="7">
        <v>2004</v>
      </c>
      <c r="I107" s="13">
        <v>17.899999999999999</v>
      </c>
      <c r="J107" s="2">
        <f t="shared" si="5"/>
        <v>17900000</v>
      </c>
      <c r="K107" s="4">
        <v>5.8</v>
      </c>
      <c r="L107" s="4">
        <v>648.6</v>
      </c>
      <c r="M107" s="12">
        <f t="shared" si="4"/>
        <v>648600000</v>
      </c>
      <c r="N107" s="4">
        <v>522.4</v>
      </c>
      <c r="O107" s="4">
        <v>522.4</v>
      </c>
      <c r="P107" s="4" t="s">
        <v>123</v>
      </c>
      <c r="Q107" s="4">
        <v>1</v>
      </c>
      <c r="R107" s="18" t="s">
        <v>111</v>
      </c>
      <c r="S107" s="8" t="s">
        <v>114</v>
      </c>
      <c r="T107" s="8" t="s">
        <v>113</v>
      </c>
      <c r="U107" s="8" t="s">
        <v>115</v>
      </c>
      <c r="V107" s="8" t="s">
        <v>113</v>
      </c>
      <c r="W107" s="8" t="s">
        <v>115</v>
      </c>
    </row>
    <row r="108" spans="1:23" x14ac:dyDescent="0.35">
      <c r="A108" s="5" t="s">
        <v>10</v>
      </c>
      <c r="B108" s="4">
        <v>9</v>
      </c>
      <c r="C108" s="15">
        <v>0</v>
      </c>
      <c r="D108" s="17">
        <v>0</v>
      </c>
      <c r="E108" s="6">
        <v>0</v>
      </c>
      <c r="F108" s="6">
        <v>0.05</v>
      </c>
      <c r="G108" s="10">
        <v>2</v>
      </c>
      <c r="H108" s="7">
        <v>2004</v>
      </c>
      <c r="I108" s="13">
        <v>20.100000000000001</v>
      </c>
      <c r="J108" s="2">
        <f t="shared" si="5"/>
        <v>20100000</v>
      </c>
      <c r="K108" s="4">
        <v>5.9</v>
      </c>
      <c r="L108" s="4">
        <v>376.32499999999999</v>
      </c>
      <c r="M108" s="12">
        <f t="shared" si="4"/>
        <v>376325000</v>
      </c>
      <c r="N108" s="4">
        <v>723</v>
      </c>
      <c r="O108" s="4">
        <v>723</v>
      </c>
      <c r="P108" s="4" t="s">
        <v>123</v>
      </c>
      <c r="Q108" s="4">
        <v>1</v>
      </c>
      <c r="R108" s="18" t="s">
        <v>114</v>
      </c>
      <c r="S108" s="8" t="s">
        <v>117</v>
      </c>
      <c r="T108" s="8" t="s">
        <v>115</v>
      </c>
      <c r="U108" s="8" t="s">
        <v>115</v>
      </c>
      <c r="V108" s="8" t="s">
        <v>114</v>
      </c>
      <c r="W108" s="8" t="s">
        <v>115</v>
      </c>
    </row>
    <row r="109" spans="1:23" x14ac:dyDescent="0.35">
      <c r="A109" s="5" t="s">
        <v>11</v>
      </c>
      <c r="B109" s="4">
        <v>10</v>
      </c>
      <c r="C109" s="15">
        <v>0</v>
      </c>
      <c r="D109" s="17">
        <v>0</v>
      </c>
      <c r="E109" s="6">
        <v>0</v>
      </c>
      <c r="F109" s="6">
        <v>0.05</v>
      </c>
      <c r="G109" s="10">
        <v>2</v>
      </c>
      <c r="H109" s="7">
        <v>2004</v>
      </c>
      <c r="I109" s="13">
        <v>19.3</v>
      </c>
      <c r="J109" s="2">
        <f t="shared" si="5"/>
        <v>19300000</v>
      </c>
      <c r="K109" s="4">
        <v>6.1</v>
      </c>
      <c r="L109" s="4">
        <v>710.5</v>
      </c>
      <c r="M109" s="12">
        <f t="shared" si="4"/>
        <v>710500000</v>
      </c>
      <c r="N109" s="4">
        <v>334.4</v>
      </c>
      <c r="O109" s="4">
        <v>0</v>
      </c>
      <c r="P109" s="4" t="s">
        <v>123</v>
      </c>
      <c r="Q109" s="4">
        <v>1</v>
      </c>
      <c r="R109" s="18" t="s">
        <v>117</v>
      </c>
      <c r="S109" s="8" t="s">
        <v>117</v>
      </c>
      <c r="T109" s="8" t="s">
        <v>115</v>
      </c>
      <c r="U109" s="8" t="s">
        <v>115</v>
      </c>
      <c r="V109" s="8" t="s">
        <v>115</v>
      </c>
      <c r="W109" s="8" t="s">
        <v>117</v>
      </c>
    </row>
    <row r="110" spans="1:23" x14ac:dyDescent="0.35">
      <c r="A110" s="5" t="s">
        <v>12</v>
      </c>
      <c r="B110" s="4">
        <v>11</v>
      </c>
      <c r="C110" s="15">
        <v>0</v>
      </c>
      <c r="D110" s="17">
        <v>0</v>
      </c>
      <c r="E110" s="6">
        <v>0</v>
      </c>
      <c r="F110" s="6">
        <v>0.05</v>
      </c>
      <c r="G110" s="10">
        <v>2</v>
      </c>
      <c r="H110" s="7">
        <v>2004</v>
      </c>
      <c r="I110" s="13">
        <v>19.100000000000001</v>
      </c>
      <c r="J110" s="2">
        <f t="shared" si="5"/>
        <v>19100000</v>
      </c>
      <c r="K110" s="4">
        <v>5.8</v>
      </c>
      <c r="L110" s="4">
        <v>192.25</v>
      </c>
      <c r="M110" s="12">
        <f t="shared" si="4"/>
        <v>192250000</v>
      </c>
      <c r="N110" s="4">
        <v>166</v>
      </c>
      <c r="O110" s="4">
        <v>166</v>
      </c>
      <c r="P110" s="4" t="s">
        <v>123</v>
      </c>
      <c r="Q110" s="4">
        <v>1</v>
      </c>
      <c r="R110" s="18" t="s">
        <v>117</v>
      </c>
      <c r="S110" s="8" t="s">
        <v>117</v>
      </c>
      <c r="T110" s="8" t="s">
        <v>117</v>
      </c>
      <c r="U110" s="8" t="s">
        <v>115</v>
      </c>
      <c r="V110" s="8" t="s">
        <v>115</v>
      </c>
      <c r="W110" s="8" t="s">
        <v>115</v>
      </c>
    </row>
    <row r="111" spans="1:23" x14ac:dyDescent="0.35">
      <c r="A111" s="5" t="s">
        <v>98</v>
      </c>
      <c r="B111" s="4">
        <v>12</v>
      </c>
      <c r="C111" s="15">
        <v>0</v>
      </c>
      <c r="D111" s="17">
        <v>0</v>
      </c>
      <c r="E111" s="6"/>
      <c r="F111" s="6"/>
      <c r="G111" s="10">
        <v>2</v>
      </c>
      <c r="H111" s="7"/>
      <c r="J111" s="2">
        <f t="shared" si="5"/>
        <v>0</v>
      </c>
      <c r="M111" s="12">
        <f t="shared" si="4"/>
        <v>0</v>
      </c>
      <c r="R111" s="18" t="s">
        <v>128</v>
      </c>
      <c r="S111" s="8"/>
      <c r="T111" s="8"/>
      <c r="U111" s="8"/>
      <c r="V111" s="8"/>
      <c r="W111" s="8"/>
    </row>
    <row r="112" spans="1:23" x14ac:dyDescent="0.35">
      <c r="A112" s="5" t="s">
        <v>13</v>
      </c>
      <c r="B112" s="4">
        <v>13</v>
      </c>
      <c r="C112" s="15">
        <v>0</v>
      </c>
      <c r="D112" s="17">
        <v>0</v>
      </c>
      <c r="E112" s="6">
        <v>0</v>
      </c>
      <c r="F112" s="6">
        <v>0.05</v>
      </c>
      <c r="G112" s="10">
        <v>2</v>
      </c>
      <c r="H112" s="7">
        <v>2004</v>
      </c>
      <c r="I112" s="13">
        <v>21.5</v>
      </c>
      <c r="J112" s="2">
        <f t="shared" si="5"/>
        <v>21500000</v>
      </c>
      <c r="K112" s="4">
        <v>8.1</v>
      </c>
      <c r="L112" s="4">
        <v>408.35</v>
      </c>
      <c r="M112" s="12">
        <f t="shared" si="4"/>
        <v>408350000</v>
      </c>
      <c r="N112" s="4">
        <v>440.4</v>
      </c>
      <c r="O112" s="4">
        <v>440.4</v>
      </c>
      <c r="P112" s="4" t="s">
        <v>123</v>
      </c>
      <c r="Q112" s="4">
        <v>1</v>
      </c>
      <c r="R112" s="18" t="s">
        <v>111</v>
      </c>
      <c r="S112" s="8" t="s">
        <v>117</v>
      </c>
      <c r="T112" s="8" t="s">
        <v>115</v>
      </c>
      <c r="U112" s="8" t="s">
        <v>115</v>
      </c>
      <c r="V112" s="8" t="s">
        <v>111</v>
      </c>
      <c r="W112" s="8" t="s">
        <v>115</v>
      </c>
    </row>
    <row r="113" spans="1:23" x14ac:dyDescent="0.35">
      <c r="A113" s="5" t="s">
        <v>14</v>
      </c>
      <c r="B113" s="4">
        <v>14</v>
      </c>
      <c r="C113" s="15">
        <v>0</v>
      </c>
      <c r="D113" s="17">
        <v>0</v>
      </c>
      <c r="E113" s="6">
        <v>0</v>
      </c>
      <c r="F113" s="6">
        <v>0.05</v>
      </c>
      <c r="G113" s="10">
        <v>2</v>
      </c>
      <c r="H113" s="7">
        <v>2004</v>
      </c>
      <c r="I113" s="13">
        <v>19.399999999999999</v>
      </c>
      <c r="J113" s="2">
        <f t="shared" si="5"/>
        <v>19400000</v>
      </c>
      <c r="K113" s="4">
        <v>7.9</v>
      </c>
      <c r="L113" s="4">
        <v>643.25</v>
      </c>
      <c r="M113" s="12">
        <f t="shared" si="4"/>
        <v>643250000</v>
      </c>
      <c r="N113" s="4">
        <v>619.9</v>
      </c>
      <c r="O113" s="4">
        <v>0</v>
      </c>
      <c r="P113" s="4" t="s">
        <v>123</v>
      </c>
      <c r="Q113" s="4">
        <v>1</v>
      </c>
      <c r="R113" s="18" t="s">
        <v>113</v>
      </c>
      <c r="S113" s="8" t="s">
        <v>117</v>
      </c>
      <c r="T113" s="8" t="s">
        <v>115</v>
      </c>
      <c r="U113" s="8" t="s">
        <v>115</v>
      </c>
      <c r="V113" s="8" t="s">
        <v>115</v>
      </c>
      <c r="W113" s="8" t="s">
        <v>113</v>
      </c>
    </row>
    <row r="114" spans="1:23" x14ac:dyDescent="0.35">
      <c r="A114" s="5" t="s">
        <v>15</v>
      </c>
      <c r="B114" s="4">
        <v>15</v>
      </c>
      <c r="C114" s="15">
        <v>0</v>
      </c>
      <c r="D114" s="17">
        <v>0</v>
      </c>
      <c r="E114" s="6">
        <v>0</v>
      </c>
      <c r="F114" s="6">
        <v>0.05</v>
      </c>
      <c r="G114" s="10">
        <v>2</v>
      </c>
      <c r="H114" s="7">
        <v>2004</v>
      </c>
      <c r="I114" s="13">
        <v>18.8</v>
      </c>
      <c r="J114" s="2">
        <f t="shared" si="5"/>
        <v>18800000</v>
      </c>
      <c r="K114" s="4">
        <v>6.5</v>
      </c>
      <c r="L114" s="4">
        <v>904.45</v>
      </c>
      <c r="M114" s="12">
        <f t="shared" si="4"/>
        <v>904450000</v>
      </c>
      <c r="N114" s="4">
        <v>1296.7</v>
      </c>
      <c r="O114" s="4">
        <v>0</v>
      </c>
      <c r="P114" s="4" t="s">
        <v>123</v>
      </c>
      <c r="Q114" s="4">
        <v>1</v>
      </c>
      <c r="R114" s="18" t="s">
        <v>112</v>
      </c>
      <c r="S114" s="8" t="s">
        <v>117</v>
      </c>
      <c r="T114" s="8" t="s">
        <v>115</v>
      </c>
      <c r="U114" s="8" t="s">
        <v>115</v>
      </c>
      <c r="V114" s="8" t="s">
        <v>115</v>
      </c>
      <c r="W114" s="8" t="s">
        <v>112</v>
      </c>
    </row>
    <row r="115" spans="1:23" x14ac:dyDescent="0.35">
      <c r="A115" s="5" t="s">
        <v>16</v>
      </c>
      <c r="B115" s="4">
        <v>16</v>
      </c>
      <c r="C115" s="15">
        <v>0</v>
      </c>
      <c r="D115" s="17">
        <v>0</v>
      </c>
      <c r="E115" s="6">
        <v>0</v>
      </c>
      <c r="F115" s="6">
        <v>0.05</v>
      </c>
      <c r="G115" s="10">
        <v>2</v>
      </c>
      <c r="H115" s="7">
        <v>2004</v>
      </c>
      <c r="I115" s="13">
        <v>16.5</v>
      </c>
      <c r="J115" s="2">
        <f t="shared" si="5"/>
        <v>16500000</v>
      </c>
      <c r="K115" s="4">
        <v>6.5</v>
      </c>
      <c r="L115" s="4">
        <v>333.77499999999998</v>
      </c>
      <c r="M115" s="12">
        <f t="shared" si="4"/>
        <v>333775000</v>
      </c>
      <c r="N115" s="4">
        <v>326.89999999999998</v>
      </c>
      <c r="O115" s="4">
        <v>318.29999999999995</v>
      </c>
      <c r="P115" s="4" t="s">
        <v>123</v>
      </c>
      <c r="Q115" s="4">
        <v>1</v>
      </c>
      <c r="R115" s="18" t="s">
        <v>113</v>
      </c>
      <c r="S115" s="8" t="s">
        <v>112</v>
      </c>
      <c r="T115" s="8" t="s">
        <v>114</v>
      </c>
      <c r="U115" s="8" t="s">
        <v>114</v>
      </c>
      <c r="V115" s="8" t="s">
        <v>114</v>
      </c>
      <c r="W115" s="8" t="s">
        <v>114</v>
      </c>
    </row>
    <row r="116" spans="1:23" x14ac:dyDescent="0.35">
      <c r="A116" s="5" t="s">
        <v>17</v>
      </c>
      <c r="B116" s="4">
        <v>17</v>
      </c>
      <c r="C116" s="15">
        <v>0</v>
      </c>
      <c r="D116" s="17">
        <v>0</v>
      </c>
      <c r="E116" s="6">
        <v>0</v>
      </c>
      <c r="F116" s="6">
        <v>0.05</v>
      </c>
      <c r="G116" s="10">
        <v>2</v>
      </c>
      <c r="H116" s="7">
        <v>2004</v>
      </c>
      <c r="I116" s="13">
        <v>21.3</v>
      </c>
      <c r="J116" s="2">
        <f t="shared" si="5"/>
        <v>21300000</v>
      </c>
      <c r="K116" s="4">
        <v>7.7</v>
      </c>
      <c r="L116" s="4">
        <v>693.32500000000005</v>
      </c>
      <c r="M116" s="12">
        <f t="shared" si="4"/>
        <v>693325000</v>
      </c>
      <c r="N116" s="4">
        <v>518.4</v>
      </c>
      <c r="O116" s="4">
        <v>518.4</v>
      </c>
      <c r="P116" s="4" t="s">
        <v>123</v>
      </c>
      <c r="Q116" s="4">
        <v>1</v>
      </c>
      <c r="R116" s="18" t="s">
        <v>117</v>
      </c>
      <c r="S116" s="8" t="s">
        <v>117</v>
      </c>
      <c r="T116" s="8" t="s">
        <v>115</v>
      </c>
      <c r="U116" s="8" t="s">
        <v>115</v>
      </c>
      <c r="V116" s="8" t="s">
        <v>117</v>
      </c>
      <c r="W116" s="8" t="s">
        <v>115</v>
      </c>
    </row>
    <row r="117" spans="1:23" x14ac:dyDescent="0.35">
      <c r="A117" s="5" t="s">
        <v>18</v>
      </c>
      <c r="B117" s="4">
        <v>18</v>
      </c>
      <c r="C117" s="15">
        <v>0</v>
      </c>
      <c r="D117" s="17">
        <v>0</v>
      </c>
      <c r="E117" s="6">
        <v>0</v>
      </c>
      <c r="F117" s="6">
        <v>0.05</v>
      </c>
      <c r="G117" s="10">
        <v>2</v>
      </c>
      <c r="H117" s="7">
        <v>2004</v>
      </c>
      <c r="I117" s="13">
        <v>19.5</v>
      </c>
      <c r="J117" s="2">
        <f t="shared" si="5"/>
        <v>19500000</v>
      </c>
      <c r="K117" s="4">
        <v>7.7</v>
      </c>
      <c r="L117" s="4">
        <v>190.32499999999999</v>
      </c>
      <c r="M117" s="12">
        <f t="shared" si="4"/>
        <v>190325000</v>
      </c>
      <c r="N117" s="4">
        <v>80</v>
      </c>
      <c r="O117" s="4">
        <v>80</v>
      </c>
      <c r="P117" s="4" t="s">
        <v>123</v>
      </c>
      <c r="Q117" s="4">
        <v>1</v>
      </c>
      <c r="R117" s="18" t="s">
        <v>114</v>
      </c>
      <c r="S117" s="8" t="s">
        <v>114</v>
      </c>
      <c r="T117" s="8" t="s">
        <v>117</v>
      </c>
      <c r="U117" s="8" t="s">
        <v>117</v>
      </c>
      <c r="V117" s="8" t="s">
        <v>115</v>
      </c>
      <c r="W117" s="8" t="s">
        <v>115</v>
      </c>
    </row>
    <row r="118" spans="1:23" x14ac:dyDescent="0.35">
      <c r="A118" s="5" t="s">
        <v>19</v>
      </c>
      <c r="B118" s="4">
        <v>19</v>
      </c>
      <c r="C118" s="15">
        <v>0</v>
      </c>
      <c r="D118" s="17">
        <v>0</v>
      </c>
      <c r="E118" s="6">
        <v>0</v>
      </c>
      <c r="F118" s="6">
        <v>0.05</v>
      </c>
      <c r="G118" s="10">
        <v>2</v>
      </c>
      <c r="H118" s="7">
        <v>2004</v>
      </c>
      <c r="I118" s="13">
        <v>20.6</v>
      </c>
      <c r="J118" s="2">
        <f t="shared" si="5"/>
        <v>20600000</v>
      </c>
      <c r="K118" s="4">
        <v>8</v>
      </c>
      <c r="L118" s="4">
        <v>439.4</v>
      </c>
      <c r="M118" s="12">
        <f t="shared" si="4"/>
        <v>439400000</v>
      </c>
      <c r="N118" s="4">
        <v>285.5</v>
      </c>
      <c r="O118" s="4">
        <v>285.5</v>
      </c>
      <c r="P118" s="4" t="s">
        <v>123</v>
      </c>
      <c r="Q118" s="4">
        <v>1</v>
      </c>
      <c r="R118" s="18" t="s">
        <v>114</v>
      </c>
      <c r="S118" s="8" t="s">
        <v>114</v>
      </c>
      <c r="T118" s="8" t="s">
        <v>117</v>
      </c>
      <c r="U118" s="8" t="s">
        <v>115</v>
      </c>
      <c r="V118" s="8" t="s">
        <v>117</v>
      </c>
      <c r="W118" s="8" t="s">
        <v>115</v>
      </c>
    </row>
    <row r="119" spans="1:23" x14ac:dyDescent="0.35">
      <c r="A119" s="5" t="s">
        <v>20</v>
      </c>
      <c r="B119" s="4">
        <v>20</v>
      </c>
      <c r="C119" s="15">
        <v>0</v>
      </c>
      <c r="D119" s="17">
        <v>0</v>
      </c>
      <c r="E119" s="6">
        <v>0</v>
      </c>
      <c r="F119" s="6">
        <v>0.05</v>
      </c>
      <c r="G119" s="10">
        <v>2</v>
      </c>
      <c r="H119" s="7">
        <v>2004</v>
      </c>
      <c r="I119" s="13">
        <v>21.2</v>
      </c>
      <c r="J119" s="2">
        <f t="shared" si="5"/>
        <v>21200000</v>
      </c>
      <c r="K119" s="4">
        <v>8.1</v>
      </c>
      <c r="L119" s="4">
        <v>185.5</v>
      </c>
      <c r="M119" s="12">
        <f t="shared" si="4"/>
        <v>185500000</v>
      </c>
      <c r="N119" s="4">
        <v>196</v>
      </c>
      <c r="O119" s="4">
        <v>196</v>
      </c>
      <c r="P119" s="4" t="s">
        <v>123</v>
      </c>
      <c r="Q119" s="4">
        <v>1</v>
      </c>
      <c r="R119" s="18" t="s">
        <v>117</v>
      </c>
      <c r="S119" s="8" t="s">
        <v>117</v>
      </c>
      <c r="T119" s="8" t="s">
        <v>115</v>
      </c>
      <c r="U119" s="8" t="s">
        <v>117</v>
      </c>
      <c r="V119" s="8" t="s">
        <v>115</v>
      </c>
      <c r="W119" s="8" t="s">
        <v>115</v>
      </c>
    </row>
    <row r="120" spans="1:23" x14ac:dyDescent="0.35">
      <c r="A120" s="5" t="s">
        <v>21</v>
      </c>
      <c r="B120" s="4">
        <v>21</v>
      </c>
      <c r="C120" s="15">
        <v>0</v>
      </c>
      <c r="D120" s="17">
        <v>0</v>
      </c>
      <c r="E120" s="6">
        <v>0</v>
      </c>
      <c r="F120" s="6">
        <v>0.05</v>
      </c>
      <c r="G120" s="10">
        <v>2</v>
      </c>
      <c r="H120" s="7">
        <v>2004</v>
      </c>
      <c r="I120" s="13">
        <v>19.899999999999999</v>
      </c>
      <c r="J120" s="2">
        <f t="shared" si="5"/>
        <v>19900000</v>
      </c>
      <c r="K120" s="4">
        <v>7.9</v>
      </c>
      <c r="L120" s="4">
        <v>568.875</v>
      </c>
      <c r="M120" s="12">
        <f t="shared" si="4"/>
        <v>568875000</v>
      </c>
      <c r="N120" s="4">
        <v>590</v>
      </c>
      <c r="O120" s="4">
        <v>590</v>
      </c>
      <c r="P120" s="4" t="s">
        <v>123</v>
      </c>
      <c r="Q120" s="4">
        <v>1</v>
      </c>
      <c r="R120" s="18" t="s">
        <v>112</v>
      </c>
      <c r="S120" s="8" t="s">
        <v>116</v>
      </c>
      <c r="T120" s="8" t="s">
        <v>114</v>
      </c>
      <c r="U120" s="8" t="s">
        <v>117</v>
      </c>
      <c r="V120" s="8" t="s">
        <v>117</v>
      </c>
      <c r="W120" s="8" t="s">
        <v>115</v>
      </c>
    </row>
    <row r="121" spans="1:23" x14ac:dyDescent="0.35">
      <c r="A121" s="5" t="s">
        <v>22</v>
      </c>
      <c r="B121" s="4">
        <v>22</v>
      </c>
      <c r="C121" s="15">
        <v>0</v>
      </c>
      <c r="D121" s="17">
        <v>0</v>
      </c>
      <c r="E121" s="6">
        <v>0</v>
      </c>
      <c r="F121" s="6">
        <v>0.05</v>
      </c>
      <c r="G121" s="10">
        <v>2</v>
      </c>
      <c r="H121" s="7">
        <v>2004</v>
      </c>
      <c r="I121" s="13">
        <v>21.3</v>
      </c>
      <c r="J121" s="2">
        <f t="shared" si="5"/>
        <v>21300000</v>
      </c>
      <c r="K121" s="4">
        <v>7.4</v>
      </c>
      <c r="L121" s="4">
        <v>758.76499999999999</v>
      </c>
      <c r="M121" s="12">
        <f t="shared" si="4"/>
        <v>758765000</v>
      </c>
      <c r="N121" s="4">
        <v>351.6</v>
      </c>
      <c r="O121" s="4">
        <v>256.3</v>
      </c>
      <c r="P121" s="4" t="s">
        <v>123</v>
      </c>
      <c r="Q121" s="4">
        <v>1</v>
      </c>
      <c r="R121" s="18" t="s">
        <v>111</v>
      </c>
      <c r="S121" s="8" t="s">
        <v>116</v>
      </c>
      <c r="T121" s="8" t="s">
        <v>115</v>
      </c>
      <c r="U121" s="8" t="s">
        <v>118</v>
      </c>
      <c r="V121" s="8" t="s">
        <v>119</v>
      </c>
      <c r="W121" s="8" t="s">
        <v>119</v>
      </c>
    </row>
    <row r="122" spans="1:23" x14ac:dyDescent="0.35">
      <c r="A122" s="5" t="s">
        <v>23</v>
      </c>
      <c r="B122" s="4">
        <v>23</v>
      </c>
      <c r="C122" s="15">
        <v>0</v>
      </c>
      <c r="D122" s="17">
        <v>0</v>
      </c>
      <c r="E122" s="6">
        <v>0</v>
      </c>
      <c r="F122" s="6">
        <v>0.05</v>
      </c>
      <c r="G122" s="10">
        <v>2</v>
      </c>
      <c r="H122" s="7">
        <v>2004</v>
      </c>
      <c r="I122" s="13">
        <v>19.8</v>
      </c>
      <c r="J122" s="2">
        <f t="shared" si="5"/>
        <v>19800000</v>
      </c>
      <c r="K122" s="4">
        <v>8.5</v>
      </c>
      <c r="L122" s="4">
        <v>395.35</v>
      </c>
      <c r="M122" s="12">
        <f t="shared" si="4"/>
        <v>395350000</v>
      </c>
      <c r="N122" s="4">
        <v>303</v>
      </c>
      <c r="O122" s="4">
        <v>303</v>
      </c>
      <c r="P122" s="4" t="s">
        <v>123</v>
      </c>
      <c r="Q122" s="4">
        <v>1</v>
      </c>
      <c r="R122" s="18" t="s">
        <v>112</v>
      </c>
      <c r="S122" s="8" t="s">
        <v>114</v>
      </c>
      <c r="T122" s="8" t="s">
        <v>114</v>
      </c>
      <c r="U122" s="8" t="s">
        <v>115</v>
      </c>
      <c r="V122" s="8" t="s">
        <v>114</v>
      </c>
      <c r="W122" s="8" t="s">
        <v>115</v>
      </c>
    </row>
    <row r="123" spans="1:23" x14ac:dyDescent="0.35">
      <c r="A123" s="5" t="s">
        <v>24</v>
      </c>
      <c r="B123" s="4">
        <v>24</v>
      </c>
      <c r="C123" s="15">
        <v>0</v>
      </c>
      <c r="D123" s="17">
        <v>0</v>
      </c>
      <c r="E123" s="6">
        <v>0</v>
      </c>
      <c r="F123" s="6">
        <v>0.05</v>
      </c>
      <c r="G123" s="10">
        <v>2</v>
      </c>
      <c r="H123" s="7">
        <v>2004</v>
      </c>
      <c r="I123" s="13">
        <v>22.3</v>
      </c>
      <c r="J123" s="2">
        <f t="shared" si="5"/>
        <v>22300000</v>
      </c>
      <c r="K123" s="4">
        <v>9.1</v>
      </c>
      <c r="L123" s="4">
        <v>537.35</v>
      </c>
      <c r="M123" s="12">
        <f t="shared" si="4"/>
        <v>537350000</v>
      </c>
      <c r="N123" s="4">
        <v>253.8</v>
      </c>
      <c r="O123" s="4">
        <v>220.20000000000002</v>
      </c>
      <c r="P123" s="4" t="s">
        <v>123</v>
      </c>
      <c r="Q123" s="4">
        <v>1</v>
      </c>
      <c r="R123" s="18" t="s">
        <v>120</v>
      </c>
      <c r="S123" s="8" t="s">
        <v>112</v>
      </c>
      <c r="T123" s="8" t="s">
        <v>111</v>
      </c>
      <c r="U123" s="8" t="s">
        <v>121</v>
      </c>
      <c r="V123" s="8" t="s">
        <v>122</v>
      </c>
      <c r="W123" s="8" t="s">
        <v>121</v>
      </c>
    </row>
    <row r="124" spans="1:23" x14ac:dyDescent="0.35">
      <c r="A124" s="5" t="s">
        <v>86</v>
      </c>
      <c r="B124" s="4">
        <v>25</v>
      </c>
      <c r="C124" s="15">
        <v>0</v>
      </c>
      <c r="D124" s="17">
        <v>0</v>
      </c>
      <c r="E124" s="6"/>
      <c r="F124" s="6"/>
      <c r="G124" s="10">
        <v>2</v>
      </c>
      <c r="H124" s="7"/>
      <c r="J124" s="2">
        <f t="shared" si="5"/>
        <v>0</v>
      </c>
      <c r="M124" s="12">
        <f t="shared" si="4"/>
        <v>0</v>
      </c>
      <c r="R124" s="18" t="s">
        <v>127</v>
      </c>
      <c r="S124" s="8"/>
      <c r="T124" s="8"/>
      <c r="U124" s="8"/>
      <c r="V124" s="8"/>
      <c r="W124" s="8"/>
    </row>
    <row r="125" spans="1:23" x14ac:dyDescent="0.35">
      <c r="A125" s="5" t="s">
        <v>25</v>
      </c>
      <c r="B125" s="4">
        <v>26</v>
      </c>
      <c r="C125" s="15">
        <v>0</v>
      </c>
      <c r="D125" s="17">
        <v>0</v>
      </c>
      <c r="E125" s="6">
        <v>0</v>
      </c>
      <c r="F125" s="6">
        <v>0.05</v>
      </c>
      <c r="G125" s="10">
        <v>2</v>
      </c>
      <c r="H125" s="7">
        <v>2004</v>
      </c>
      <c r="I125" s="13">
        <v>18.7</v>
      </c>
      <c r="J125" s="2">
        <f t="shared" si="5"/>
        <v>18700000</v>
      </c>
      <c r="K125" s="4">
        <v>7.4</v>
      </c>
      <c r="L125" s="4">
        <v>731.15</v>
      </c>
      <c r="M125" s="12">
        <f t="shared" si="4"/>
        <v>731150000</v>
      </c>
      <c r="N125" s="4">
        <v>540.79999999999995</v>
      </c>
      <c r="O125" s="4">
        <v>394.79999999999995</v>
      </c>
      <c r="P125" s="4" t="s">
        <v>123</v>
      </c>
      <c r="Q125" s="4">
        <v>1</v>
      </c>
      <c r="R125" s="18" t="s">
        <v>112</v>
      </c>
      <c r="S125" s="8" t="s">
        <v>112</v>
      </c>
      <c r="T125" s="8" t="s">
        <v>117</v>
      </c>
      <c r="U125" s="8" t="s">
        <v>117</v>
      </c>
      <c r="V125" s="8" t="s">
        <v>117</v>
      </c>
      <c r="W125" s="8" t="s">
        <v>117</v>
      </c>
    </row>
    <row r="126" spans="1:23" x14ac:dyDescent="0.35">
      <c r="A126" s="5" t="s">
        <v>26</v>
      </c>
      <c r="B126" s="4">
        <v>27</v>
      </c>
      <c r="C126" s="15">
        <v>0</v>
      </c>
      <c r="D126" s="17">
        <v>0</v>
      </c>
      <c r="E126" s="6">
        <v>0</v>
      </c>
      <c r="F126" s="6">
        <v>0.05</v>
      </c>
      <c r="G126" s="10">
        <v>2</v>
      </c>
      <c r="H126" s="7">
        <v>2004</v>
      </c>
      <c r="I126" s="13">
        <v>17.5</v>
      </c>
      <c r="J126" s="2">
        <f t="shared" si="5"/>
        <v>17500000</v>
      </c>
      <c r="K126" s="4">
        <v>8.5</v>
      </c>
      <c r="L126" s="4">
        <v>473.22500000000002</v>
      </c>
      <c r="M126" s="12">
        <f t="shared" si="4"/>
        <v>473225000</v>
      </c>
      <c r="N126" s="4">
        <v>556.4</v>
      </c>
      <c r="O126" s="4">
        <v>556.4</v>
      </c>
      <c r="P126" s="4" t="s">
        <v>123</v>
      </c>
      <c r="Q126" s="4">
        <v>1</v>
      </c>
      <c r="R126" s="18" t="s">
        <v>114</v>
      </c>
      <c r="S126" s="8" t="s">
        <v>117</v>
      </c>
      <c r="T126" s="8" t="s">
        <v>114</v>
      </c>
      <c r="U126" s="8" t="s">
        <v>115</v>
      </c>
      <c r="V126" s="8" t="s">
        <v>115</v>
      </c>
      <c r="W126" s="8" t="s">
        <v>115</v>
      </c>
    </row>
    <row r="127" spans="1:23" x14ac:dyDescent="0.35">
      <c r="A127" s="5" t="s">
        <v>27</v>
      </c>
      <c r="B127" s="4">
        <v>28</v>
      </c>
      <c r="C127" s="15">
        <v>0</v>
      </c>
      <c r="D127" s="17">
        <v>0</v>
      </c>
      <c r="E127" s="6">
        <v>0</v>
      </c>
      <c r="F127" s="6">
        <v>0.05</v>
      </c>
      <c r="G127" s="10">
        <v>2</v>
      </c>
      <c r="H127" s="7">
        <v>2004</v>
      </c>
      <c r="I127" s="13">
        <v>22.3</v>
      </c>
      <c r="J127" s="2">
        <f t="shared" si="5"/>
        <v>22300000</v>
      </c>
      <c r="K127" s="4">
        <v>7.7</v>
      </c>
      <c r="L127" s="4">
        <v>547.65</v>
      </c>
      <c r="M127" s="12">
        <f t="shared" si="4"/>
        <v>547650000</v>
      </c>
      <c r="N127" s="4">
        <v>514.79999999999995</v>
      </c>
      <c r="O127" s="4">
        <v>509.69999999999993</v>
      </c>
      <c r="P127" s="4" t="s">
        <v>123</v>
      </c>
      <c r="Q127" s="4">
        <v>1</v>
      </c>
      <c r="R127" s="18" t="s">
        <v>120</v>
      </c>
      <c r="S127" s="8" t="s">
        <v>112</v>
      </c>
      <c r="T127" s="8" t="s">
        <v>111</v>
      </c>
      <c r="U127" s="8" t="s">
        <v>121</v>
      </c>
      <c r="V127" s="8" t="s">
        <v>122</v>
      </c>
      <c r="W127" s="8" t="s">
        <v>121</v>
      </c>
    </row>
    <row r="128" spans="1:23" x14ac:dyDescent="0.35">
      <c r="A128" s="5" t="s">
        <v>28</v>
      </c>
      <c r="B128" s="4">
        <v>29</v>
      </c>
      <c r="C128" s="15">
        <v>0</v>
      </c>
      <c r="D128" s="17">
        <v>0</v>
      </c>
      <c r="E128" s="6">
        <v>0</v>
      </c>
      <c r="F128" s="6">
        <v>0.05</v>
      </c>
      <c r="G128" s="10">
        <v>2</v>
      </c>
      <c r="H128" s="7">
        <v>2004</v>
      </c>
      <c r="I128" s="13">
        <v>17.600000000000001</v>
      </c>
      <c r="J128" s="2">
        <f t="shared" si="5"/>
        <v>17600000</v>
      </c>
      <c r="K128" s="4">
        <v>8.3000000000000007</v>
      </c>
      <c r="L128" s="4">
        <v>235.125</v>
      </c>
      <c r="M128" s="12">
        <f t="shared" si="4"/>
        <v>235125000</v>
      </c>
      <c r="N128" s="4">
        <v>187.7</v>
      </c>
      <c r="O128" s="4">
        <v>187.7</v>
      </c>
      <c r="P128" s="4" t="s">
        <v>123</v>
      </c>
      <c r="Q128" s="4">
        <v>1</v>
      </c>
      <c r="R128" s="18" t="s">
        <v>117</v>
      </c>
      <c r="S128" s="8" t="s">
        <v>117</v>
      </c>
      <c r="T128" s="8" t="s">
        <v>115</v>
      </c>
      <c r="U128" s="8" t="s">
        <v>115</v>
      </c>
      <c r="V128" s="8" t="s">
        <v>117</v>
      </c>
      <c r="W128" s="8" t="s">
        <v>115</v>
      </c>
    </row>
    <row r="129" spans="1:23" x14ac:dyDescent="0.35">
      <c r="A129" s="5" t="s">
        <v>29</v>
      </c>
      <c r="B129" s="4">
        <v>30</v>
      </c>
      <c r="C129" s="15">
        <v>0</v>
      </c>
      <c r="D129" s="17">
        <v>0</v>
      </c>
      <c r="E129" s="6">
        <v>0</v>
      </c>
      <c r="F129" s="6">
        <v>0.05</v>
      </c>
      <c r="G129" s="10">
        <v>2</v>
      </c>
      <c r="H129" s="7">
        <v>2004</v>
      </c>
      <c r="I129" s="13">
        <v>20.8</v>
      </c>
      <c r="J129" s="2">
        <f t="shared" si="5"/>
        <v>20800000</v>
      </c>
      <c r="K129" s="4">
        <v>9.5</v>
      </c>
      <c r="L129" s="4">
        <v>710.52499999999998</v>
      </c>
      <c r="M129" s="12">
        <f t="shared" si="4"/>
        <v>710525000</v>
      </c>
      <c r="N129" s="4">
        <v>927</v>
      </c>
      <c r="O129" s="4">
        <v>927</v>
      </c>
      <c r="P129" s="4" t="s">
        <v>123</v>
      </c>
      <c r="Q129" s="4">
        <v>1</v>
      </c>
      <c r="R129" s="18" t="s">
        <v>117</v>
      </c>
      <c r="S129" s="8" t="s">
        <v>117</v>
      </c>
      <c r="T129" s="8" t="s">
        <v>117</v>
      </c>
      <c r="U129" s="8" t="s">
        <v>115</v>
      </c>
      <c r="V129" s="8" t="s">
        <v>115</v>
      </c>
      <c r="W129" s="8" t="s">
        <v>115</v>
      </c>
    </row>
    <row r="130" spans="1:23" x14ac:dyDescent="0.35">
      <c r="A130" s="5" t="s">
        <v>30</v>
      </c>
      <c r="B130" s="4">
        <v>31</v>
      </c>
      <c r="C130" s="15">
        <v>0</v>
      </c>
      <c r="D130" s="17">
        <v>0</v>
      </c>
      <c r="E130" s="6">
        <v>0</v>
      </c>
      <c r="F130" s="6">
        <v>0.05</v>
      </c>
      <c r="G130" s="10">
        <v>2</v>
      </c>
      <c r="H130" s="7">
        <v>2004</v>
      </c>
      <c r="I130" s="13">
        <v>22</v>
      </c>
      <c r="J130" s="2">
        <f t="shared" si="5"/>
        <v>22000000</v>
      </c>
      <c r="K130" s="4">
        <v>11.5</v>
      </c>
      <c r="L130" s="4">
        <v>170.07499999999999</v>
      </c>
      <c r="M130" s="12">
        <f t="shared" si="4"/>
        <v>170075000</v>
      </c>
      <c r="N130" s="4">
        <v>141</v>
      </c>
      <c r="O130" s="4">
        <v>84</v>
      </c>
      <c r="P130" s="4" t="s">
        <v>123</v>
      </c>
      <c r="Q130" s="4">
        <v>1</v>
      </c>
      <c r="R130" s="18" t="s">
        <v>112</v>
      </c>
      <c r="S130" s="8" t="s">
        <v>114</v>
      </c>
      <c r="T130" s="8" t="s">
        <v>115</v>
      </c>
      <c r="U130" s="8" t="s">
        <v>114</v>
      </c>
      <c r="V130" s="8" t="s">
        <v>115</v>
      </c>
      <c r="W130" s="8" t="s">
        <v>114</v>
      </c>
    </row>
    <row r="131" spans="1:23" x14ac:dyDescent="0.35">
      <c r="A131" s="5" t="s">
        <v>99</v>
      </c>
      <c r="B131" s="4">
        <v>32</v>
      </c>
      <c r="C131" s="15">
        <v>0</v>
      </c>
      <c r="D131" s="17">
        <v>0</v>
      </c>
      <c r="E131" s="6"/>
      <c r="F131" s="6"/>
      <c r="G131" s="10">
        <v>2</v>
      </c>
      <c r="H131" s="7"/>
      <c r="J131" s="2">
        <f t="shared" si="5"/>
        <v>0</v>
      </c>
      <c r="M131" s="12">
        <f t="shared" si="4"/>
        <v>0</v>
      </c>
      <c r="O131" s="4">
        <v>82.4</v>
      </c>
      <c r="R131" s="18" t="s">
        <v>128</v>
      </c>
      <c r="S131" s="8"/>
      <c r="T131" s="8"/>
      <c r="U131" s="8"/>
      <c r="V131" s="8"/>
      <c r="W131" s="8"/>
    </row>
    <row r="132" spans="1:23" x14ac:dyDescent="0.35">
      <c r="A132" s="5" t="s">
        <v>31</v>
      </c>
      <c r="B132" s="4">
        <v>33</v>
      </c>
      <c r="C132" s="15">
        <v>0</v>
      </c>
      <c r="D132" s="17">
        <v>0</v>
      </c>
      <c r="E132" s="6">
        <v>0</v>
      </c>
      <c r="F132" s="6">
        <v>0.05</v>
      </c>
      <c r="G132" s="10">
        <v>2</v>
      </c>
      <c r="H132" s="7">
        <v>2004</v>
      </c>
      <c r="I132" s="13">
        <v>22.7</v>
      </c>
      <c r="J132" s="2">
        <f t="shared" si="5"/>
        <v>22700000</v>
      </c>
      <c r="K132" s="4">
        <v>10.7</v>
      </c>
      <c r="L132" s="4">
        <v>104.72499999999999</v>
      </c>
      <c r="M132" s="12">
        <f t="shared" si="4"/>
        <v>104725000</v>
      </c>
      <c r="N132" s="4">
        <v>82.4</v>
      </c>
      <c r="O132" s="4">
        <v>367</v>
      </c>
      <c r="P132" s="4" t="s">
        <v>123</v>
      </c>
      <c r="Q132" s="4">
        <v>1</v>
      </c>
      <c r="R132" s="18" t="s">
        <v>114</v>
      </c>
      <c r="S132" s="8" t="s">
        <v>114</v>
      </c>
      <c r="T132" s="8" t="s">
        <v>115</v>
      </c>
      <c r="U132" s="8" t="s">
        <v>115</v>
      </c>
      <c r="V132" s="8" t="s">
        <v>117</v>
      </c>
      <c r="W132" s="8" t="s">
        <v>117</v>
      </c>
    </row>
    <row r="133" spans="1:23" x14ac:dyDescent="0.35">
      <c r="A133" s="5" t="s">
        <v>32</v>
      </c>
      <c r="B133" s="4">
        <v>34</v>
      </c>
      <c r="C133" s="15">
        <v>0</v>
      </c>
      <c r="D133" s="17">
        <v>0</v>
      </c>
      <c r="E133" s="6">
        <v>0</v>
      </c>
      <c r="F133" s="6">
        <v>0.05</v>
      </c>
      <c r="G133" s="10">
        <v>2</v>
      </c>
      <c r="H133" s="7">
        <v>2004</v>
      </c>
      <c r="I133" s="13">
        <v>23.8</v>
      </c>
      <c r="J133" s="2">
        <f t="shared" si="5"/>
        <v>23800000</v>
      </c>
      <c r="K133" s="4">
        <v>11.4</v>
      </c>
      <c r="L133" s="4">
        <v>262.5</v>
      </c>
      <c r="M133" s="12">
        <f t="shared" ref="M133:M196" si="6">L133*1000000</f>
        <v>262500000</v>
      </c>
      <c r="N133" s="4">
        <v>367</v>
      </c>
      <c r="O133" s="4">
        <v>945</v>
      </c>
      <c r="P133" s="4" t="s">
        <v>123</v>
      </c>
      <c r="Q133" s="4">
        <v>1</v>
      </c>
      <c r="R133" s="18" t="s">
        <v>112</v>
      </c>
      <c r="S133" s="8" t="s">
        <v>117</v>
      </c>
      <c r="T133" s="8" t="s">
        <v>115</v>
      </c>
      <c r="U133" s="8" t="s">
        <v>112</v>
      </c>
      <c r="V133" s="8" t="s">
        <v>115</v>
      </c>
      <c r="W133" s="8" t="s">
        <v>115</v>
      </c>
    </row>
    <row r="134" spans="1:23" x14ac:dyDescent="0.35">
      <c r="A134" s="5" t="s">
        <v>33</v>
      </c>
      <c r="B134" s="4">
        <v>35</v>
      </c>
      <c r="C134" s="15">
        <v>0</v>
      </c>
      <c r="D134" s="17">
        <v>0</v>
      </c>
      <c r="E134" s="6">
        <v>0</v>
      </c>
      <c r="F134" s="6">
        <v>0.05</v>
      </c>
      <c r="G134" s="10">
        <v>2</v>
      </c>
      <c r="H134" s="7">
        <v>2004</v>
      </c>
      <c r="I134" s="13">
        <v>24.1</v>
      </c>
      <c r="J134" s="2">
        <f t="shared" ref="J134:J197" si="7">I134*1000000</f>
        <v>24100000</v>
      </c>
      <c r="K134" s="4">
        <v>11.3</v>
      </c>
      <c r="L134" s="4">
        <v>501.375</v>
      </c>
      <c r="M134" s="12">
        <f t="shared" si="6"/>
        <v>501375000</v>
      </c>
      <c r="N134" s="4">
        <v>945</v>
      </c>
      <c r="O134" s="4">
        <v>877.6</v>
      </c>
      <c r="P134" s="4" t="s">
        <v>123</v>
      </c>
      <c r="Q134" s="4">
        <v>1</v>
      </c>
      <c r="R134" s="18" t="s">
        <v>111</v>
      </c>
      <c r="S134" s="8" t="s">
        <v>114</v>
      </c>
      <c r="T134" s="8" t="s">
        <v>113</v>
      </c>
      <c r="U134" s="8" t="s">
        <v>113</v>
      </c>
      <c r="V134" s="8" t="s">
        <v>115</v>
      </c>
      <c r="W134" s="8" t="s">
        <v>115</v>
      </c>
    </row>
    <row r="135" spans="1:23" x14ac:dyDescent="0.35">
      <c r="A135" s="5" t="s">
        <v>88</v>
      </c>
      <c r="B135" s="4">
        <v>36</v>
      </c>
      <c r="C135" s="15">
        <v>0</v>
      </c>
      <c r="D135" s="17">
        <v>0</v>
      </c>
      <c r="E135" s="6"/>
      <c r="F135" s="6"/>
      <c r="G135" s="10">
        <v>2</v>
      </c>
      <c r="H135" s="7"/>
      <c r="J135" s="2">
        <f t="shared" si="7"/>
        <v>0</v>
      </c>
      <c r="M135" s="12">
        <f t="shared" si="6"/>
        <v>0</v>
      </c>
      <c r="O135" s="4">
        <v>64.400000000000006</v>
      </c>
      <c r="R135" s="18" t="s">
        <v>129</v>
      </c>
      <c r="S135" s="8"/>
      <c r="T135" s="8"/>
      <c r="U135" s="8"/>
      <c r="V135" s="8"/>
      <c r="W135" s="8"/>
    </row>
    <row r="136" spans="1:23" x14ac:dyDescent="0.35">
      <c r="A136" s="5" t="s">
        <v>34</v>
      </c>
      <c r="B136" s="4">
        <v>37</v>
      </c>
      <c r="C136" s="15">
        <v>0</v>
      </c>
      <c r="D136" s="17">
        <v>0</v>
      </c>
      <c r="E136" s="6">
        <v>0</v>
      </c>
      <c r="F136" s="6">
        <v>0.05</v>
      </c>
      <c r="G136" s="10">
        <v>2</v>
      </c>
      <c r="H136" s="7">
        <v>2004</v>
      </c>
      <c r="I136" s="13">
        <v>21.5</v>
      </c>
      <c r="J136" s="2">
        <f t="shared" si="7"/>
        <v>21500000</v>
      </c>
      <c r="K136" s="4">
        <v>8.6999999999999993</v>
      </c>
      <c r="L136" s="4">
        <v>722.375</v>
      </c>
      <c r="M136" s="12">
        <f t="shared" si="6"/>
        <v>722375000</v>
      </c>
      <c r="N136" s="4">
        <v>877.6</v>
      </c>
      <c r="O136" s="4">
        <v>696.4</v>
      </c>
      <c r="P136" s="4" t="s">
        <v>123</v>
      </c>
      <c r="Q136" s="4">
        <v>1</v>
      </c>
      <c r="R136" s="18" t="s">
        <v>113</v>
      </c>
      <c r="S136" s="8" t="s">
        <v>117</v>
      </c>
      <c r="T136" s="8" t="s">
        <v>115</v>
      </c>
      <c r="U136" s="8" t="s">
        <v>115</v>
      </c>
      <c r="V136" s="8" t="s">
        <v>113</v>
      </c>
      <c r="W136" s="8" t="s">
        <v>115</v>
      </c>
    </row>
    <row r="137" spans="1:23" x14ac:dyDescent="0.35">
      <c r="A137" s="5" t="s">
        <v>35</v>
      </c>
      <c r="B137" s="4">
        <v>38</v>
      </c>
      <c r="C137" s="15">
        <v>0</v>
      </c>
      <c r="D137" s="17">
        <v>0</v>
      </c>
      <c r="E137" s="6">
        <v>0</v>
      </c>
      <c r="F137" s="6">
        <v>0.05</v>
      </c>
      <c r="G137" s="10">
        <v>2</v>
      </c>
      <c r="H137" s="7">
        <v>2004</v>
      </c>
      <c r="I137" s="13">
        <v>19.600000000000001</v>
      </c>
      <c r="J137" s="2">
        <f t="shared" si="7"/>
        <v>19600000</v>
      </c>
      <c r="K137" s="4">
        <v>12</v>
      </c>
      <c r="L137" s="4">
        <v>122.45</v>
      </c>
      <c r="M137" s="12">
        <f t="shared" si="6"/>
        <v>122450000</v>
      </c>
      <c r="N137" s="4">
        <v>64.400000000000006</v>
      </c>
      <c r="O137" s="4">
        <v>0</v>
      </c>
      <c r="P137" s="4" t="s">
        <v>123</v>
      </c>
      <c r="Q137" s="4">
        <v>1</v>
      </c>
      <c r="R137" s="18" t="s">
        <v>117</v>
      </c>
      <c r="S137" s="8" t="s">
        <v>117</v>
      </c>
      <c r="T137" s="8" t="s">
        <v>115</v>
      </c>
      <c r="U137" s="8" t="s">
        <v>117</v>
      </c>
      <c r="V137" s="8" t="s">
        <v>115</v>
      </c>
      <c r="W137" s="8" t="s">
        <v>115</v>
      </c>
    </row>
    <row r="138" spans="1:23" x14ac:dyDescent="0.35">
      <c r="A138" s="5" t="s">
        <v>36</v>
      </c>
      <c r="B138" s="4">
        <v>39</v>
      </c>
      <c r="C138" s="15">
        <v>0</v>
      </c>
      <c r="D138" s="17">
        <v>0</v>
      </c>
      <c r="E138" s="6">
        <v>0</v>
      </c>
      <c r="F138" s="6">
        <v>0.05</v>
      </c>
      <c r="G138" s="10">
        <v>2</v>
      </c>
      <c r="H138" s="7">
        <v>2004</v>
      </c>
      <c r="I138" s="13">
        <v>20.6</v>
      </c>
      <c r="J138" s="2">
        <f t="shared" si="7"/>
        <v>20600000</v>
      </c>
      <c r="K138" s="4">
        <v>9.9</v>
      </c>
      <c r="L138" s="4">
        <v>698.65</v>
      </c>
      <c r="M138" s="12">
        <f t="shared" si="6"/>
        <v>698650000</v>
      </c>
      <c r="N138" s="4">
        <v>808.4</v>
      </c>
      <c r="O138" s="4">
        <v>235</v>
      </c>
      <c r="P138" s="4" t="s">
        <v>123</v>
      </c>
      <c r="Q138" s="4">
        <v>1</v>
      </c>
      <c r="R138" s="18" t="s">
        <v>113</v>
      </c>
      <c r="S138" s="8" t="s">
        <v>112</v>
      </c>
      <c r="T138" s="8" t="s">
        <v>114</v>
      </c>
      <c r="U138" s="8" t="s">
        <v>114</v>
      </c>
      <c r="V138" s="8" t="s">
        <v>114</v>
      </c>
      <c r="W138" s="8" t="s">
        <v>114</v>
      </c>
    </row>
    <row r="139" spans="1:23" x14ac:dyDescent="0.35">
      <c r="A139" s="5" t="s">
        <v>37</v>
      </c>
      <c r="B139" s="4">
        <v>40</v>
      </c>
      <c r="C139" s="15">
        <v>0</v>
      </c>
      <c r="D139" s="17">
        <v>0</v>
      </c>
      <c r="E139" s="6">
        <v>0</v>
      </c>
      <c r="F139" s="6">
        <v>0.05</v>
      </c>
      <c r="G139" s="10">
        <v>2</v>
      </c>
      <c r="H139" s="7">
        <v>2004</v>
      </c>
      <c r="I139" s="13">
        <v>22.4</v>
      </c>
      <c r="J139" s="2">
        <f t="shared" si="7"/>
        <v>22400000</v>
      </c>
      <c r="K139" s="4">
        <v>10.4</v>
      </c>
      <c r="L139" s="4">
        <v>754</v>
      </c>
      <c r="M139" s="12">
        <f t="shared" si="6"/>
        <v>754000000</v>
      </c>
      <c r="N139" s="4">
        <v>1255</v>
      </c>
      <c r="O139" s="4">
        <v>104.3</v>
      </c>
      <c r="P139" s="4" t="s">
        <v>123</v>
      </c>
      <c r="Q139" s="4">
        <v>1</v>
      </c>
      <c r="R139" s="18" t="s">
        <v>117</v>
      </c>
      <c r="S139" s="8" t="s">
        <v>117</v>
      </c>
      <c r="T139" s="8" t="s">
        <v>115</v>
      </c>
      <c r="U139" s="8" t="s">
        <v>115</v>
      </c>
      <c r="V139" s="8" t="s">
        <v>115</v>
      </c>
      <c r="W139" s="8" t="s">
        <v>117</v>
      </c>
    </row>
    <row r="140" spans="1:23" x14ac:dyDescent="0.35">
      <c r="A140" s="5" t="s">
        <v>38</v>
      </c>
      <c r="B140" s="4">
        <v>41</v>
      </c>
      <c r="C140" s="15">
        <v>0</v>
      </c>
      <c r="D140" s="17">
        <v>0</v>
      </c>
      <c r="E140" s="6">
        <v>0</v>
      </c>
      <c r="F140" s="6">
        <v>0.05</v>
      </c>
      <c r="G140" s="10">
        <v>2</v>
      </c>
      <c r="H140" s="7">
        <v>2004</v>
      </c>
      <c r="I140" s="13">
        <v>24</v>
      </c>
      <c r="J140" s="2">
        <f t="shared" si="7"/>
        <v>24000000</v>
      </c>
      <c r="K140" s="4">
        <v>11.7</v>
      </c>
      <c r="L140" s="4">
        <v>375.8</v>
      </c>
      <c r="M140" s="12">
        <f t="shared" si="6"/>
        <v>375800000</v>
      </c>
      <c r="N140" s="4">
        <v>235</v>
      </c>
      <c r="O140" s="4">
        <v>287.24</v>
      </c>
      <c r="P140" s="4" t="s">
        <v>123</v>
      </c>
      <c r="Q140" s="4">
        <v>1</v>
      </c>
      <c r="R140" s="18" t="s">
        <v>112</v>
      </c>
      <c r="S140" s="8" t="s">
        <v>116</v>
      </c>
      <c r="T140" s="8" t="s">
        <v>115</v>
      </c>
      <c r="U140" s="8" t="s">
        <v>114</v>
      </c>
      <c r="V140" s="8" t="s">
        <v>117</v>
      </c>
      <c r="W140" s="8" t="s">
        <v>117</v>
      </c>
    </row>
    <row r="141" spans="1:23" x14ac:dyDescent="0.35">
      <c r="A141" s="5" t="s">
        <v>39</v>
      </c>
      <c r="B141" s="4">
        <v>42</v>
      </c>
      <c r="C141" s="15">
        <v>0</v>
      </c>
      <c r="D141" s="17">
        <v>0</v>
      </c>
      <c r="E141" s="6">
        <v>0</v>
      </c>
      <c r="F141" s="6">
        <v>0.05</v>
      </c>
      <c r="G141" s="10">
        <v>2</v>
      </c>
      <c r="H141" s="7">
        <v>2004</v>
      </c>
      <c r="I141" s="13">
        <v>21.3</v>
      </c>
      <c r="J141" s="2">
        <f t="shared" si="7"/>
        <v>21300000</v>
      </c>
      <c r="K141" s="4">
        <v>12.9</v>
      </c>
      <c r="L141" s="4">
        <v>191.5</v>
      </c>
      <c r="M141" s="12">
        <f t="shared" si="6"/>
        <v>191500000</v>
      </c>
      <c r="N141" s="4">
        <v>110.3</v>
      </c>
      <c r="O141" s="4">
        <v>111.9</v>
      </c>
      <c r="P141" s="4" t="s">
        <v>123</v>
      </c>
      <c r="Q141" s="4">
        <v>1</v>
      </c>
      <c r="R141" s="18" t="s">
        <v>113</v>
      </c>
      <c r="S141" s="8" t="s">
        <v>114</v>
      </c>
      <c r="T141" s="8" t="s">
        <v>115</v>
      </c>
      <c r="U141" s="8" t="s">
        <v>112</v>
      </c>
      <c r="V141" s="8" t="s">
        <v>115</v>
      </c>
      <c r="W141" s="8" t="s">
        <v>112</v>
      </c>
    </row>
    <row r="142" spans="1:23" x14ac:dyDescent="0.35">
      <c r="A142" s="5" t="s">
        <v>40</v>
      </c>
      <c r="B142" s="4">
        <v>43</v>
      </c>
      <c r="C142" s="15">
        <v>0</v>
      </c>
      <c r="D142" s="17">
        <v>0</v>
      </c>
      <c r="E142" s="6">
        <v>0</v>
      </c>
      <c r="F142" s="6">
        <v>0.05</v>
      </c>
      <c r="G142" s="10">
        <v>2</v>
      </c>
      <c r="H142" s="7">
        <v>2004</v>
      </c>
      <c r="I142" s="13">
        <v>24.2</v>
      </c>
      <c r="J142" s="2">
        <f t="shared" si="7"/>
        <v>24200000</v>
      </c>
      <c r="K142" s="4">
        <v>12.7</v>
      </c>
      <c r="L142" s="4">
        <v>644.43499999999995</v>
      </c>
      <c r="M142" s="12">
        <f t="shared" si="6"/>
        <v>644435000</v>
      </c>
      <c r="N142" s="4">
        <v>324.14</v>
      </c>
      <c r="O142" s="4">
        <v>93</v>
      </c>
      <c r="P142" s="4" t="s">
        <v>123</v>
      </c>
      <c r="Q142" s="4">
        <v>1</v>
      </c>
      <c r="R142" s="18" t="s">
        <v>111</v>
      </c>
      <c r="S142" s="8" t="s">
        <v>112</v>
      </c>
      <c r="T142" s="8" t="s">
        <v>112</v>
      </c>
      <c r="U142" s="8" t="s">
        <v>112</v>
      </c>
      <c r="V142" s="8" t="s">
        <v>112</v>
      </c>
      <c r="W142" s="8" t="s">
        <v>112</v>
      </c>
    </row>
    <row r="143" spans="1:23" x14ac:dyDescent="0.35">
      <c r="A143" s="5" t="s">
        <v>41</v>
      </c>
      <c r="B143" s="4">
        <v>44</v>
      </c>
      <c r="C143" s="15">
        <v>0</v>
      </c>
      <c r="D143" s="17">
        <v>0</v>
      </c>
      <c r="E143" s="6">
        <v>0</v>
      </c>
      <c r="F143" s="6">
        <v>0.05</v>
      </c>
      <c r="G143" s="10">
        <v>2</v>
      </c>
      <c r="H143" s="7">
        <v>2004</v>
      </c>
      <c r="I143" s="13">
        <v>24.9</v>
      </c>
      <c r="J143" s="2">
        <f t="shared" si="7"/>
        <v>24900000</v>
      </c>
      <c r="K143" s="4">
        <v>12.7</v>
      </c>
      <c r="L143" s="4">
        <v>138.72499999999999</v>
      </c>
      <c r="M143" s="12">
        <f t="shared" si="6"/>
        <v>138725000</v>
      </c>
      <c r="N143" s="4">
        <v>111.9</v>
      </c>
      <c r="O143" s="4">
        <v>77.299999999999955</v>
      </c>
      <c r="P143" s="4" t="s">
        <v>123</v>
      </c>
      <c r="Q143" s="4">
        <v>1</v>
      </c>
      <c r="R143" s="18" t="s">
        <v>114</v>
      </c>
      <c r="S143" s="8" t="s">
        <v>117</v>
      </c>
      <c r="T143" s="8" t="s">
        <v>115</v>
      </c>
      <c r="U143" s="8" t="s">
        <v>114</v>
      </c>
      <c r="V143" s="8" t="s">
        <v>115</v>
      </c>
      <c r="W143" s="8" t="s">
        <v>115</v>
      </c>
    </row>
    <row r="144" spans="1:23" x14ac:dyDescent="0.35">
      <c r="A144" s="5" t="s">
        <v>42</v>
      </c>
      <c r="B144" s="4">
        <v>45</v>
      </c>
      <c r="C144" s="15">
        <v>0</v>
      </c>
      <c r="D144" s="17">
        <v>0</v>
      </c>
      <c r="E144" s="6">
        <v>0</v>
      </c>
      <c r="F144" s="6">
        <v>0.05</v>
      </c>
      <c r="G144" s="10">
        <v>2</v>
      </c>
      <c r="H144" s="7">
        <v>2004</v>
      </c>
      <c r="I144" s="13">
        <v>23.6</v>
      </c>
      <c r="J144" s="2">
        <f t="shared" si="7"/>
        <v>23600000</v>
      </c>
      <c r="K144" s="4">
        <v>12.8</v>
      </c>
      <c r="L144" s="4">
        <v>170.1</v>
      </c>
      <c r="M144" s="12">
        <f t="shared" si="6"/>
        <v>170100000</v>
      </c>
      <c r="N144" s="4">
        <v>96.9</v>
      </c>
      <c r="O144" s="4">
        <v>361.6</v>
      </c>
      <c r="P144" s="4" t="s">
        <v>123</v>
      </c>
      <c r="Q144" s="4">
        <v>1</v>
      </c>
      <c r="R144" s="18" t="s">
        <v>114</v>
      </c>
      <c r="S144" s="8" t="s">
        <v>114</v>
      </c>
      <c r="T144" s="8" t="s">
        <v>115</v>
      </c>
      <c r="U144" s="8" t="s">
        <v>117</v>
      </c>
      <c r="V144" s="8" t="s">
        <v>115</v>
      </c>
      <c r="W144" s="8" t="s">
        <v>117</v>
      </c>
    </row>
    <row r="145" spans="1:23" x14ac:dyDescent="0.35">
      <c r="A145" s="5" t="s">
        <v>43</v>
      </c>
      <c r="B145" s="4">
        <v>46</v>
      </c>
      <c r="C145" s="15">
        <v>0</v>
      </c>
      <c r="D145" s="17">
        <v>0</v>
      </c>
      <c r="E145" s="6">
        <v>0</v>
      </c>
      <c r="F145" s="6">
        <v>0.05</v>
      </c>
      <c r="G145" s="10">
        <v>2</v>
      </c>
      <c r="H145" s="7">
        <v>2004</v>
      </c>
      <c r="I145" s="13">
        <v>24.4</v>
      </c>
      <c r="J145" s="2">
        <f t="shared" si="7"/>
        <v>24400000</v>
      </c>
      <c r="K145" s="4">
        <v>12.4</v>
      </c>
      <c r="L145" s="4">
        <v>906.25</v>
      </c>
      <c r="M145" s="12">
        <f t="shared" si="6"/>
        <v>906250000</v>
      </c>
      <c r="N145" s="4">
        <v>676.5</v>
      </c>
      <c r="O145" s="4">
        <v>428</v>
      </c>
      <c r="P145" s="4" t="s">
        <v>123</v>
      </c>
      <c r="Q145" s="4">
        <v>1</v>
      </c>
      <c r="R145" s="18" t="s">
        <v>113</v>
      </c>
      <c r="S145" s="8" t="s">
        <v>116</v>
      </c>
      <c r="T145" s="8" t="s">
        <v>115</v>
      </c>
      <c r="U145" s="8" t="s">
        <v>114</v>
      </c>
      <c r="V145" s="8" t="s">
        <v>116</v>
      </c>
      <c r="W145" s="8" t="s">
        <v>116</v>
      </c>
    </row>
    <row r="146" spans="1:23" x14ac:dyDescent="0.35">
      <c r="A146" s="5" t="s">
        <v>44</v>
      </c>
      <c r="B146" s="4">
        <v>47</v>
      </c>
      <c r="C146" s="15">
        <v>0</v>
      </c>
      <c r="D146" s="17">
        <v>0</v>
      </c>
      <c r="E146" s="6">
        <v>0</v>
      </c>
      <c r="F146" s="6">
        <v>0.05</v>
      </c>
      <c r="G146" s="10">
        <v>2</v>
      </c>
      <c r="H146" s="7">
        <v>2004</v>
      </c>
      <c r="I146" s="13">
        <v>25.4</v>
      </c>
      <c r="J146" s="2">
        <f t="shared" si="7"/>
        <v>25400000</v>
      </c>
      <c r="K146" s="4">
        <v>12.2</v>
      </c>
      <c r="L146" s="4">
        <v>855.42499999999995</v>
      </c>
      <c r="M146" s="12">
        <f t="shared" si="6"/>
        <v>855425000</v>
      </c>
      <c r="N146" s="4">
        <v>906.8</v>
      </c>
      <c r="O146" s="4">
        <v>628.70000000000005</v>
      </c>
      <c r="P146" s="4" t="s">
        <v>123</v>
      </c>
      <c r="Q146" s="4">
        <v>1</v>
      </c>
      <c r="R146" s="18" t="s">
        <v>111</v>
      </c>
      <c r="S146" s="8" t="s">
        <v>116</v>
      </c>
      <c r="T146" s="8" t="s">
        <v>119</v>
      </c>
      <c r="U146" s="8" t="s">
        <v>115</v>
      </c>
      <c r="V146" s="8" t="s">
        <v>119</v>
      </c>
      <c r="W146" s="8" t="s">
        <v>118</v>
      </c>
    </row>
    <row r="147" spans="1:23" x14ac:dyDescent="0.35">
      <c r="A147" s="5" t="s">
        <v>94</v>
      </c>
      <c r="B147" s="4">
        <v>48</v>
      </c>
      <c r="C147" s="15">
        <v>0</v>
      </c>
      <c r="D147" s="17">
        <v>0</v>
      </c>
      <c r="E147" s="6"/>
      <c r="F147" s="6"/>
      <c r="G147" s="10">
        <v>2</v>
      </c>
      <c r="H147" s="7"/>
      <c r="J147" s="2">
        <f t="shared" si="7"/>
        <v>0</v>
      </c>
      <c r="M147" s="12">
        <f t="shared" si="6"/>
        <v>0</v>
      </c>
      <c r="O147" s="4">
        <v>1015.9999999999999</v>
      </c>
      <c r="R147" s="18" t="s">
        <v>131</v>
      </c>
      <c r="S147" s="8"/>
      <c r="T147" s="8"/>
      <c r="U147" s="8"/>
      <c r="V147" s="8"/>
      <c r="W147" s="8"/>
    </row>
    <row r="148" spans="1:23" x14ac:dyDescent="0.35">
      <c r="A148" s="5" t="s">
        <v>95</v>
      </c>
      <c r="B148" s="4">
        <v>49</v>
      </c>
      <c r="C148" s="15">
        <v>0</v>
      </c>
      <c r="D148" s="17">
        <v>0</v>
      </c>
      <c r="E148" s="6"/>
      <c r="F148" s="6"/>
      <c r="G148" s="10">
        <v>2</v>
      </c>
      <c r="H148" s="7"/>
      <c r="J148" s="2">
        <f t="shared" si="7"/>
        <v>0</v>
      </c>
      <c r="M148" s="12">
        <f t="shared" si="6"/>
        <v>0</v>
      </c>
      <c r="O148" s="4">
        <v>826.2</v>
      </c>
      <c r="R148" s="18" t="s">
        <v>131</v>
      </c>
      <c r="S148" s="8"/>
      <c r="T148" s="8"/>
      <c r="U148" s="8"/>
      <c r="V148" s="8"/>
      <c r="W148" s="8"/>
    </row>
    <row r="149" spans="1:23" x14ac:dyDescent="0.35">
      <c r="A149" s="5" t="s">
        <v>45</v>
      </c>
      <c r="B149" s="4">
        <v>50</v>
      </c>
      <c r="C149" s="15">
        <v>0</v>
      </c>
      <c r="D149" s="17">
        <v>0</v>
      </c>
      <c r="E149" s="6">
        <v>0</v>
      </c>
      <c r="F149" s="6">
        <v>0.05</v>
      </c>
      <c r="G149" s="10">
        <v>2</v>
      </c>
      <c r="H149" s="7">
        <v>2004</v>
      </c>
      <c r="I149" s="13">
        <v>22</v>
      </c>
      <c r="J149" s="2">
        <f t="shared" si="7"/>
        <v>22000000</v>
      </c>
      <c r="K149" s="4">
        <v>12.8</v>
      </c>
      <c r="L149" s="4">
        <v>308.55</v>
      </c>
      <c r="M149" s="12">
        <f t="shared" si="6"/>
        <v>308550000</v>
      </c>
      <c r="N149" s="4">
        <v>428</v>
      </c>
      <c r="O149" s="4">
        <v>405.40000000000003</v>
      </c>
      <c r="P149" s="4" t="s">
        <v>123</v>
      </c>
      <c r="Q149" s="4">
        <v>1</v>
      </c>
      <c r="R149" s="18" t="s">
        <v>117</v>
      </c>
      <c r="S149" s="8" t="s">
        <v>117</v>
      </c>
      <c r="T149" s="8" t="s">
        <v>115</v>
      </c>
      <c r="U149" s="8" t="s">
        <v>115</v>
      </c>
      <c r="V149" s="8" t="s">
        <v>117</v>
      </c>
      <c r="W149" s="8" t="s">
        <v>115</v>
      </c>
    </row>
    <row r="150" spans="1:23" x14ac:dyDescent="0.35">
      <c r="A150" s="5" t="s">
        <v>46</v>
      </c>
      <c r="B150" s="4">
        <v>51</v>
      </c>
      <c r="C150" s="15">
        <v>0</v>
      </c>
      <c r="D150" s="17">
        <v>0</v>
      </c>
      <c r="E150" s="6">
        <v>0</v>
      </c>
      <c r="F150" s="6">
        <v>0.05</v>
      </c>
      <c r="G150" s="10">
        <v>2</v>
      </c>
      <c r="H150" s="7">
        <v>2004</v>
      </c>
      <c r="I150" s="13">
        <v>19.2</v>
      </c>
      <c r="J150" s="2">
        <f t="shared" si="7"/>
        <v>19200000</v>
      </c>
      <c r="K150" s="4">
        <v>12.6</v>
      </c>
      <c r="L150" s="4">
        <v>448.17500000000001</v>
      </c>
      <c r="M150" s="12">
        <f t="shared" si="6"/>
        <v>448175000</v>
      </c>
      <c r="N150" s="4">
        <v>628.70000000000005</v>
      </c>
      <c r="O150" s="4">
        <v>640</v>
      </c>
      <c r="P150" s="4" t="s">
        <v>123</v>
      </c>
      <c r="Q150" s="4">
        <v>1</v>
      </c>
      <c r="R150" s="18" t="s">
        <v>114</v>
      </c>
      <c r="S150" s="8" t="s">
        <v>114</v>
      </c>
      <c r="T150" s="8" t="s">
        <v>117</v>
      </c>
      <c r="U150" s="8" t="s">
        <v>115</v>
      </c>
      <c r="V150" s="8" t="s">
        <v>117</v>
      </c>
      <c r="W150" s="8" t="s">
        <v>115</v>
      </c>
    </row>
    <row r="151" spans="1:23" x14ac:dyDescent="0.35">
      <c r="A151" s="5" t="s">
        <v>47</v>
      </c>
      <c r="B151" s="4">
        <v>52</v>
      </c>
      <c r="C151" s="15">
        <v>0</v>
      </c>
      <c r="D151" s="17">
        <v>0</v>
      </c>
      <c r="E151" s="6">
        <v>0</v>
      </c>
      <c r="F151" s="6">
        <v>0.05</v>
      </c>
      <c r="G151" s="10">
        <v>2</v>
      </c>
      <c r="H151" s="7">
        <v>2004</v>
      </c>
      <c r="I151" s="13">
        <v>18.100000000000001</v>
      </c>
      <c r="J151" s="2">
        <f t="shared" si="7"/>
        <v>18100000</v>
      </c>
      <c r="K151" s="4">
        <v>13.3</v>
      </c>
      <c r="L151" s="4">
        <v>688.45</v>
      </c>
      <c r="M151" s="12">
        <f t="shared" si="6"/>
        <v>688450000</v>
      </c>
      <c r="N151" s="4">
        <v>1051.5999999999999</v>
      </c>
      <c r="O151" s="4">
        <v>237.29999999999995</v>
      </c>
      <c r="P151" s="4" t="s">
        <v>123</v>
      </c>
      <c r="Q151" s="4">
        <v>1</v>
      </c>
      <c r="R151" s="18" t="s">
        <v>112</v>
      </c>
      <c r="S151" s="8" t="s">
        <v>116</v>
      </c>
      <c r="T151" s="8" t="s">
        <v>117</v>
      </c>
      <c r="U151" s="8" t="s">
        <v>117</v>
      </c>
      <c r="V151" s="8" t="s">
        <v>115</v>
      </c>
      <c r="W151" s="8" t="s">
        <v>114</v>
      </c>
    </row>
    <row r="152" spans="1:23" x14ac:dyDescent="0.35">
      <c r="A152" s="5" t="s">
        <v>48</v>
      </c>
      <c r="B152" s="4">
        <v>53</v>
      </c>
      <c r="C152" s="15">
        <v>0</v>
      </c>
      <c r="D152" s="17">
        <v>0</v>
      </c>
      <c r="E152" s="6">
        <v>0</v>
      </c>
      <c r="F152" s="6">
        <v>0.05</v>
      </c>
      <c r="G152" s="10">
        <v>2</v>
      </c>
      <c r="H152" s="7">
        <v>2004</v>
      </c>
      <c r="I152" s="13">
        <v>19.2</v>
      </c>
      <c r="J152" s="2">
        <f t="shared" si="7"/>
        <v>19200000</v>
      </c>
      <c r="K152" s="4">
        <v>16.2</v>
      </c>
      <c r="L152" s="4">
        <v>547.45000000000005</v>
      </c>
      <c r="M152" s="12">
        <f t="shared" si="6"/>
        <v>547450000</v>
      </c>
      <c r="N152" s="4">
        <v>826.2</v>
      </c>
      <c r="O152" s="4">
        <v>403.2</v>
      </c>
      <c r="P152" s="4" t="s">
        <v>123</v>
      </c>
      <c r="Q152" s="4">
        <v>1</v>
      </c>
      <c r="R152" s="18" t="s">
        <v>113</v>
      </c>
      <c r="S152" s="8" t="s">
        <v>117</v>
      </c>
      <c r="T152" s="8" t="s">
        <v>113</v>
      </c>
      <c r="U152" s="8" t="s">
        <v>115</v>
      </c>
      <c r="V152" s="8" t="s">
        <v>115</v>
      </c>
      <c r="W152" s="8" t="s">
        <v>115</v>
      </c>
    </row>
    <row r="153" spans="1:23" x14ac:dyDescent="0.35">
      <c r="A153" s="5" t="s">
        <v>49</v>
      </c>
      <c r="B153" s="4">
        <v>54</v>
      </c>
      <c r="C153" s="15">
        <v>0</v>
      </c>
      <c r="D153" s="17">
        <v>0</v>
      </c>
      <c r="E153" s="6">
        <v>0</v>
      </c>
      <c r="F153" s="6">
        <v>0.05</v>
      </c>
      <c r="G153" s="10">
        <v>2</v>
      </c>
      <c r="H153" s="7">
        <v>2004</v>
      </c>
      <c r="I153" s="13">
        <v>21.7</v>
      </c>
      <c r="J153" s="2">
        <f t="shared" si="7"/>
        <v>21700000</v>
      </c>
      <c r="K153" s="4">
        <v>14.8</v>
      </c>
      <c r="L153" s="4">
        <v>672.8</v>
      </c>
      <c r="M153" s="12">
        <f t="shared" si="6"/>
        <v>672800000</v>
      </c>
      <c r="N153" s="4">
        <v>579.6</v>
      </c>
      <c r="O153" s="4">
        <v>568.62</v>
      </c>
      <c r="P153" s="4" t="s">
        <v>123</v>
      </c>
      <c r="Q153" s="4">
        <v>1</v>
      </c>
      <c r="R153" s="18" t="s">
        <v>113</v>
      </c>
      <c r="S153" s="8" t="s">
        <v>116</v>
      </c>
      <c r="T153" s="8" t="s">
        <v>116</v>
      </c>
      <c r="U153" s="8" t="s">
        <v>115</v>
      </c>
      <c r="V153" s="8" t="s">
        <v>114</v>
      </c>
      <c r="W153" s="8" t="s">
        <v>116</v>
      </c>
    </row>
    <row r="154" spans="1:23" x14ac:dyDescent="0.35">
      <c r="A154" s="5" t="s">
        <v>50</v>
      </c>
      <c r="B154" s="4">
        <v>55</v>
      </c>
      <c r="C154" s="15">
        <v>0</v>
      </c>
      <c r="D154" s="17">
        <v>0</v>
      </c>
      <c r="E154" s="6">
        <v>0</v>
      </c>
      <c r="F154" s="6">
        <v>0.05</v>
      </c>
      <c r="G154" s="10">
        <v>2</v>
      </c>
      <c r="H154" s="7">
        <v>2004</v>
      </c>
      <c r="I154" s="13">
        <v>23.8</v>
      </c>
      <c r="J154" s="2">
        <f t="shared" si="7"/>
        <v>23800000</v>
      </c>
      <c r="K154" s="4">
        <v>14.5</v>
      </c>
      <c r="L154" s="4">
        <v>642.70000000000005</v>
      </c>
      <c r="M154" s="12">
        <f t="shared" si="6"/>
        <v>642700000</v>
      </c>
      <c r="N154" s="4">
        <v>640</v>
      </c>
      <c r="O154" s="4">
        <v>198.2</v>
      </c>
      <c r="P154" s="4" t="s">
        <v>123</v>
      </c>
      <c r="Q154" s="4">
        <v>1</v>
      </c>
      <c r="R154" s="18" t="s">
        <v>117</v>
      </c>
      <c r="S154" s="8" t="s">
        <v>117</v>
      </c>
      <c r="T154" s="8" t="s">
        <v>117</v>
      </c>
      <c r="U154" s="8" t="s">
        <v>115</v>
      </c>
      <c r="V154" s="8" t="s">
        <v>115</v>
      </c>
      <c r="W154" s="8" t="s">
        <v>115</v>
      </c>
    </row>
    <row r="155" spans="1:23" x14ac:dyDescent="0.35">
      <c r="A155" s="5" t="s">
        <v>51</v>
      </c>
      <c r="B155" s="4">
        <v>56</v>
      </c>
      <c r="C155" s="15">
        <v>0</v>
      </c>
      <c r="D155" s="17">
        <v>0</v>
      </c>
      <c r="E155" s="6">
        <v>0</v>
      </c>
      <c r="F155" s="6">
        <v>0.05</v>
      </c>
      <c r="G155" s="10">
        <v>2</v>
      </c>
      <c r="H155" s="7">
        <v>2004</v>
      </c>
      <c r="I155" s="13">
        <v>23</v>
      </c>
      <c r="J155" s="2">
        <f t="shared" si="7"/>
        <v>23000000</v>
      </c>
      <c r="K155" s="4">
        <v>15</v>
      </c>
      <c r="L155" s="4">
        <v>1025.6849999999999</v>
      </c>
      <c r="M155" s="12">
        <f t="shared" si="6"/>
        <v>1025685000</v>
      </c>
      <c r="N155" s="4">
        <v>1277.3</v>
      </c>
      <c r="O155" s="4">
        <v>0</v>
      </c>
      <c r="P155" s="4" t="s">
        <v>123</v>
      </c>
      <c r="Q155" s="4">
        <v>1</v>
      </c>
      <c r="R155" s="18" t="s">
        <v>113</v>
      </c>
      <c r="S155" s="8" t="s">
        <v>112</v>
      </c>
      <c r="T155" s="8" t="s">
        <v>114</v>
      </c>
      <c r="U155" s="8" t="s">
        <v>114</v>
      </c>
      <c r="V155" s="8" t="s">
        <v>114</v>
      </c>
      <c r="W155" s="8" t="s">
        <v>114</v>
      </c>
    </row>
    <row r="156" spans="1:23" x14ac:dyDescent="0.35">
      <c r="A156" s="5" t="s">
        <v>52</v>
      </c>
      <c r="B156" s="4">
        <v>57</v>
      </c>
      <c r="C156" s="15">
        <v>0</v>
      </c>
      <c r="D156" s="17">
        <v>0</v>
      </c>
      <c r="E156" s="6">
        <v>0</v>
      </c>
      <c r="F156" s="6">
        <v>0.05</v>
      </c>
      <c r="G156" s="10">
        <v>2</v>
      </c>
      <c r="H156" s="7">
        <v>2004</v>
      </c>
      <c r="I156" s="13">
        <v>21.8</v>
      </c>
      <c r="J156" s="2">
        <f t="shared" si="7"/>
        <v>21800000</v>
      </c>
      <c r="K156" s="4">
        <v>13.4</v>
      </c>
      <c r="L156" s="4">
        <v>390</v>
      </c>
      <c r="M156" s="12">
        <f t="shared" si="6"/>
        <v>390000000</v>
      </c>
      <c r="N156" s="4">
        <v>403.2</v>
      </c>
      <c r="O156" s="4">
        <v>962.8</v>
      </c>
      <c r="P156" s="4" t="s">
        <v>123</v>
      </c>
      <c r="Q156" s="4">
        <v>1</v>
      </c>
      <c r="R156" s="18" t="s">
        <v>114</v>
      </c>
      <c r="S156" s="8" t="s">
        <v>117</v>
      </c>
      <c r="T156" s="8" t="s">
        <v>114</v>
      </c>
      <c r="U156" s="8" t="s">
        <v>115</v>
      </c>
      <c r="V156" s="8" t="s">
        <v>115</v>
      </c>
      <c r="W156" s="8" t="s">
        <v>115</v>
      </c>
    </row>
    <row r="157" spans="1:23" x14ac:dyDescent="0.35">
      <c r="A157" s="5" t="s">
        <v>53</v>
      </c>
      <c r="B157" s="4">
        <v>58</v>
      </c>
      <c r="C157" s="15">
        <v>0</v>
      </c>
      <c r="D157" s="17">
        <v>0</v>
      </c>
      <c r="E157" s="6">
        <v>0</v>
      </c>
      <c r="F157" s="6">
        <v>0.05</v>
      </c>
      <c r="G157" s="10">
        <v>2</v>
      </c>
      <c r="H157" s="7">
        <v>2004</v>
      </c>
      <c r="I157" s="13">
        <v>24.4</v>
      </c>
      <c r="J157" s="2">
        <f t="shared" si="7"/>
        <v>24400000</v>
      </c>
      <c r="K157" s="4">
        <v>12.8</v>
      </c>
      <c r="L157" s="4">
        <v>523.86500000000001</v>
      </c>
      <c r="M157" s="12">
        <f t="shared" si="6"/>
        <v>523865000</v>
      </c>
      <c r="N157" s="4">
        <v>568.62</v>
      </c>
      <c r="O157" s="4">
        <v>197.8</v>
      </c>
      <c r="P157" s="4" t="s">
        <v>123</v>
      </c>
      <c r="Q157" s="4">
        <v>1</v>
      </c>
      <c r="R157" s="18" t="s">
        <v>111</v>
      </c>
      <c r="S157" s="8" t="s">
        <v>117</v>
      </c>
      <c r="T157" s="8" t="s">
        <v>111</v>
      </c>
      <c r="U157" s="8" t="s">
        <v>115</v>
      </c>
      <c r="V157" s="8" t="s">
        <v>115</v>
      </c>
      <c r="W157" s="8" t="s">
        <v>115</v>
      </c>
    </row>
    <row r="158" spans="1:23" x14ac:dyDescent="0.35">
      <c r="A158" s="5" t="s">
        <v>100</v>
      </c>
      <c r="B158" s="4">
        <v>59</v>
      </c>
      <c r="C158" s="15">
        <v>0</v>
      </c>
      <c r="D158" s="17">
        <v>0</v>
      </c>
      <c r="E158" s="6"/>
      <c r="F158" s="6"/>
      <c r="G158" s="10">
        <v>2</v>
      </c>
      <c r="H158" s="7"/>
      <c r="J158" s="2">
        <f t="shared" si="7"/>
        <v>0</v>
      </c>
      <c r="M158" s="12">
        <f t="shared" si="6"/>
        <v>0</v>
      </c>
      <c r="R158" s="18" t="s">
        <v>128</v>
      </c>
      <c r="S158" s="8"/>
      <c r="T158" s="8"/>
      <c r="U158" s="8"/>
      <c r="V158" s="8"/>
      <c r="W158" s="8"/>
    </row>
    <row r="159" spans="1:23" x14ac:dyDescent="0.35">
      <c r="A159" s="5" t="s">
        <v>54</v>
      </c>
      <c r="B159" s="4">
        <v>60</v>
      </c>
      <c r="C159" s="15">
        <v>0</v>
      </c>
      <c r="D159" s="17">
        <v>0</v>
      </c>
      <c r="E159" s="6">
        <v>0</v>
      </c>
      <c r="F159" s="6">
        <v>0.05</v>
      </c>
      <c r="G159" s="10">
        <v>2</v>
      </c>
      <c r="H159" s="7">
        <v>2004</v>
      </c>
      <c r="I159" s="13">
        <v>24.1</v>
      </c>
      <c r="J159" s="2">
        <f t="shared" si="7"/>
        <v>24100000</v>
      </c>
      <c r="K159" s="4">
        <v>12.6</v>
      </c>
      <c r="L159" s="4">
        <v>239.42500000000001</v>
      </c>
      <c r="M159" s="12">
        <f t="shared" si="6"/>
        <v>239425000</v>
      </c>
      <c r="N159" s="4">
        <v>198.2</v>
      </c>
      <c r="O159" s="4">
        <v>174.4</v>
      </c>
      <c r="P159" s="4" t="s">
        <v>123</v>
      </c>
      <c r="Q159" s="4">
        <v>1</v>
      </c>
      <c r="R159" s="18" t="s">
        <v>112</v>
      </c>
      <c r="S159" s="8" t="s">
        <v>114</v>
      </c>
      <c r="T159" s="8" t="s">
        <v>114</v>
      </c>
      <c r="U159" s="8" t="s">
        <v>114</v>
      </c>
      <c r="V159" s="8" t="s">
        <v>115</v>
      </c>
      <c r="W159" s="8" t="s">
        <v>115</v>
      </c>
    </row>
    <row r="160" spans="1:23" x14ac:dyDescent="0.35">
      <c r="A160" s="5" t="s">
        <v>55</v>
      </c>
      <c r="B160" s="4">
        <v>61</v>
      </c>
      <c r="C160" s="15">
        <v>0</v>
      </c>
      <c r="D160" s="17">
        <v>0</v>
      </c>
      <c r="E160" s="6">
        <v>0</v>
      </c>
      <c r="F160" s="6">
        <v>0.05</v>
      </c>
      <c r="G160" s="10">
        <v>2</v>
      </c>
      <c r="H160" s="7">
        <v>2004</v>
      </c>
      <c r="I160" s="13">
        <v>27.4</v>
      </c>
      <c r="J160" s="2">
        <f t="shared" si="7"/>
        <v>27400000</v>
      </c>
      <c r="K160" s="4">
        <v>13.9</v>
      </c>
      <c r="L160" s="4">
        <v>402.55</v>
      </c>
      <c r="M160" s="12">
        <f t="shared" si="6"/>
        <v>402550000</v>
      </c>
      <c r="N160" s="4">
        <v>305.2</v>
      </c>
      <c r="O160" s="4">
        <v>365</v>
      </c>
      <c r="P160" s="4" t="s">
        <v>123</v>
      </c>
      <c r="Q160" s="4">
        <v>1</v>
      </c>
      <c r="R160" s="18" t="s">
        <v>117</v>
      </c>
      <c r="S160" s="8" t="s">
        <v>117</v>
      </c>
      <c r="T160" s="8" t="s">
        <v>115</v>
      </c>
      <c r="U160" s="8" t="s">
        <v>115</v>
      </c>
      <c r="V160" s="8" t="s">
        <v>115</v>
      </c>
      <c r="W160" s="8" t="s">
        <v>117</v>
      </c>
    </row>
    <row r="161" spans="1:23" x14ac:dyDescent="0.35">
      <c r="A161" s="5" t="s">
        <v>56</v>
      </c>
      <c r="B161" s="4">
        <v>62</v>
      </c>
      <c r="C161" s="15">
        <v>0</v>
      </c>
      <c r="D161" s="17">
        <v>0</v>
      </c>
      <c r="E161" s="6">
        <v>0</v>
      </c>
      <c r="F161" s="6">
        <v>0.05</v>
      </c>
      <c r="G161" s="10">
        <v>2</v>
      </c>
      <c r="H161" s="7">
        <v>2004</v>
      </c>
      <c r="I161" s="13">
        <v>24.9</v>
      </c>
      <c r="J161" s="2">
        <f t="shared" si="7"/>
        <v>24900000</v>
      </c>
      <c r="K161" s="4">
        <v>19.5</v>
      </c>
      <c r="L161" s="4">
        <v>605.28499999999997</v>
      </c>
      <c r="M161" s="12">
        <f t="shared" si="6"/>
        <v>605285000</v>
      </c>
      <c r="N161" s="4">
        <v>962.8</v>
      </c>
      <c r="O161" s="4">
        <v>368.8</v>
      </c>
      <c r="P161" s="4" t="s">
        <v>123</v>
      </c>
      <c r="Q161" s="4">
        <v>1</v>
      </c>
      <c r="R161" s="18" t="s">
        <v>112</v>
      </c>
      <c r="S161" s="8" t="s">
        <v>117</v>
      </c>
      <c r="T161" s="8" t="s">
        <v>112</v>
      </c>
      <c r="U161" s="8" t="s">
        <v>115</v>
      </c>
      <c r="V161" s="8" t="s">
        <v>115</v>
      </c>
      <c r="W161" s="8" t="s">
        <v>115</v>
      </c>
    </row>
    <row r="162" spans="1:23" x14ac:dyDescent="0.35">
      <c r="A162" s="5" t="s">
        <v>57</v>
      </c>
      <c r="B162" s="4">
        <v>63</v>
      </c>
      <c r="C162" s="15">
        <v>0</v>
      </c>
      <c r="D162" s="17">
        <v>0</v>
      </c>
      <c r="E162" s="6">
        <v>0</v>
      </c>
      <c r="F162" s="6">
        <v>0.05</v>
      </c>
      <c r="G162" s="10">
        <v>2</v>
      </c>
      <c r="H162" s="7">
        <v>2004</v>
      </c>
      <c r="I162" s="13">
        <v>22.4</v>
      </c>
      <c r="J162" s="2">
        <f t="shared" si="7"/>
        <v>22400000</v>
      </c>
      <c r="K162" s="4">
        <v>18</v>
      </c>
      <c r="L162" s="4">
        <v>402.57499999999999</v>
      </c>
      <c r="M162" s="12">
        <f t="shared" si="6"/>
        <v>402575000</v>
      </c>
      <c r="N162" s="4">
        <v>263</v>
      </c>
      <c r="O162" s="4">
        <v>843.80000000000007</v>
      </c>
      <c r="P162" s="4" t="s">
        <v>123</v>
      </c>
      <c r="Q162" s="4">
        <v>1</v>
      </c>
      <c r="R162" s="18" t="s">
        <v>120</v>
      </c>
      <c r="S162" s="8" t="s">
        <v>112</v>
      </c>
      <c r="T162" s="8" t="s">
        <v>111</v>
      </c>
      <c r="U162" s="8" t="s">
        <v>121</v>
      </c>
      <c r="V162" s="8" t="s">
        <v>122</v>
      </c>
      <c r="W162" s="8" t="s">
        <v>121</v>
      </c>
    </row>
    <row r="163" spans="1:23" x14ac:dyDescent="0.35">
      <c r="A163" s="5" t="s">
        <v>92</v>
      </c>
      <c r="B163" s="4">
        <v>64</v>
      </c>
      <c r="C163" s="15">
        <v>0</v>
      </c>
      <c r="D163" s="17">
        <v>0</v>
      </c>
      <c r="E163" s="6"/>
      <c r="F163" s="6"/>
      <c r="G163" s="10">
        <v>2</v>
      </c>
      <c r="H163" s="7"/>
      <c r="J163" s="2">
        <f t="shared" si="7"/>
        <v>0</v>
      </c>
      <c r="M163" s="12">
        <f t="shared" si="6"/>
        <v>0</v>
      </c>
      <c r="R163" s="18" t="s">
        <v>132</v>
      </c>
      <c r="S163" s="8"/>
      <c r="T163" s="8"/>
      <c r="U163" s="8"/>
      <c r="V163" s="8"/>
      <c r="W163" s="8"/>
    </row>
    <row r="164" spans="1:23" x14ac:dyDescent="0.35">
      <c r="A164" s="5" t="s">
        <v>58</v>
      </c>
      <c r="B164" s="4">
        <v>65</v>
      </c>
      <c r="C164" s="15">
        <v>0</v>
      </c>
      <c r="D164" s="17">
        <v>0</v>
      </c>
      <c r="E164" s="6">
        <v>0</v>
      </c>
      <c r="F164" s="6">
        <v>0.05</v>
      </c>
      <c r="G164" s="10">
        <v>2</v>
      </c>
      <c r="H164" s="7">
        <v>2004</v>
      </c>
      <c r="I164" s="13">
        <v>20.8</v>
      </c>
      <c r="J164" s="2">
        <f t="shared" si="7"/>
        <v>20800000</v>
      </c>
      <c r="K164" s="4">
        <v>19.899999999999999</v>
      </c>
      <c r="L164" s="4">
        <v>331.25</v>
      </c>
      <c r="M164" s="12">
        <f t="shared" si="6"/>
        <v>331250000</v>
      </c>
      <c r="N164" s="4">
        <v>207.4</v>
      </c>
      <c r="O164" s="4">
        <v>0</v>
      </c>
      <c r="P164" s="4" t="s">
        <v>123</v>
      </c>
      <c r="Q164" s="4">
        <v>1</v>
      </c>
      <c r="R164" s="18" t="s">
        <v>111</v>
      </c>
      <c r="S164" s="8" t="s">
        <v>114</v>
      </c>
      <c r="T164" s="8" t="s">
        <v>115</v>
      </c>
      <c r="U164" s="8" t="s">
        <v>113</v>
      </c>
      <c r="V164" s="8" t="s">
        <v>115</v>
      </c>
      <c r="W164" s="8" t="s">
        <v>113</v>
      </c>
    </row>
    <row r="165" spans="1:23" x14ac:dyDescent="0.35">
      <c r="A165" s="5" t="s">
        <v>59</v>
      </c>
      <c r="B165" s="4">
        <v>66</v>
      </c>
      <c r="C165" s="15">
        <v>0</v>
      </c>
      <c r="D165" s="17">
        <v>0</v>
      </c>
      <c r="E165" s="6">
        <v>0</v>
      </c>
      <c r="F165" s="6">
        <v>0.05</v>
      </c>
      <c r="G165" s="10">
        <v>2</v>
      </c>
      <c r="H165" s="7">
        <v>2004</v>
      </c>
      <c r="I165" s="13">
        <v>22.1</v>
      </c>
      <c r="J165" s="2">
        <f t="shared" si="7"/>
        <v>22100000</v>
      </c>
      <c r="K165" s="4">
        <v>18.8</v>
      </c>
      <c r="L165" s="4">
        <v>372.75</v>
      </c>
      <c r="M165" s="12">
        <f t="shared" si="6"/>
        <v>372750000</v>
      </c>
      <c r="N165" s="4">
        <v>365</v>
      </c>
      <c r="O165" s="4">
        <v>179.89999999999998</v>
      </c>
      <c r="P165" s="4" t="s">
        <v>123</v>
      </c>
      <c r="Q165" s="4">
        <v>1</v>
      </c>
      <c r="R165" s="18" t="s">
        <v>117</v>
      </c>
      <c r="S165" s="8" t="s">
        <v>117</v>
      </c>
      <c r="T165" s="8" t="s">
        <v>115</v>
      </c>
      <c r="U165" s="8" t="s">
        <v>117</v>
      </c>
      <c r="V165" s="8" t="s">
        <v>115</v>
      </c>
      <c r="W165" s="8" t="s">
        <v>115</v>
      </c>
    </row>
    <row r="166" spans="1:23" x14ac:dyDescent="0.35">
      <c r="A166" s="5" t="s">
        <v>96</v>
      </c>
      <c r="B166" s="4">
        <v>67</v>
      </c>
      <c r="C166" s="15">
        <v>0</v>
      </c>
      <c r="D166" s="17">
        <v>0</v>
      </c>
      <c r="E166" s="6"/>
      <c r="F166" s="6"/>
      <c r="G166" s="10">
        <v>2</v>
      </c>
      <c r="H166" s="7"/>
      <c r="J166" s="2">
        <f t="shared" si="7"/>
        <v>0</v>
      </c>
      <c r="M166" s="12">
        <f t="shared" si="6"/>
        <v>0</v>
      </c>
      <c r="R166" s="18" t="s">
        <v>131</v>
      </c>
      <c r="S166" s="8"/>
      <c r="T166" s="8"/>
      <c r="U166" s="8"/>
      <c r="V166" s="8"/>
      <c r="W166" s="8"/>
    </row>
    <row r="167" spans="1:23" x14ac:dyDescent="0.35">
      <c r="A167" s="5" t="s">
        <v>97</v>
      </c>
      <c r="B167" s="4">
        <v>68</v>
      </c>
      <c r="C167" s="15">
        <v>0</v>
      </c>
      <c r="D167" s="17">
        <v>0</v>
      </c>
      <c r="E167" s="6"/>
      <c r="F167" s="6"/>
      <c r="G167" s="10">
        <v>2</v>
      </c>
      <c r="H167" s="7"/>
      <c r="J167" s="2">
        <f t="shared" si="7"/>
        <v>0</v>
      </c>
      <c r="M167" s="12">
        <f t="shared" si="6"/>
        <v>0</v>
      </c>
      <c r="R167" s="18" t="s">
        <v>131</v>
      </c>
      <c r="S167" s="8"/>
      <c r="T167" s="8"/>
      <c r="U167" s="8"/>
      <c r="V167" s="8"/>
      <c r="W167" s="8"/>
    </row>
    <row r="168" spans="1:23" x14ac:dyDescent="0.35">
      <c r="A168" s="5" t="s">
        <v>60</v>
      </c>
      <c r="B168" s="4">
        <v>69</v>
      </c>
      <c r="C168" s="15">
        <v>0</v>
      </c>
      <c r="D168" s="17">
        <v>0</v>
      </c>
      <c r="E168" s="6">
        <v>0</v>
      </c>
      <c r="F168" s="6">
        <v>0.05</v>
      </c>
      <c r="G168" s="10">
        <v>2</v>
      </c>
      <c r="H168" s="7">
        <v>2004</v>
      </c>
      <c r="I168" s="13">
        <v>22.4</v>
      </c>
      <c r="J168" s="2">
        <f t="shared" si="7"/>
        <v>22400000</v>
      </c>
      <c r="K168" s="4">
        <v>17.100000000000001</v>
      </c>
      <c r="L168" s="4">
        <v>312.10000000000002</v>
      </c>
      <c r="M168" s="12">
        <f t="shared" si="6"/>
        <v>312100000</v>
      </c>
      <c r="N168" s="4">
        <v>368.8</v>
      </c>
      <c r="O168" s="4">
        <v>532.30000000000007</v>
      </c>
      <c r="P168" s="4" t="s">
        <v>123</v>
      </c>
      <c r="Q168" s="4">
        <v>1</v>
      </c>
      <c r="R168" s="18" t="s">
        <v>114</v>
      </c>
      <c r="S168" s="8" t="s">
        <v>114</v>
      </c>
      <c r="T168" s="8" t="s">
        <v>117</v>
      </c>
      <c r="U168" s="8" t="s">
        <v>117</v>
      </c>
      <c r="V168" s="8" t="s">
        <v>115</v>
      </c>
      <c r="W168" s="8" t="s">
        <v>115</v>
      </c>
    </row>
    <row r="169" spans="1:23" x14ac:dyDescent="0.35">
      <c r="A169" s="5" t="s">
        <v>61</v>
      </c>
      <c r="B169" s="4">
        <v>70</v>
      </c>
      <c r="C169" s="15">
        <v>0</v>
      </c>
      <c r="D169" s="17">
        <v>0</v>
      </c>
      <c r="E169" s="6">
        <v>0</v>
      </c>
      <c r="F169" s="6">
        <v>0.05</v>
      </c>
      <c r="G169" s="10">
        <v>2</v>
      </c>
      <c r="H169" s="7">
        <v>2004</v>
      </c>
      <c r="I169" s="13">
        <v>22</v>
      </c>
      <c r="J169" s="2">
        <f t="shared" si="7"/>
        <v>22000000</v>
      </c>
      <c r="K169" s="4">
        <v>15.2</v>
      </c>
      <c r="L169" s="4">
        <v>835.58500000000004</v>
      </c>
      <c r="M169" s="12">
        <f t="shared" si="6"/>
        <v>835585000</v>
      </c>
      <c r="N169" s="4">
        <v>897.6</v>
      </c>
      <c r="O169" s="4">
        <v>278.39999999999998</v>
      </c>
      <c r="P169" s="4" t="s">
        <v>123</v>
      </c>
      <c r="Q169" s="4">
        <v>1</v>
      </c>
      <c r="R169" s="18" t="s">
        <v>113</v>
      </c>
      <c r="S169" s="8" t="s">
        <v>114</v>
      </c>
      <c r="T169" s="8" t="s">
        <v>115</v>
      </c>
      <c r="U169" s="8" t="s">
        <v>115</v>
      </c>
      <c r="V169" s="8" t="s">
        <v>112</v>
      </c>
      <c r="W169" s="8" t="s">
        <v>112</v>
      </c>
    </row>
    <row r="170" spans="1:23" x14ac:dyDescent="0.35">
      <c r="A170" s="5" t="s">
        <v>62</v>
      </c>
      <c r="B170" s="4">
        <v>71</v>
      </c>
      <c r="C170" s="15">
        <v>0</v>
      </c>
      <c r="D170" s="17">
        <v>0</v>
      </c>
      <c r="E170" s="6">
        <v>0</v>
      </c>
      <c r="F170" s="6">
        <v>0.05</v>
      </c>
      <c r="G170" s="10">
        <v>2</v>
      </c>
      <c r="H170" s="7">
        <v>2004</v>
      </c>
      <c r="I170" s="13">
        <v>22.8</v>
      </c>
      <c r="J170" s="2">
        <f t="shared" si="7"/>
        <v>22800000</v>
      </c>
      <c r="K170" s="4">
        <v>15.3</v>
      </c>
      <c r="L170" s="4">
        <v>408.35</v>
      </c>
      <c r="M170" s="12">
        <f t="shared" si="6"/>
        <v>408350000</v>
      </c>
      <c r="N170" s="4">
        <v>398.9</v>
      </c>
      <c r="O170" s="4">
        <v>228.66</v>
      </c>
      <c r="P170" s="4" t="s">
        <v>123</v>
      </c>
      <c r="Q170" s="4">
        <v>1</v>
      </c>
      <c r="R170" s="18" t="s">
        <v>114</v>
      </c>
      <c r="S170" s="8" t="s">
        <v>117</v>
      </c>
      <c r="T170" s="8" t="s">
        <v>115</v>
      </c>
      <c r="U170" s="8" t="s">
        <v>115</v>
      </c>
      <c r="V170" s="8" t="s">
        <v>115</v>
      </c>
      <c r="W170" s="8" t="s">
        <v>114</v>
      </c>
    </row>
    <row r="171" spans="1:23" x14ac:dyDescent="0.35">
      <c r="A171" s="5" t="s">
        <v>63</v>
      </c>
      <c r="B171" s="4">
        <v>72</v>
      </c>
      <c r="C171" s="15">
        <v>0</v>
      </c>
      <c r="D171" s="17">
        <v>0</v>
      </c>
      <c r="E171" s="6">
        <v>0</v>
      </c>
      <c r="F171" s="6">
        <v>0.05</v>
      </c>
      <c r="G171" s="10">
        <v>2</v>
      </c>
      <c r="H171" s="7">
        <v>2004</v>
      </c>
      <c r="I171" s="13">
        <v>23.8</v>
      </c>
      <c r="J171" s="2">
        <f t="shared" si="7"/>
        <v>23800000</v>
      </c>
      <c r="K171" s="4">
        <v>14.2</v>
      </c>
      <c r="L171" s="4">
        <v>984.45</v>
      </c>
      <c r="M171" s="12">
        <f t="shared" si="6"/>
        <v>984450000</v>
      </c>
      <c r="N171" s="4">
        <v>242.7</v>
      </c>
      <c r="O171" s="4">
        <v>210.8</v>
      </c>
      <c r="P171" s="4" t="s">
        <v>123</v>
      </c>
      <c r="Q171" s="4">
        <v>1</v>
      </c>
      <c r="R171" s="18" t="s">
        <v>111</v>
      </c>
      <c r="S171" s="8" t="s">
        <v>112</v>
      </c>
      <c r="T171" s="8" t="s">
        <v>112</v>
      </c>
      <c r="U171" s="8" t="s">
        <v>112</v>
      </c>
      <c r="V171" s="8" t="s">
        <v>112</v>
      </c>
      <c r="W171" s="8" t="s">
        <v>112</v>
      </c>
    </row>
    <row r="172" spans="1:23" x14ac:dyDescent="0.35">
      <c r="A172" s="5" t="s">
        <v>64</v>
      </c>
      <c r="B172" s="4">
        <v>73</v>
      </c>
      <c r="C172" s="15">
        <v>0</v>
      </c>
      <c r="D172" s="17">
        <v>0</v>
      </c>
      <c r="E172" s="6">
        <v>0</v>
      </c>
      <c r="F172" s="6">
        <v>0.05</v>
      </c>
      <c r="G172" s="10">
        <v>2</v>
      </c>
      <c r="H172" s="7">
        <v>2004</v>
      </c>
      <c r="I172" s="13">
        <v>25.3</v>
      </c>
      <c r="J172" s="2">
        <f t="shared" si="7"/>
        <v>25300000</v>
      </c>
      <c r="K172" s="4">
        <v>13.6</v>
      </c>
      <c r="L172" s="4">
        <v>503.65</v>
      </c>
      <c r="M172" s="12">
        <f t="shared" si="6"/>
        <v>503650000</v>
      </c>
      <c r="N172" s="4">
        <v>532.70000000000005</v>
      </c>
      <c r="O172" s="4">
        <v>1.2</v>
      </c>
      <c r="P172" s="4" t="s">
        <v>123</v>
      </c>
      <c r="Q172" s="4">
        <v>1</v>
      </c>
      <c r="R172" s="18" t="s">
        <v>112</v>
      </c>
      <c r="S172" s="8" t="s">
        <v>112</v>
      </c>
      <c r="T172" s="8" t="s">
        <v>117</v>
      </c>
      <c r="U172" s="8" t="s">
        <v>117</v>
      </c>
      <c r="V172" s="8" t="s">
        <v>117</v>
      </c>
      <c r="W172" s="8" t="s">
        <v>117</v>
      </c>
    </row>
    <row r="173" spans="1:23" x14ac:dyDescent="0.35">
      <c r="A173" s="5" t="s">
        <v>65</v>
      </c>
      <c r="B173" s="4">
        <v>74</v>
      </c>
      <c r="C173" s="15">
        <v>0</v>
      </c>
      <c r="D173" s="17">
        <v>0</v>
      </c>
      <c r="E173" s="6">
        <v>0</v>
      </c>
      <c r="F173" s="6">
        <v>0.05</v>
      </c>
      <c r="G173" s="10">
        <v>2</v>
      </c>
      <c r="H173" s="7">
        <v>2004</v>
      </c>
      <c r="I173" s="13">
        <v>28.4</v>
      </c>
      <c r="J173" s="2">
        <f t="shared" si="7"/>
        <v>28400000</v>
      </c>
      <c r="K173" s="4">
        <v>16</v>
      </c>
      <c r="L173" s="4">
        <v>648.47500000000002</v>
      </c>
      <c r="M173" s="12">
        <f t="shared" si="6"/>
        <v>648475000</v>
      </c>
      <c r="N173" s="4">
        <v>515.6</v>
      </c>
      <c r="O173" s="4">
        <v>508.5</v>
      </c>
      <c r="P173" s="4" t="s">
        <v>123</v>
      </c>
      <c r="Q173" s="4">
        <v>1</v>
      </c>
      <c r="R173" s="18" t="s">
        <v>111</v>
      </c>
      <c r="S173" s="8" t="s">
        <v>116</v>
      </c>
      <c r="T173" s="8" t="s">
        <v>118</v>
      </c>
      <c r="U173" s="8" t="s">
        <v>119</v>
      </c>
      <c r="V173" s="8" t="s">
        <v>115</v>
      </c>
      <c r="W173" s="8" t="s">
        <v>119</v>
      </c>
    </row>
    <row r="174" spans="1:23" x14ac:dyDescent="0.35">
      <c r="A174" s="5" t="s">
        <v>87</v>
      </c>
      <c r="B174" s="4">
        <v>75</v>
      </c>
      <c r="C174" s="15">
        <v>0</v>
      </c>
      <c r="D174" s="17">
        <v>0</v>
      </c>
      <c r="E174" s="6"/>
      <c r="F174" s="6"/>
      <c r="G174" s="10">
        <v>2</v>
      </c>
      <c r="H174" s="7"/>
      <c r="J174" s="2">
        <f t="shared" si="7"/>
        <v>0</v>
      </c>
      <c r="M174" s="12">
        <f t="shared" si="6"/>
        <v>0</v>
      </c>
      <c r="R174" s="18" t="s">
        <v>133</v>
      </c>
      <c r="S174" s="8"/>
      <c r="T174" s="8"/>
      <c r="U174" s="8"/>
      <c r="V174" s="8"/>
      <c r="W174" s="8"/>
    </row>
    <row r="175" spans="1:23" x14ac:dyDescent="0.35">
      <c r="A175" s="5" t="s">
        <v>66</v>
      </c>
      <c r="B175" s="4">
        <v>76</v>
      </c>
      <c r="C175" s="15">
        <v>0</v>
      </c>
      <c r="D175" s="17">
        <v>0</v>
      </c>
      <c r="E175" s="6">
        <v>0</v>
      </c>
      <c r="F175" s="6">
        <v>0.05</v>
      </c>
      <c r="G175" s="10">
        <v>2</v>
      </c>
      <c r="H175" s="7">
        <v>2004</v>
      </c>
      <c r="I175" s="13">
        <v>22.4</v>
      </c>
      <c r="J175" s="2">
        <f t="shared" si="7"/>
        <v>22400000</v>
      </c>
      <c r="K175" s="4">
        <v>32.299999999999997</v>
      </c>
      <c r="L175" s="4">
        <v>375.49200000000002</v>
      </c>
      <c r="M175" s="12">
        <f t="shared" si="6"/>
        <v>375492000</v>
      </c>
      <c r="N175" s="4">
        <v>278.26</v>
      </c>
      <c r="O175" s="4">
        <v>81</v>
      </c>
      <c r="P175" s="4" t="s">
        <v>123</v>
      </c>
      <c r="Q175" s="4">
        <v>1</v>
      </c>
      <c r="R175" s="18" t="s">
        <v>120</v>
      </c>
      <c r="S175" s="8" t="s">
        <v>112</v>
      </c>
      <c r="T175" s="8" t="s">
        <v>111</v>
      </c>
      <c r="U175" s="8" t="s">
        <v>121</v>
      </c>
      <c r="V175" s="8" t="s">
        <v>122</v>
      </c>
      <c r="W175" s="8" t="s">
        <v>121</v>
      </c>
    </row>
    <row r="176" spans="1:23" x14ac:dyDescent="0.35">
      <c r="A176" s="5" t="s">
        <v>67</v>
      </c>
      <c r="B176" s="4">
        <v>77</v>
      </c>
      <c r="C176" s="15">
        <v>0</v>
      </c>
      <c r="D176" s="17">
        <v>0</v>
      </c>
      <c r="E176" s="6">
        <v>0</v>
      </c>
      <c r="F176" s="6">
        <v>0.05</v>
      </c>
      <c r="G176" s="10">
        <v>2</v>
      </c>
      <c r="H176" s="7">
        <v>2004</v>
      </c>
      <c r="I176" s="13">
        <v>22.5</v>
      </c>
      <c r="J176" s="2">
        <f t="shared" si="7"/>
        <v>22500000</v>
      </c>
      <c r="K176" s="4">
        <v>30.4</v>
      </c>
      <c r="L176" s="4">
        <v>262.72500000000002</v>
      </c>
      <c r="M176" s="12">
        <f t="shared" si="6"/>
        <v>262725000.00000003</v>
      </c>
      <c r="N176" s="4">
        <v>210.8</v>
      </c>
      <c r="O176" s="4">
        <v>12</v>
      </c>
      <c r="P176" s="4" t="s">
        <v>123</v>
      </c>
      <c r="Q176" s="4">
        <v>1</v>
      </c>
      <c r="R176" s="18" t="s">
        <v>111</v>
      </c>
      <c r="S176" s="8" t="s">
        <v>116</v>
      </c>
      <c r="T176" s="8" t="s">
        <v>119</v>
      </c>
      <c r="U176" s="8" t="s">
        <v>119</v>
      </c>
      <c r="V176" s="8" t="s">
        <v>118</v>
      </c>
      <c r="W176" s="8" t="s">
        <v>115</v>
      </c>
    </row>
    <row r="177" spans="1:23" x14ac:dyDescent="0.35">
      <c r="A177" s="5" t="s">
        <v>68</v>
      </c>
      <c r="B177" s="4">
        <v>78</v>
      </c>
      <c r="C177" s="15">
        <v>0</v>
      </c>
      <c r="D177" s="17">
        <v>0</v>
      </c>
      <c r="E177" s="6">
        <v>0</v>
      </c>
      <c r="F177" s="6">
        <v>0.05</v>
      </c>
      <c r="G177" s="10">
        <v>2</v>
      </c>
      <c r="H177" s="7">
        <v>2004</v>
      </c>
      <c r="I177" s="13">
        <v>20.6</v>
      </c>
      <c r="J177" s="2">
        <f t="shared" si="7"/>
        <v>20600000</v>
      </c>
      <c r="K177" s="4">
        <v>30.8</v>
      </c>
      <c r="L177" s="4">
        <v>4.95</v>
      </c>
      <c r="M177" s="12">
        <f t="shared" si="6"/>
        <v>4950000</v>
      </c>
      <c r="N177" s="4">
        <v>1.2</v>
      </c>
      <c r="O177" s="4">
        <v>233.5</v>
      </c>
      <c r="P177" s="4" t="s">
        <v>123</v>
      </c>
      <c r="Q177" s="4">
        <v>1</v>
      </c>
      <c r="R177" s="18" t="s">
        <v>117</v>
      </c>
      <c r="S177" s="8" t="s">
        <v>117</v>
      </c>
      <c r="T177" s="8" t="s">
        <v>115</v>
      </c>
      <c r="U177" s="8" t="s">
        <v>117</v>
      </c>
      <c r="V177" s="8" t="s">
        <v>115</v>
      </c>
      <c r="W177" s="8" t="s">
        <v>115</v>
      </c>
    </row>
    <row r="178" spans="1:23" x14ac:dyDescent="0.35">
      <c r="A178" s="5" t="s">
        <v>69</v>
      </c>
      <c r="B178" s="4">
        <v>79</v>
      </c>
      <c r="C178" s="15">
        <v>0</v>
      </c>
      <c r="D178" s="17">
        <v>0</v>
      </c>
      <c r="E178" s="6">
        <v>0</v>
      </c>
      <c r="F178" s="6">
        <v>0.05</v>
      </c>
      <c r="G178" s="10">
        <v>2</v>
      </c>
      <c r="H178" s="7">
        <v>2004</v>
      </c>
      <c r="I178" s="13">
        <v>19.2</v>
      </c>
      <c r="J178" s="2">
        <f t="shared" si="7"/>
        <v>19200000</v>
      </c>
      <c r="K178" s="4">
        <v>28.5</v>
      </c>
      <c r="L178" s="4">
        <v>381.67500000000001</v>
      </c>
      <c r="M178" s="12">
        <f t="shared" si="6"/>
        <v>381675000</v>
      </c>
      <c r="N178" s="4">
        <v>508.5</v>
      </c>
      <c r="O178" s="4">
        <v>0</v>
      </c>
      <c r="P178" s="4" t="s">
        <v>123</v>
      </c>
      <c r="Q178" s="4">
        <v>1</v>
      </c>
      <c r="R178" s="18" t="s">
        <v>112</v>
      </c>
      <c r="S178" s="8" t="s">
        <v>112</v>
      </c>
      <c r="T178" s="8" t="s">
        <v>117</v>
      </c>
      <c r="U178" s="8" t="s">
        <v>117</v>
      </c>
      <c r="V178" s="8" t="s">
        <v>117</v>
      </c>
      <c r="W178" s="8" t="s">
        <v>117</v>
      </c>
    </row>
    <row r="179" spans="1:23" x14ac:dyDescent="0.35">
      <c r="A179" s="5" t="s">
        <v>101</v>
      </c>
      <c r="B179" s="4">
        <v>80</v>
      </c>
      <c r="C179" s="15">
        <v>0</v>
      </c>
      <c r="D179" s="17">
        <v>0</v>
      </c>
      <c r="E179" s="6"/>
      <c r="F179" s="6"/>
      <c r="G179" s="10">
        <v>2</v>
      </c>
      <c r="H179" s="7"/>
      <c r="J179" s="2">
        <f t="shared" si="7"/>
        <v>0</v>
      </c>
      <c r="M179" s="12">
        <f t="shared" si="6"/>
        <v>0</v>
      </c>
      <c r="R179" s="18" t="s">
        <v>128</v>
      </c>
      <c r="S179" s="8"/>
      <c r="T179" s="8"/>
      <c r="U179" s="8"/>
      <c r="V179" s="8"/>
      <c r="W179" s="8"/>
    </row>
    <row r="180" spans="1:23" x14ac:dyDescent="0.35">
      <c r="A180" s="5" t="s">
        <v>70</v>
      </c>
      <c r="B180" s="4">
        <v>81</v>
      </c>
      <c r="C180" s="15">
        <v>0</v>
      </c>
      <c r="D180" s="17">
        <v>0</v>
      </c>
      <c r="E180" s="6">
        <v>0</v>
      </c>
      <c r="F180" s="6">
        <v>0.05</v>
      </c>
      <c r="G180" s="10">
        <v>2</v>
      </c>
      <c r="H180" s="7">
        <v>2004</v>
      </c>
      <c r="I180" s="13">
        <v>20</v>
      </c>
      <c r="J180" s="2">
        <f t="shared" si="7"/>
        <v>20000000</v>
      </c>
      <c r="K180" s="4">
        <v>34.4</v>
      </c>
      <c r="L180" s="4">
        <v>129.69999999999999</v>
      </c>
      <c r="M180" s="12">
        <f t="shared" si="6"/>
        <v>129699999.99999999</v>
      </c>
      <c r="N180" s="4">
        <v>81</v>
      </c>
      <c r="O180" s="4">
        <v>273.39999999999998</v>
      </c>
      <c r="P180" s="4" t="s">
        <v>123</v>
      </c>
      <c r="Q180" s="4">
        <v>1</v>
      </c>
      <c r="R180" s="18" t="s">
        <v>113</v>
      </c>
      <c r="S180" s="8" t="s">
        <v>117</v>
      </c>
      <c r="T180" s="8" t="s">
        <v>115</v>
      </c>
      <c r="U180" s="8" t="s">
        <v>113</v>
      </c>
      <c r="V180" s="8" t="s">
        <v>115</v>
      </c>
      <c r="W180" s="8" t="s">
        <v>115</v>
      </c>
    </row>
    <row r="181" spans="1:23" x14ac:dyDescent="0.35">
      <c r="A181" s="5" t="s">
        <v>71</v>
      </c>
      <c r="B181" s="4">
        <v>82</v>
      </c>
      <c r="C181" s="15">
        <v>0</v>
      </c>
      <c r="D181" s="17">
        <v>0</v>
      </c>
      <c r="E181" s="6">
        <v>0</v>
      </c>
      <c r="F181" s="6">
        <v>0.05</v>
      </c>
      <c r="G181" s="10">
        <v>2</v>
      </c>
      <c r="H181" s="7">
        <v>2004</v>
      </c>
      <c r="I181" s="13">
        <v>19</v>
      </c>
      <c r="J181" s="2">
        <f t="shared" si="7"/>
        <v>19000000</v>
      </c>
      <c r="K181" s="4">
        <v>33.799999999999997</v>
      </c>
      <c r="L181" s="4">
        <v>278.10000000000002</v>
      </c>
      <c r="M181" s="12">
        <f t="shared" si="6"/>
        <v>278100000</v>
      </c>
      <c r="N181" s="4">
        <v>224</v>
      </c>
      <c r="O181" s="4">
        <v>186.10000000000002</v>
      </c>
      <c r="P181" s="4" t="s">
        <v>123</v>
      </c>
      <c r="Q181" s="4">
        <v>1</v>
      </c>
      <c r="R181" s="18" t="s">
        <v>112</v>
      </c>
      <c r="S181" s="8" t="s">
        <v>114</v>
      </c>
      <c r="T181" s="8" t="s">
        <v>115</v>
      </c>
      <c r="U181" s="8" t="s">
        <v>115</v>
      </c>
      <c r="V181" s="8" t="s">
        <v>114</v>
      </c>
      <c r="W181" s="8" t="s">
        <v>114</v>
      </c>
    </row>
    <row r="182" spans="1:23" x14ac:dyDescent="0.35">
      <c r="A182" s="5" t="s">
        <v>72</v>
      </c>
      <c r="B182" s="4">
        <v>83</v>
      </c>
      <c r="C182" s="15">
        <v>0</v>
      </c>
      <c r="D182" s="17">
        <v>0</v>
      </c>
      <c r="E182" s="6">
        <v>0</v>
      </c>
      <c r="F182" s="6">
        <v>0.05</v>
      </c>
      <c r="G182" s="10">
        <v>2</v>
      </c>
      <c r="H182" s="7">
        <v>2004</v>
      </c>
      <c r="I182" s="13">
        <v>16.899999999999999</v>
      </c>
      <c r="J182" s="2">
        <f t="shared" si="7"/>
        <v>16900000</v>
      </c>
      <c r="K182" s="4">
        <v>30.5</v>
      </c>
      <c r="L182" s="4">
        <v>163.625</v>
      </c>
      <c r="M182" s="12">
        <f t="shared" si="6"/>
        <v>163625000</v>
      </c>
      <c r="N182" s="4">
        <v>233.5</v>
      </c>
      <c r="O182" s="4">
        <v>218</v>
      </c>
      <c r="P182" s="4" t="s">
        <v>123</v>
      </c>
      <c r="Q182" s="4">
        <v>1</v>
      </c>
      <c r="R182" s="18" t="s">
        <v>113</v>
      </c>
      <c r="S182" s="8" t="s">
        <v>114</v>
      </c>
      <c r="T182" s="8" t="s">
        <v>112</v>
      </c>
      <c r="U182" s="8" t="s">
        <v>112</v>
      </c>
      <c r="V182" s="8" t="s">
        <v>115</v>
      </c>
      <c r="W182" s="8" t="s">
        <v>115</v>
      </c>
    </row>
    <row r="183" spans="1:23" x14ac:dyDescent="0.35">
      <c r="A183" s="5" t="s">
        <v>73</v>
      </c>
      <c r="B183" s="4">
        <v>84</v>
      </c>
      <c r="C183" s="15">
        <v>0</v>
      </c>
      <c r="D183" s="17">
        <v>0</v>
      </c>
      <c r="E183" s="6">
        <v>0</v>
      </c>
      <c r="F183" s="6">
        <v>0.05</v>
      </c>
      <c r="G183" s="10">
        <v>2</v>
      </c>
      <c r="H183" s="7">
        <v>2004</v>
      </c>
      <c r="I183" s="13">
        <v>17.399999999999999</v>
      </c>
      <c r="J183" s="2">
        <f t="shared" si="7"/>
        <v>17400000</v>
      </c>
      <c r="K183" s="4">
        <v>35.799999999999997</v>
      </c>
      <c r="L183" s="4">
        <v>338.75</v>
      </c>
      <c r="M183" s="12">
        <f t="shared" si="6"/>
        <v>338750000</v>
      </c>
      <c r="N183" s="4">
        <v>292</v>
      </c>
      <c r="O183" s="4">
        <v>164</v>
      </c>
      <c r="P183" s="4" t="s">
        <v>123</v>
      </c>
      <c r="Q183" s="4">
        <v>1</v>
      </c>
      <c r="R183" s="18" t="s">
        <v>117</v>
      </c>
      <c r="S183" s="8" t="s">
        <v>117</v>
      </c>
      <c r="T183" s="8" t="s">
        <v>115</v>
      </c>
      <c r="U183" s="8" t="s">
        <v>115</v>
      </c>
      <c r="V183" s="8" t="s">
        <v>115</v>
      </c>
      <c r="W183" s="8" t="s">
        <v>117</v>
      </c>
    </row>
    <row r="184" spans="1:23" x14ac:dyDescent="0.35">
      <c r="A184" s="5" t="s">
        <v>74</v>
      </c>
      <c r="B184" s="4">
        <v>85</v>
      </c>
      <c r="C184" s="15">
        <v>0</v>
      </c>
      <c r="D184" s="17">
        <v>0</v>
      </c>
      <c r="E184" s="6">
        <v>0</v>
      </c>
      <c r="F184" s="6">
        <v>0.05</v>
      </c>
      <c r="G184" s="10">
        <v>2</v>
      </c>
      <c r="H184" s="7">
        <v>2004</v>
      </c>
      <c r="I184" s="13">
        <v>20.2</v>
      </c>
      <c r="J184" s="2">
        <f t="shared" si="7"/>
        <v>20200000</v>
      </c>
      <c r="K184" s="4">
        <v>36.1</v>
      </c>
      <c r="L184" s="4">
        <v>212.82499999999999</v>
      </c>
      <c r="M184" s="12">
        <f t="shared" si="6"/>
        <v>212825000</v>
      </c>
      <c r="N184" s="4">
        <v>273.39999999999998</v>
      </c>
      <c r="O184" s="4">
        <v>193</v>
      </c>
      <c r="P184" s="4" t="s">
        <v>123</v>
      </c>
      <c r="Q184" s="4">
        <v>1</v>
      </c>
      <c r="R184" s="18" t="s">
        <v>113</v>
      </c>
      <c r="S184" s="8" t="s">
        <v>116</v>
      </c>
      <c r="T184" s="8" t="s">
        <v>114</v>
      </c>
      <c r="U184" s="8" t="s">
        <v>116</v>
      </c>
      <c r="V184" s="8" t="s">
        <v>116</v>
      </c>
      <c r="W184" s="8" t="s">
        <v>115</v>
      </c>
    </row>
    <row r="185" spans="1:23" x14ac:dyDescent="0.35">
      <c r="A185" s="5" t="s">
        <v>75</v>
      </c>
      <c r="B185" s="4">
        <v>86</v>
      </c>
      <c r="C185" s="15">
        <v>0</v>
      </c>
      <c r="D185" s="17">
        <v>0</v>
      </c>
      <c r="E185" s="6">
        <v>0</v>
      </c>
      <c r="F185" s="6">
        <v>0.05</v>
      </c>
      <c r="G185" s="10">
        <v>2</v>
      </c>
      <c r="H185" s="7">
        <v>2004</v>
      </c>
      <c r="I185" s="13">
        <v>18.8</v>
      </c>
      <c r="J185" s="2">
        <f t="shared" si="7"/>
        <v>18800000</v>
      </c>
      <c r="K185" s="4">
        <v>34.200000000000003</v>
      </c>
      <c r="L185" s="4">
        <v>509.55</v>
      </c>
      <c r="M185" s="12">
        <f t="shared" si="6"/>
        <v>509550000</v>
      </c>
      <c r="N185" s="4">
        <v>466.1</v>
      </c>
      <c r="O185" s="4">
        <v>68.8</v>
      </c>
      <c r="P185" s="4" t="s">
        <v>123</v>
      </c>
      <c r="Q185" s="4">
        <v>1</v>
      </c>
      <c r="R185" s="18" t="s">
        <v>112</v>
      </c>
      <c r="S185" s="8" t="s">
        <v>116</v>
      </c>
      <c r="T185" s="8" t="s">
        <v>117</v>
      </c>
      <c r="U185" s="8" t="s">
        <v>115</v>
      </c>
      <c r="V185" s="8" t="s">
        <v>114</v>
      </c>
      <c r="W185" s="8" t="s">
        <v>117</v>
      </c>
    </row>
    <row r="186" spans="1:23" x14ac:dyDescent="0.35">
      <c r="A186" s="5" t="s">
        <v>76</v>
      </c>
      <c r="B186" s="4">
        <v>87</v>
      </c>
      <c r="C186" s="15">
        <v>0</v>
      </c>
      <c r="D186" s="17">
        <v>0</v>
      </c>
      <c r="E186" s="6">
        <v>0</v>
      </c>
      <c r="F186" s="6">
        <v>0.05</v>
      </c>
      <c r="G186" s="10">
        <v>2</v>
      </c>
      <c r="H186" s="7">
        <v>2004</v>
      </c>
      <c r="I186" s="13">
        <v>18.2</v>
      </c>
      <c r="J186" s="2">
        <f t="shared" si="7"/>
        <v>18200000</v>
      </c>
      <c r="K186" s="4">
        <v>31</v>
      </c>
      <c r="L186" s="4">
        <v>239.15</v>
      </c>
      <c r="M186" s="12">
        <f t="shared" si="6"/>
        <v>239150000</v>
      </c>
      <c r="N186" s="4">
        <v>218</v>
      </c>
      <c r="O186" s="4">
        <v>102</v>
      </c>
      <c r="P186" s="4" t="s">
        <v>123</v>
      </c>
      <c r="Q186" s="4">
        <v>1</v>
      </c>
      <c r="R186" s="18" t="s">
        <v>117</v>
      </c>
      <c r="S186" s="8" t="s">
        <v>117</v>
      </c>
      <c r="T186" s="8" t="s">
        <v>117</v>
      </c>
      <c r="U186" s="8" t="s">
        <v>115</v>
      </c>
      <c r="V186" s="8" t="s">
        <v>115</v>
      </c>
      <c r="W186" s="8" t="s">
        <v>115</v>
      </c>
    </row>
    <row r="187" spans="1:23" x14ac:dyDescent="0.35">
      <c r="A187" s="5" t="s">
        <v>77</v>
      </c>
      <c r="B187" s="4">
        <v>88</v>
      </c>
      <c r="C187" s="15">
        <v>0</v>
      </c>
      <c r="D187" s="17">
        <v>0</v>
      </c>
      <c r="E187" s="6">
        <v>0</v>
      </c>
      <c r="F187" s="6">
        <v>0.05</v>
      </c>
      <c r="G187" s="10">
        <v>2</v>
      </c>
      <c r="H187" s="7">
        <v>2004</v>
      </c>
      <c r="I187" s="13">
        <v>18</v>
      </c>
      <c r="J187" s="2">
        <f t="shared" si="7"/>
        <v>18000000</v>
      </c>
      <c r="K187" s="4">
        <v>37.1</v>
      </c>
      <c r="L187" s="4">
        <v>192</v>
      </c>
      <c r="M187" s="12">
        <f t="shared" si="6"/>
        <v>192000000</v>
      </c>
      <c r="N187" s="4">
        <v>164</v>
      </c>
      <c r="O187" s="4">
        <v>39.299999999999997</v>
      </c>
      <c r="P187" s="4" t="s">
        <v>123</v>
      </c>
      <c r="Q187" s="4">
        <v>1</v>
      </c>
      <c r="R187" s="18" t="s">
        <v>117</v>
      </c>
      <c r="S187" s="8" t="s">
        <v>117</v>
      </c>
      <c r="T187" s="8" t="s">
        <v>115</v>
      </c>
      <c r="U187" s="8" t="s">
        <v>115</v>
      </c>
      <c r="V187" s="8" t="s">
        <v>117</v>
      </c>
      <c r="W187" s="8" t="s">
        <v>115</v>
      </c>
    </row>
    <row r="188" spans="1:23" x14ac:dyDescent="0.35">
      <c r="A188" s="5" t="s">
        <v>78</v>
      </c>
      <c r="B188" s="4">
        <v>89</v>
      </c>
      <c r="C188" s="15">
        <v>0</v>
      </c>
      <c r="D188" s="17">
        <v>0</v>
      </c>
      <c r="E188" s="6">
        <v>0</v>
      </c>
      <c r="F188" s="6">
        <v>0.05</v>
      </c>
      <c r="G188" s="10">
        <v>2</v>
      </c>
      <c r="H188" s="7">
        <v>2004</v>
      </c>
      <c r="I188" s="13">
        <v>18.899999999999999</v>
      </c>
      <c r="J188" s="2">
        <f t="shared" si="7"/>
        <v>18900000</v>
      </c>
      <c r="K188" s="4">
        <v>36.700000000000003</v>
      </c>
      <c r="L188" s="4">
        <v>182.72499999999999</v>
      </c>
      <c r="M188" s="12">
        <f t="shared" si="6"/>
        <v>182725000</v>
      </c>
      <c r="N188" s="4">
        <v>193</v>
      </c>
      <c r="O188" s="4">
        <v>115.60000000000002</v>
      </c>
      <c r="P188" s="4" t="s">
        <v>123</v>
      </c>
      <c r="Q188" s="4">
        <v>1</v>
      </c>
      <c r="R188" s="18" t="s">
        <v>114</v>
      </c>
      <c r="S188" s="8" t="s">
        <v>117</v>
      </c>
      <c r="T188" s="8" t="s">
        <v>115</v>
      </c>
      <c r="U188" s="8" t="s">
        <v>114</v>
      </c>
      <c r="V188" s="8" t="s">
        <v>115</v>
      </c>
      <c r="W188" s="8" t="s">
        <v>115</v>
      </c>
    </row>
    <row r="189" spans="1:23" x14ac:dyDescent="0.35">
      <c r="A189" s="5" t="s">
        <v>79</v>
      </c>
      <c r="B189" s="4">
        <v>90</v>
      </c>
      <c r="C189" s="15">
        <v>0</v>
      </c>
      <c r="D189" s="17">
        <v>0</v>
      </c>
      <c r="E189" s="6">
        <v>0</v>
      </c>
      <c r="F189" s="6">
        <v>0.05</v>
      </c>
      <c r="G189" s="10">
        <v>2</v>
      </c>
      <c r="H189" s="7">
        <v>2004</v>
      </c>
      <c r="I189" s="13">
        <v>19.600000000000001</v>
      </c>
      <c r="J189" s="2">
        <f t="shared" si="7"/>
        <v>19600000</v>
      </c>
      <c r="K189" s="4">
        <v>35.1</v>
      </c>
      <c r="L189" s="4">
        <v>115.5</v>
      </c>
      <c r="M189" s="12">
        <f t="shared" si="6"/>
        <v>115500000</v>
      </c>
      <c r="N189" s="4">
        <v>75</v>
      </c>
      <c r="O189" s="4">
        <v>3.2000000000000011</v>
      </c>
      <c r="P189" s="4" t="s">
        <v>123</v>
      </c>
      <c r="Q189" s="4">
        <v>1</v>
      </c>
      <c r="R189" s="18" t="s">
        <v>114</v>
      </c>
      <c r="S189" s="8" t="s">
        <v>114</v>
      </c>
      <c r="T189" s="8" t="s">
        <v>115</v>
      </c>
      <c r="U189" s="8" t="s">
        <v>117</v>
      </c>
      <c r="V189" s="8" t="s">
        <v>115</v>
      </c>
      <c r="W189" s="8" t="s">
        <v>117</v>
      </c>
    </row>
    <row r="190" spans="1:23" x14ac:dyDescent="0.35">
      <c r="A190" s="5" t="s">
        <v>80</v>
      </c>
      <c r="B190" s="4">
        <v>91</v>
      </c>
      <c r="C190" s="15">
        <v>0</v>
      </c>
      <c r="D190" s="17">
        <v>0</v>
      </c>
      <c r="E190" s="6">
        <v>0</v>
      </c>
      <c r="F190" s="6">
        <v>0.05</v>
      </c>
      <c r="G190" s="10">
        <v>2</v>
      </c>
      <c r="H190" s="7">
        <v>2004</v>
      </c>
      <c r="I190" s="13">
        <v>17.899999999999999</v>
      </c>
      <c r="J190" s="2">
        <f t="shared" si="7"/>
        <v>17900000</v>
      </c>
      <c r="K190" s="4">
        <v>30.4</v>
      </c>
      <c r="L190" s="4">
        <v>219.625</v>
      </c>
      <c r="M190" s="12">
        <f t="shared" si="6"/>
        <v>219625000</v>
      </c>
      <c r="N190" s="4">
        <v>102</v>
      </c>
      <c r="O190" s="4">
        <v>10.699999999999932</v>
      </c>
      <c r="P190" s="4" t="s">
        <v>123</v>
      </c>
      <c r="Q190" s="4">
        <v>1</v>
      </c>
      <c r="R190" s="18" t="s">
        <v>113</v>
      </c>
      <c r="S190" s="8" t="s">
        <v>112</v>
      </c>
      <c r="T190" s="8" t="s">
        <v>114</v>
      </c>
      <c r="U190" s="8" t="s">
        <v>114</v>
      </c>
      <c r="V190" s="8" t="s">
        <v>114</v>
      </c>
      <c r="W190" s="8" t="s">
        <v>114</v>
      </c>
    </row>
    <row r="191" spans="1:23" x14ac:dyDescent="0.35">
      <c r="A191" s="5" t="s">
        <v>81</v>
      </c>
      <c r="B191" s="4">
        <v>92</v>
      </c>
      <c r="C191" s="15">
        <v>0</v>
      </c>
      <c r="D191" s="17">
        <v>0</v>
      </c>
      <c r="E191" s="6">
        <v>0</v>
      </c>
      <c r="F191" s="6">
        <v>0.05</v>
      </c>
      <c r="G191" s="10">
        <v>2</v>
      </c>
      <c r="H191" s="7">
        <v>2004</v>
      </c>
      <c r="I191" s="13">
        <v>15.8</v>
      </c>
      <c r="J191" s="2">
        <f t="shared" si="7"/>
        <v>15800000</v>
      </c>
      <c r="K191" s="4">
        <v>37.9</v>
      </c>
      <c r="L191" s="4">
        <v>33.375</v>
      </c>
      <c r="M191" s="12">
        <f t="shared" si="6"/>
        <v>33375000</v>
      </c>
      <c r="N191" s="4">
        <v>39.299999999999997</v>
      </c>
      <c r="O191" s="4">
        <v>1178</v>
      </c>
      <c r="P191" s="4" t="s">
        <v>123</v>
      </c>
      <c r="Q191" s="4">
        <v>1</v>
      </c>
      <c r="R191" s="18" t="s">
        <v>114</v>
      </c>
      <c r="S191" s="8" t="s">
        <v>117</v>
      </c>
      <c r="T191" s="8" t="s">
        <v>115</v>
      </c>
      <c r="U191" s="8" t="s">
        <v>115</v>
      </c>
      <c r="V191" s="8" t="s">
        <v>114</v>
      </c>
      <c r="W191" s="8" t="s">
        <v>115</v>
      </c>
    </row>
    <row r="192" spans="1:23" x14ac:dyDescent="0.35">
      <c r="A192" s="5" t="s">
        <v>82</v>
      </c>
      <c r="B192" s="4">
        <v>93</v>
      </c>
      <c r="C192" s="15">
        <v>0</v>
      </c>
      <c r="D192" s="17">
        <v>0</v>
      </c>
      <c r="E192" s="6">
        <v>0</v>
      </c>
      <c r="F192" s="6">
        <v>0.05</v>
      </c>
      <c r="G192" s="10">
        <v>2</v>
      </c>
      <c r="H192" s="7">
        <v>2004</v>
      </c>
      <c r="I192" s="13">
        <v>25</v>
      </c>
      <c r="J192" s="2">
        <f t="shared" si="7"/>
        <v>25000000</v>
      </c>
      <c r="K192" s="4">
        <v>27.9</v>
      </c>
      <c r="L192" s="4">
        <v>483.45</v>
      </c>
      <c r="M192" s="12">
        <f t="shared" si="6"/>
        <v>483450000</v>
      </c>
      <c r="N192" s="4">
        <v>678.5</v>
      </c>
      <c r="O192" s="4">
        <v>278.89999999999998</v>
      </c>
      <c r="P192" s="4" t="s">
        <v>123</v>
      </c>
      <c r="Q192" s="4">
        <v>1</v>
      </c>
      <c r="R192" s="18" t="s">
        <v>111</v>
      </c>
      <c r="S192" s="8" t="s">
        <v>112</v>
      </c>
      <c r="T192" s="8" t="s">
        <v>112</v>
      </c>
      <c r="U192" s="8" t="s">
        <v>112</v>
      </c>
      <c r="V192" s="8" t="s">
        <v>112</v>
      </c>
      <c r="W192" s="8" t="s">
        <v>112</v>
      </c>
    </row>
    <row r="193" spans="1:23" x14ac:dyDescent="0.35">
      <c r="A193" s="5" t="s">
        <v>89</v>
      </c>
      <c r="B193" s="4">
        <v>94</v>
      </c>
      <c r="C193" s="15">
        <v>0</v>
      </c>
      <c r="D193" s="17">
        <v>0</v>
      </c>
      <c r="E193" s="6"/>
      <c r="F193" s="6"/>
      <c r="G193" s="10">
        <v>2</v>
      </c>
      <c r="H193" s="7"/>
      <c r="J193" s="2">
        <f t="shared" si="7"/>
        <v>0</v>
      </c>
      <c r="M193" s="12">
        <f t="shared" si="6"/>
        <v>0</v>
      </c>
      <c r="R193" s="18" t="s">
        <v>129</v>
      </c>
      <c r="S193" s="8"/>
      <c r="T193" s="8"/>
      <c r="U193" s="8"/>
      <c r="V193" s="8"/>
      <c r="W193" s="8"/>
    </row>
    <row r="194" spans="1:23" x14ac:dyDescent="0.35">
      <c r="A194" s="5" t="s">
        <v>83</v>
      </c>
      <c r="B194" s="4">
        <v>95</v>
      </c>
      <c r="C194" s="15">
        <v>0</v>
      </c>
      <c r="D194" s="17">
        <v>0</v>
      </c>
      <c r="E194" s="6">
        <v>0</v>
      </c>
      <c r="F194" s="6">
        <v>0.05</v>
      </c>
      <c r="G194" s="10">
        <v>2</v>
      </c>
      <c r="H194" s="7">
        <v>2004</v>
      </c>
      <c r="I194" s="13">
        <v>15.8</v>
      </c>
      <c r="J194" s="2">
        <f t="shared" si="7"/>
        <v>15800000</v>
      </c>
      <c r="K194" s="4">
        <v>31.1</v>
      </c>
      <c r="L194" s="4">
        <v>264.875</v>
      </c>
      <c r="M194" s="12">
        <f t="shared" si="6"/>
        <v>264875000</v>
      </c>
      <c r="N194" s="4">
        <v>12.3</v>
      </c>
      <c r="O194" s="4">
        <v>302</v>
      </c>
      <c r="P194" s="4" t="s">
        <v>123</v>
      </c>
      <c r="Q194" s="4">
        <v>1</v>
      </c>
      <c r="R194" s="18" t="s">
        <v>111</v>
      </c>
      <c r="S194" s="8" t="s">
        <v>114</v>
      </c>
      <c r="T194" s="8" t="s">
        <v>115</v>
      </c>
      <c r="U194" s="8" t="s">
        <v>115</v>
      </c>
      <c r="V194" s="8" t="s">
        <v>113</v>
      </c>
      <c r="W194" s="8" t="s">
        <v>113</v>
      </c>
    </row>
    <row r="195" spans="1:23" x14ac:dyDescent="0.35">
      <c r="A195" s="5" t="s">
        <v>84</v>
      </c>
      <c r="B195" s="4">
        <v>96</v>
      </c>
      <c r="C195" s="15">
        <v>0</v>
      </c>
      <c r="D195" s="17">
        <v>0</v>
      </c>
      <c r="E195" s="6">
        <v>0</v>
      </c>
      <c r="F195" s="6">
        <v>0.05</v>
      </c>
      <c r="G195" s="10">
        <v>2</v>
      </c>
      <c r="H195" s="7">
        <v>2004</v>
      </c>
      <c r="I195" s="13">
        <v>15.1</v>
      </c>
      <c r="J195" s="2">
        <f t="shared" si="7"/>
        <v>15100000</v>
      </c>
      <c r="K195" s="4">
        <v>38</v>
      </c>
      <c r="L195" s="4">
        <v>496.17500000000001</v>
      </c>
      <c r="M195" s="12">
        <f t="shared" si="6"/>
        <v>496175000</v>
      </c>
      <c r="N195" s="4">
        <v>680.3</v>
      </c>
      <c r="O195" s="4">
        <v>232.40000000000003</v>
      </c>
      <c r="P195" s="4" t="s">
        <v>123</v>
      </c>
      <c r="Q195" s="4">
        <v>1</v>
      </c>
      <c r="R195" s="18" t="s">
        <v>114</v>
      </c>
      <c r="S195" s="8" t="s">
        <v>114</v>
      </c>
      <c r="T195" s="8" t="s">
        <v>115</v>
      </c>
      <c r="U195" s="8" t="s">
        <v>115</v>
      </c>
      <c r="V195" s="8" t="s">
        <v>117</v>
      </c>
      <c r="W195" s="8" t="s">
        <v>117</v>
      </c>
    </row>
    <row r="196" spans="1:23" x14ac:dyDescent="0.35">
      <c r="A196" s="5" t="s">
        <v>85</v>
      </c>
      <c r="B196" s="4">
        <v>97</v>
      </c>
      <c r="C196" s="15">
        <v>0</v>
      </c>
      <c r="D196" s="17">
        <v>0</v>
      </c>
      <c r="E196" s="6">
        <v>0</v>
      </c>
      <c r="F196" s="6">
        <v>0.05</v>
      </c>
      <c r="G196" s="10">
        <v>2</v>
      </c>
      <c r="H196" s="7">
        <v>2004</v>
      </c>
      <c r="I196" s="13">
        <v>17.2</v>
      </c>
      <c r="J196" s="2">
        <f t="shared" si="7"/>
        <v>17200000</v>
      </c>
      <c r="K196" s="4">
        <v>34.200000000000003</v>
      </c>
      <c r="L196" s="4">
        <v>673.8</v>
      </c>
      <c r="M196" s="12">
        <f t="shared" si="6"/>
        <v>673800000</v>
      </c>
      <c r="N196" s="4">
        <v>1178</v>
      </c>
      <c r="O196" s="4">
        <v>568.79999999999995</v>
      </c>
      <c r="P196" s="4" t="s">
        <v>123</v>
      </c>
      <c r="Q196" s="4">
        <v>1</v>
      </c>
      <c r="R196" s="18" t="s">
        <v>112</v>
      </c>
      <c r="S196" s="8" t="s">
        <v>117</v>
      </c>
      <c r="T196" s="8" t="s">
        <v>115</v>
      </c>
      <c r="U196" s="8" t="s">
        <v>115</v>
      </c>
      <c r="V196" s="8" t="s">
        <v>112</v>
      </c>
      <c r="W196" s="8" t="s">
        <v>115</v>
      </c>
    </row>
    <row r="197" spans="1:23" x14ac:dyDescent="0.35">
      <c r="A197" s="5" t="s">
        <v>93</v>
      </c>
      <c r="B197" s="4">
        <v>98</v>
      </c>
      <c r="C197" s="15">
        <v>0</v>
      </c>
      <c r="D197" s="17">
        <v>0</v>
      </c>
      <c r="E197" s="6"/>
      <c r="F197" s="6"/>
      <c r="G197" s="10">
        <v>2</v>
      </c>
      <c r="H197" s="7"/>
      <c r="J197" s="2">
        <f t="shared" si="7"/>
        <v>0</v>
      </c>
      <c r="M197" s="12">
        <f t="shared" ref="M197:M260" si="8">L197*1000000</f>
        <v>0</v>
      </c>
      <c r="R197" s="18" t="s">
        <v>132</v>
      </c>
      <c r="S197" s="8"/>
      <c r="T197" s="8"/>
      <c r="U197" s="8"/>
      <c r="V197" s="8"/>
      <c r="W197" s="8"/>
    </row>
    <row r="198" spans="1:23" x14ac:dyDescent="0.35">
      <c r="A198" s="3" t="s">
        <v>90</v>
      </c>
      <c r="B198" s="4">
        <v>1</v>
      </c>
      <c r="C198" s="15">
        <v>0</v>
      </c>
      <c r="D198" s="17">
        <v>0</v>
      </c>
      <c r="G198" s="9">
        <v>3</v>
      </c>
      <c r="J198" s="2">
        <f t="shared" ref="J198:J261" si="9">I198*1000000</f>
        <v>0</v>
      </c>
      <c r="M198" s="12">
        <f t="shared" si="8"/>
        <v>0</v>
      </c>
      <c r="R198" s="12" t="s">
        <v>125</v>
      </c>
    </row>
    <row r="199" spans="1:23" x14ac:dyDescent="0.35">
      <c r="A199" s="3" t="s">
        <v>91</v>
      </c>
      <c r="B199" s="4">
        <v>2</v>
      </c>
      <c r="C199" s="15">
        <v>0</v>
      </c>
      <c r="D199" s="17">
        <v>0</v>
      </c>
      <c r="G199" s="9">
        <v>3</v>
      </c>
      <c r="J199" s="2">
        <f t="shared" si="9"/>
        <v>0</v>
      </c>
      <c r="M199" s="12">
        <f t="shared" si="8"/>
        <v>0</v>
      </c>
      <c r="R199" s="12" t="s">
        <v>126</v>
      </c>
    </row>
    <row r="200" spans="1:23" x14ac:dyDescent="0.35">
      <c r="A200" s="5" t="s">
        <v>4</v>
      </c>
      <c r="B200" s="4">
        <v>3</v>
      </c>
      <c r="C200" s="15">
        <v>0</v>
      </c>
      <c r="D200" s="17">
        <v>0</v>
      </c>
      <c r="E200" s="6">
        <v>0</v>
      </c>
      <c r="F200" s="6">
        <v>0.05</v>
      </c>
      <c r="G200" s="9">
        <v>3</v>
      </c>
      <c r="H200" s="7">
        <v>2006</v>
      </c>
      <c r="I200" s="13">
        <v>20.8</v>
      </c>
      <c r="J200" s="2">
        <f t="shared" si="9"/>
        <v>20800000</v>
      </c>
      <c r="K200" s="4">
        <v>7</v>
      </c>
      <c r="L200" s="4">
        <v>479.05500000000001</v>
      </c>
      <c r="M200" s="12">
        <f t="shared" si="8"/>
        <v>479055000</v>
      </c>
      <c r="N200" s="4">
        <v>420.49</v>
      </c>
      <c r="O200" s="4">
        <v>183.79000000000002</v>
      </c>
      <c r="P200" s="4" t="s">
        <v>124</v>
      </c>
      <c r="Q200" s="4">
        <v>1</v>
      </c>
      <c r="R200" s="18" t="s">
        <v>111</v>
      </c>
      <c r="S200" s="8" t="s">
        <v>112</v>
      </c>
      <c r="T200" s="8" t="s">
        <v>112</v>
      </c>
      <c r="U200" s="8" t="s">
        <v>112</v>
      </c>
      <c r="V200" s="8" t="s">
        <v>112</v>
      </c>
      <c r="W200" s="8" t="s">
        <v>112</v>
      </c>
    </row>
    <row r="201" spans="1:23" x14ac:dyDescent="0.35">
      <c r="A201" s="5" t="s">
        <v>5</v>
      </c>
      <c r="B201" s="4">
        <v>4</v>
      </c>
      <c r="C201" s="15">
        <v>0</v>
      </c>
      <c r="D201" s="17">
        <v>0</v>
      </c>
      <c r="E201" s="6">
        <v>0</v>
      </c>
      <c r="F201" s="6">
        <v>0.05</v>
      </c>
      <c r="G201" s="9">
        <v>3</v>
      </c>
      <c r="H201" s="7">
        <v>2006</v>
      </c>
      <c r="I201" s="13">
        <v>20.5</v>
      </c>
      <c r="J201" s="2">
        <f t="shared" si="9"/>
        <v>20500000</v>
      </c>
      <c r="K201" s="4">
        <v>5.8</v>
      </c>
      <c r="L201" s="4">
        <v>220.69800000000001</v>
      </c>
      <c r="M201" s="12">
        <f t="shared" si="8"/>
        <v>220698000</v>
      </c>
      <c r="N201" s="4">
        <v>258.89999999999998</v>
      </c>
      <c r="O201" s="4">
        <v>258.89999999999998</v>
      </c>
      <c r="P201" s="4" t="s">
        <v>124</v>
      </c>
      <c r="Q201" s="4">
        <v>1</v>
      </c>
      <c r="R201" s="18" t="s">
        <v>113</v>
      </c>
      <c r="S201" s="8" t="s">
        <v>114</v>
      </c>
      <c r="T201" s="8" t="s">
        <v>112</v>
      </c>
      <c r="U201" s="8" t="s">
        <v>115</v>
      </c>
      <c r="V201" s="8" t="s">
        <v>112</v>
      </c>
      <c r="W201" s="8" t="s">
        <v>115</v>
      </c>
    </row>
    <row r="202" spans="1:23" x14ac:dyDescent="0.35">
      <c r="A202" s="5" t="s">
        <v>6</v>
      </c>
      <c r="B202" s="4">
        <v>5</v>
      </c>
      <c r="C202" s="15">
        <v>0</v>
      </c>
      <c r="D202" s="17">
        <v>0</v>
      </c>
      <c r="E202" s="6">
        <v>0</v>
      </c>
      <c r="F202" s="6">
        <v>0.05</v>
      </c>
      <c r="G202" s="9">
        <v>3</v>
      </c>
      <c r="H202" s="7">
        <v>2006</v>
      </c>
      <c r="I202" s="13">
        <v>15</v>
      </c>
      <c r="J202" s="2">
        <f t="shared" si="9"/>
        <v>15000000</v>
      </c>
      <c r="K202" s="4">
        <v>6.2</v>
      </c>
      <c r="L202" s="4">
        <v>442.13200000000001</v>
      </c>
      <c r="M202" s="12">
        <f t="shared" si="8"/>
        <v>442132000</v>
      </c>
      <c r="N202" s="4">
        <v>601.98</v>
      </c>
      <c r="O202" s="4">
        <v>323.23</v>
      </c>
      <c r="P202" s="4" t="s">
        <v>124</v>
      </c>
      <c r="Q202" s="4">
        <v>1</v>
      </c>
      <c r="R202" s="18" t="s">
        <v>113</v>
      </c>
      <c r="S202" s="8" t="s">
        <v>116</v>
      </c>
      <c r="T202" s="8" t="s">
        <v>116</v>
      </c>
      <c r="U202" s="8" t="s">
        <v>116</v>
      </c>
      <c r="V202" s="8" t="s">
        <v>115</v>
      </c>
      <c r="W202" s="8" t="s">
        <v>114</v>
      </c>
    </row>
    <row r="203" spans="1:23" x14ac:dyDescent="0.35">
      <c r="A203" s="5" t="s">
        <v>7</v>
      </c>
      <c r="B203" s="4">
        <v>6</v>
      </c>
      <c r="C203" s="15">
        <v>0</v>
      </c>
      <c r="D203" s="17">
        <v>0</v>
      </c>
      <c r="E203" s="6">
        <v>0</v>
      </c>
      <c r="F203" s="6">
        <v>0.05</v>
      </c>
      <c r="G203" s="9">
        <v>3</v>
      </c>
      <c r="H203" s="7">
        <v>2006</v>
      </c>
      <c r="I203" s="13">
        <v>17.600000000000001</v>
      </c>
      <c r="J203" s="2">
        <f t="shared" si="9"/>
        <v>17600000</v>
      </c>
      <c r="K203" s="4">
        <v>6.1</v>
      </c>
      <c r="L203" s="4">
        <v>826.67499999999995</v>
      </c>
      <c r="M203" s="12">
        <f t="shared" si="8"/>
        <v>826675000</v>
      </c>
      <c r="N203" s="4">
        <v>345.5</v>
      </c>
      <c r="O203" s="4">
        <v>265.60000000000002</v>
      </c>
      <c r="P203" s="4" t="s">
        <v>124</v>
      </c>
      <c r="Q203" s="4">
        <v>1</v>
      </c>
      <c r="R203" s="18" t="s">
        <v>112</v>
      </c>
      <c r="S203" s="8" t="s">
        <v>112</v>
      </c>
      <c r="T203" s="8" t="s">
        <v>117</v>
      </c>
      <c r="U203" s="8" t="s">
        <v>117</v>
      </c>
      <c r="V203" s="8" t="s">
        <v>117</v>
      </c>
      <c r="W203" s="8" t="s">
        <v>117</v>
      </c>
    </row>
    <row r="204" spans="1:23" x14ac:dyDescent="0.35">
      <c r="A204" s="5" t="s">
        <v>8</v>
      </c>
      <c r="B204" s="4">
        <v>7</v>
      </c>
      <c r="C204" s="15">
        <v>0</v>
      </c>
      <c r="D204" s="17">
        <v>0</v>
      </c>
      <c r="E204" s="6">
        <v>0</v>
      </c>
      <c r="F204" s="6">
        <v>0.05</v>
      </c>
      <c r="G204" s="9">
        <v>3</v>
      </c>
      <c r="H204" s="7">
        <v>2006</v>
      </c>
      <c r="I204" s="13">
        <v>19.100000000000001</v>
      </c>
      <c r="J204" s="2">
        <f t="shared" si="9"/>
        <v>19100000</v>
      </c>
      <c r="K204" s="4">
        <v>6.3</v>
      </c>
      <c r="L204" s="4">
        <v>989.05</v>
      </c>
      <c r="M204" s="12">
        <f t="shared" si="8"/>
        <v>989050000</v>
      </c>
      <c r="N204" s="4">
        <v>2093.8000000000002</v>
      </c>
      <c r="O204" s="4">
        <v>0</v>
      </c>
      <c r="P204" s="4" t="s">
        <v>124</v>
      </c>
      <c r="Q204" s="4">
        <v>1</v>
      </c>
      <c r="R204" s="18" t="s">
        <v>114</v>
      </c>
      <c r="S204" s="8" t="s">
        <v>117</v>
      </c>
      <c r="T204" s="8" t="s">
        <v>115</v>
      </c>
      <c r="U204" s="8" t="s">
        <v>115</v>
      </c>
      <c r="V204" s="8" t="s">
        <v>115</v>
      </c>
      <c r="W204" s="8" t="s">
        <v>114</v>
      </c>
    </row>
    <row r="205" spans="1:23" x14ac:dyDescent="0.35">
      <c r="A205" s="5" t="s">
        <v>9</v>
      </c>
      <c r="B205" s="4">
        <v>8</v>
      </c>
      <c r="C205" s="15">
        <v>0</v>
      </c>
      <c r="D205" s="17">
        <v>0</v>
      </c>
      <c r="E205" s="6">
        <v>0</v>
      </c>
      <c r="F205" s="6">
        <v>0.05</v>
      </c>
      <c r="G205" s="9">
        <v>3</v>
      </c>
      <c r="H205" s="7">
        <v>2006</v>
      </c>
      <c r="I205" s="13">
        <v>19.600000000000001</v>
      </c>
      <c r="J205" s="2">
        <f t="shared" si="9"/>
        <v>19600000</v>
      </c>
      <c r="K205" s="4">
        <v>6.1</v>
      </c>
      <c r="L205" s="4">
        <v>197.273</v>
      </c>
      <c r="M205" s="12">
        <f t="shared" si="8"/>
        <v>197273000</v>
      </c>
      <c r="N205" s="4">
        <v>310.99</v>
      </c>
      <c r="O205" s="4">
        <v>310.99</v>
      </c>
      <c r="P205" s="4" t="s">
        <v>124</v>
      </c>
      <c r="Q205" s="4">
        <v>1</v>
      </c>
      <c r="R205" s="18" t="s">
        <v>111</v>
      </c>
      <c r="S205" s="8" t="s">
        <v>114</v>
      </c>
      <c r="T205" s="8" t="s">
        <v>113</v>
      </c>
      <c r="U205" s="8" t="s">
        <v>115</v>
      </c>
      <c r="V205" s="8" t="s">
        <v>113</v>
      </c>
      <c r="W205" s="8" t="s">
        <v>115</v>
      </c>
    </row>
    <row r="206" spans="1:23" x14ac:dyDescent="0.35">
      <c r="A206" s="5" t="s">
        <v>10</v>
      </c>
      <c r="B206" s="4">
        <v>9</v>
      </c>
      <c r="C206" s="15">
        <v>0</v>
      </c>
      <c r="D206" s="17">
        <v>0</v>
      </c>
      <c r="E206" s="6">
        <v>0</v>
      </c>
      <c r="F206" s="6">
        <v>0.05</v>
      </c>
      <c r="G206" s="9">
        <v>3</v>
      </c>
      <c r="H206" s="7">
        <v>2006</v>
      </c>
      <c r="I206" s="13">
        <v>19.5</v>
      </c>
      <c r="J206" s="2">
        <f t="shared" si="9"/>
        <v>19500000</v>
      </c>
      <c r="K206" s="4">
        <v>5.3</v>
      </c>
      <c r="L206" s="4">
        <v>361.3</v>
      </c>
      <c r="M206" s="12">
        <f t="shared" si="8"/>
        <v>361300000</v>
      </c>
      <c r="N206" s="4">
        <v>269.10000000000002</v>
      </c>
      <c r="O206" s="4">
        <v>269.10000000000002</v>
      </c>
      <c r="P206" s="4" t="s">
        <v>124</v>
      </c>
      <c r="Q206" s="4">
        <v>1</v>
      </c>
      <c r="R206" s="18" t="s">
        <v>114</v>
      </c>
      <c r="S206" s="8" t="s">
        <v>117</v>
      </c>
      <c r="T206" s="8" t="s">
        <v>115</v>
      </c>
      <c r="U206" s="8" t="s">
        <v>115</v>
      </c>
      <c r="V206" s="8" t="s">
        <v>114</v>
      </c>
      <c r="W206" s="8" t="s">
        <v>115</v>
      </c>
    </row>
    <row r="207" spans="1:23" x14ac:dyDescent="0.35">
      <c r="A207" s="5" t="s">
        <v>11</v>
      </c>
      <c r="B207" s="4">
        <v>10</v>
      </c>
      <c r="C207" s="15">
        <v>0</v>
      </c>
      <c r="D207" s="17">
        <v>0</v>
      </c>
      <c r="E207" s="6">
        <v>0</v>
      </c>
      <c r="F207" s="6">
        <v>0.05</v>
      </c>
      <c r="G207" s="9">
        <v>3</v>
      </c>
      <c r="H207" s="7">
        <v>2006</v>
      </c>
      <c r="I207" s="13">
        <v>18.399999999999999</v>
      </c>
      <c r="J207" s="2">
        <f t="shared" si="9"/>
        <v>18400000</v>
      </c>
      <c r="K207" s="4">
        <v>5.6</v>
      </c>
      <c r="L207" s="4">
        <v>188.3</v>
      </c>
      <c r="M207" s="12">
        <f t="shared" si="8"/>
        <v>188300000</v>
      </c>
      <c r="N207" s="4">
        <v>307.2</v>
      </c>
      <c r="O207" s="4">
        <v>0</v>
      </c>
      <c r="P207" s="4" t="s">
        <v>124</v>
      </c>
      <c r="Q207" s="4">
        <v>1</v>
      </c>
      <c r="R207" s="18" t="s">
        <v>117</v>
      </c>
      <c r="S207" s="8" t="s">
        <v>117</v>
      </c>
      <c r="T207" s="8" t="s">
        <v>115</v>
      </c>
      <c r="U207" s="8" t="s">
        <v>115</v>
      </c>
      <c r="V207" s="8" t="s">
        <v>115</v>
      </c>
      <c r="W207" s="8" t="s">
        <v>117</v>
      </c>
    </row>
    <row r="208" spans="1:23" x14ac:dyDescent="0.35">
      <c r="A208" s="5" t="s">
        <v>12</v>
      </c>
      <c r="B208" s="4">
        <v>11</v>
      </c>
      <c r="C208" s="15">
        <v>0</v>
      </c>
      <c r="D208" s="17">
        <v>0</v>
      </c>
      <c r="E208" s="6">
        <v>0</v>
      </c>
      <c r="F208" s="6">
        <v>0.05</v>
      </c>
      <c r="G208" s="9">
        <v>3</v>
      </c>
      <c r="H208" s="7">
        <v>2006</v>
      </c>
      <c r="I208" s="13">
        <v>20.2</v>
      </c>
      <c r="J208" s="2">
        <f t="shared" si="9"/>
        <v>20200000</v>
      </c>
      <c r="K208" s="4">
        <v>5.5</v>
      </c>
      <c r="L208" s="4">
        <v>33.299999999999997</v>
      </c>
      <c r="M208" s="12">
        <f t="shared" si="8"/>
        <v>33299999.999999996</v>
      </c>
      <c r="N208" s="4">
        <v>2.8</v>
      </c>
      <c r="O208" s="4">
        <v>2.8</v>
      </c>
      <c r="P208" s="4" t="s">
        <v>124</v>
      </c>
      <c r="Q208" s="4">
        <v>1</v>
      </c>
      <c r="R208" s="18" t="s">
        <v>117</v>
      </c>
      <c r="S208" s="8" t="s">
        <v>117</v>
      </c>
      <c r="T208" s="8" t="s">
        <v>117</v>
      </c>
      <c r="U208" s="8" t="s">
        <v>115</v>
      </c>
      <c r="V208" s="8" t="s">
        <v>115</v>
      </c>
      <c r="W208" s="8" t="s">
        <v>115</v>
      </c>
    </row>
    <row r="209" spans="1:23" x14ac:dyDescent="0.35">
      <c r="A209" s="5" t="s">
        <v>98</v>
      </c>
      <c r="B209" s="4">
        <v>12</v>
      </c>
      <c r="C209" s="15">
        <v>0</v>
      </c>
      <c r="D209" s="17">
        <v>0</v>
      </c>
      <c r="E209" s="6"/>
      <c r="F209" s="6"/>
      <c r="G209" s="9">
        <v>3</v>
      </c>
      <c r="H209" s="7"/>
      <c r="J209" s="2">
        <f t="shared" si="9"/>
        <v>0</v>
      </c>
      <c r="M209" s="12">
        <f t="shared" si="8"/>
        <v>0</v>
      </c>
      <c r="R209" s="18" t="s">
        <v>128</v>
      </c>
      <c r="S209" s="8"/>
      <c r="T209" s="8"/>
      <c r="U209" s="8"/>
      <c r="V209" s="8"/>
      <c r="W209" s="8"/>
    </row>
    <row r="210" spans="1:23" x14ac:dyDescent="0.35">
      <c r="A210" s="5" t="s">
        <v>13</v>
      </c>
      <c r="B210" s="4">
        <v>13</v>
      </c>
      <c r="C210" s="15">
        <v>0</v>
      </c>
      <c r="D210" s="17">
        <v>0</v>
      </c>
      <c r="E210" s="6">
        <v>0</v>
      </c>
      <c r="F210" s="6">
        <v>0.05</v>
      </c>
      <c r="G210" s="9">
        <v>3</v>
      </c>
      <c r="H210" s="7">
        <v>2006</v>
      </c>
      <c r="I210" s="13">
        <v>23.1</v>
      </c>
      <c r="J210" s="2">
        <f t="shared" si="9"/>
        <v>23100000</v>
      </c>
      <c r="K210" s="4">
        <v>7.7</v>
      </c>
      <c r="L210" s="4">
        <v>164.01</v>
      </c>
      <c r="M210" s="12">
        <f t="shared" si="8"/>
        <v>164010000</v>
      </c>
      <c r="N210" s="4">
        <v>170.14099999999999</v>
      </c>
      <c r="O210" s="4">
        <v>170.14099999999999</v>
      </c>
      <c r="P210" s="4" t="s">
        <v>124</v>
      </c>
      <c r="Q210" s="4">
        <v>1</v>
      </c>
      <c r="R210" s="18" t="s">
        <v>111</v>
      </c>
      <c r="S210" s="8" t="s">
        <v>117</v>
      </c>
      <c r="T210" s="8" t="s">
        <v>115</v>
      </c>
      <c r="U210" s="8" t="s">
        <v>115</v>
      </c>
      <c r="V210" s="8" t="s">
        <v>111</v>
      </c>
      <c r="W210" s="8" t="s">
        <v>115</v>
      </c>
    </row>
    <row r="211" spans="1:23" x14ac:dyDescent="0.35">
      <c r="A211" s="5" t="s">
        <v>14</v>
      </c>
      <c r="B211" s="4">
        <v>14</v>
      </c>
      <c r="C211" s="15">
        <v>0</v>
      </c>
      <c r="D211" s="17">
        <v>0</v>
      </c>
      <c r="E211" s="6">
        <v>0</v>
      </c>
      <c r="F211" s="6">
        <v>0.05</v>
      </c>
      <c r="G211" s="9">
        <v>3</v>
      </c>
      <c r="H211" s="7">
        <v>2006</v>
      </c>
      <c r="I211" s="13">
        <v>17.899999999999999</v>
      </c>
      <c r="J211" s="2">
        <f t="shared" si="9"/>
        <v>17900000</v>
      </c>
      <c r="K211" s="4">
        <v>6.6</v>
      </c>
      <c r="L211" s="4">
        <v>1021.085</v>
      </c>
      <c r="M211" s="12">
        <f t="shared" si="8"/>
        <v>1021085000</v>
      </c>
      <c r="N211" s="4">
        <v>661.9</v>
      </c>
      <c r="O211" s="4">
        <v>0</v>
      </c>
      <c r="P211" s="4" t="s">
        <v>124</v>
      </c>
      <c r="Q211" s="4">
        <v>1</v>
      </c>
      <c r="R211" s="18" t="s">
        <v>113</v>
      </c>
      <c r="S211" s="8" t="s">
        <v>117</v>
      </c>
      <c r="T211" s="8" t="s">
        <v>115</v>
      </c>
      <c r="U211" s="8" t="s">
        <v>115</v>
      </c>
      <c r="V211" s="8" t="s">
        <v>115</v>
      </c>
      <c r="W211" s="8" t="s">
        <v>113</v>
      </c>
    </row>
    <row r="212" spans="1:23" x14ac:dyDescent="0.35">
      <c r="A212" s="5" t="s">
        <v>15</v>
      </c>
      <c r="B212" s="4">
        <v>15</v>
      </c>
      <c r="C212" s="15">
        <v>0</v>
      </c>
      <c r="D212" s="17">
        <v>0</v>
      </c>
      <c r="E212" s="6">
        <v>0</v>
      </c>
      <c r="F212" s="6">
        <v>0.05</v>
      </c>
      <c r="G212" s="9">
        <v>3</v>
      </c>
      <c r="H212" s="7">
        <v>2006</v>
      </c>
      <c r="I212" s="13">
        <v>19.600000000000001</v>
      </c>
      <c r="J212" s="2">
        <f t="shared" si="9"/>
        <v>19600000</v>
      </c>
      <c r="K212" s="4">
        <v>6.1</v>
      </c>
      <c r="L212" s="4">
        <v>542.625</v>
      </c>
      <c r="M212" s="12">
        <f t="shared" si="8"/>
        <v>542625000</v>
      </c>
      <c r="N212" s="4">
        <v>299.89999999999998</v>
      </c>
      <c r="O212" s="4">
        <v>0</v>
      </c>
      <c r="P212" s="4" t="s">
        <v>124</v>
      </c>
      <c r="Q212" s="4">
        <v>1</v>
      </c>
      <c r="R212" s="18" t="s">
        <v>112</v>
      </c>
      <c r="S212" s="8" t="s">
        <v>117</v>
      </c>
      <c r="T212" s="8" t="s">
        <v>115</v>
      </c>
      <c r="U212" s="8" t="s">
        <v>115</v>
      </c>
      <c r="V212" s="8" t="s">
        <v>115</v>
      </c>
      <c r="W212" s="8" t="s">
        <v>112</v>
      </c>
    </row>
    <row r="213" spans="1:23" x14ac:dyDescent="0.35">
      <c r="A213" s="5" t="s">
        <v>16</v>
      </c>
      <c r="B213" s="4">
        <v>16</v>
      </c>
      <c r="C213" s="15">
        <v>0</v>
      </c>
      <c r="D213" s="17">
        <v>0</v>
      </c>
      <c r="E213" s="6">
        <v>0</v>
      </c>
      <c r="F213" s="6">
        <v>0.05</v>
      </c>
      <c r="G213" s="9">
        <v>3</v>
      </c>
      <c r="H213" s="7">
        <v>2006</v>
      </c>
      <c r="I213" s="13">
        <v>16.3</v>
      </c>
      <c r="J213" s="2">
        <f t="shared" si="9"/>
        <v>16300000</v>
      </c>
      <c r="K213" s="4">
        <v>6.4</v>
      </c>
      <c r="L213" s="4">
        <v>192.892</v>
      </c>
      <c r="M213" s="12">
        <f t="shared" si="8"/>
        <v>192892000</v>
      </c>
      <c r="N213" s="4">
        <v>225.8</v>
      </c>
      <c r="O213" s="4">
        <v>141.9</v>
      </c>
      <c r="P213" s="4" t="s">
        <v>124</v>
      </c>
      <c r="Q213" s="4">
        <v>1</v>
      </c>
      <c r="R213" s="18" t="s">
        <v>113</v>
      </c>
      <c r="S213" s="8" t="s">
        <v>112</v>
      </c>
      <c r="T213" s="8" t="s">
        <v>114</v>
      </c>
      <c r="U213" s="8" t="s">
        <v>114</v>
      </c>
      <c r="V213" s="8" t="s">
        <v>114</v>
      </c>
      <c r="W213" s="8" t="s">
        <v>114</v>
      </c>
    </row>
    <row r="214" spans="1:23" x14ac:dyDescent="0.35">
      <c r="A214" s="5" t="s">
        <v>17</v>
      </c>
      <c r="B214" s="4">
        <v>17</v>
      </c>
      <c r="C214" s="15">
        <v>0</v>
      </c>
      <c r="D214" s="17">
        <v>0</v>
      </c>
      <c r="E214" s="6">
        <v>0</v>
      </c>
      <c r="F214" s="6">
        <v>0.05</v>
      </c>
      <c r="G214" s="9">
        <v>3</v>
      </c>
      <c r="H214" s="7">
        <v>2006</v>
      </c>
      <c r="I214" s="13">
        <v>21.5</v>
      </c>
      <c r="J214" s="2">
        <f t="shared" si="9"/>
        <v>21500000</v>
      </c>
      <c r="K214" s="4">
        <v>7.4</v>
      </c>
      <c r="L214" s="4">
        <v>71.7</v>
      </c>
      <c r="M214" s="12">
        <f t="shared" si="8"/>
        <v>71700000</v>
      </c>
      <c r="N214" s="4">
        <v>24.5</v>
      </c>
      <c r="O214" s="4">
        <v>24.5</v>
      </c>
      <c r="P214" s="4" t="s">
        <v>124</v>
      </c>
      <c r="Q214" s="4">
        <v>1</v>
      </c>
      <c r="R214" s="18" t="s">
        <v>117</v>
      </c>
      <c r="S214" s="8" t="s">
        <v>117</v>
      </c>
      <c r="T214" s="8" t="s">
        <v>115</v>
      </c>
      <c r="U214" s="8" t="s">
        <v>115</v>
      </c>
      <c r="V214" s="8" t="s">
        <v>117</v>
      </c>
      <c r="W214" s="8" t="s">
        <v>115</v>
      </c>
    </row>
    <row r="215" spans="1:23" x14ac:dyDescent="0.35">
      <c r="A215" s="5" t="s">
        <v>18</v>
      </c>
      <c r="B215" s="4">
        <v>18</v>
      </c>
      <c r="C215" s="15">
        <v>0</v>
      </c>
      <c r="D215" s="17">
        <v>0</v>
      </c>
      <c r="E215" s="6">
        <v>0</v>
      </c>
      <c r="F215" s="6">
        <v>0.05</v>
      </c>
      <c r="G215" s="9">
        <v>3</v>
      </c>
      <c r="H215" s="7">
        <v>2006</v>
      </c>
      <c r="I215" s="13">
        <v>21.1</v>
      </c>
      <c r="J215" s="2">
        <f t="shared" si="9"/>
        <v>21100000</v>
      </c>
      <c r="K215" s="4">
        <v>7</v>
      </c>
      <c r="L215" s="4">
        <v>130.22499999999999</v>
      </c>
      <c r="M215" s="12">
        <f t="shared" si="8"/>
        <v>130225000</v>
      </c>
      <c r="N215" s="4">
        <v>84.4</v>
      </c>
      <c r="O215" s="4">
        <v>84.4</v>
      </c>
      <c r="P215" s="4" t="s">
        <v>124</v>
      </c>
      <c r="Q215" s="4">
        <v>1</v>
      </c>
      <c r="R215" s="18" t="s">
        <v>114</v>
      </c>
      <c r="S215" s="8" t="s">
        <v>114</v>
      </c>
      <c r="T215" s="8" t="s">
        <v>117</v>
      </c>
      <c r="U215" s="8" t="s">
        <v>117</v>
      </c>
      <c r="V215" s="8" t="s">
        <v>115</v>
      </c>
      <c r="W215" s="8" t="s">
        <v>115</v>
      </c>
    </row>
    <row r="216" spans="1:23" x14ac:dyDescent="0.35">
      <c r="A216" s="5" t="s">
        <v>19</v>
      </c>
      <c r="B216" s="4">
        <v>19</v>
      </c>
      <c r="C216" s="15">
        <v>0</v>
      </c>
      <c r="D216" s="17">
        <v>0</v>
      </c>
      <c r="E216" s="6">
        <v>0</v>
      </c>
      <c r="F216" s="6">
        <v>0.05</v>
      </c>
      <c r="G216" s="9">
        <v>3</v>
      </c>
      <c r="H216" s="7">
        <v>2006</v>
      </c>
      <c r="I216" s="13">
        <v>23.2</v>
      </c>
      <c r="J216" s="2">
        <f t="shared" si="9"/>
        <v>23200000</v>
      </c>
      <c r="K216" s="4">
        <v>7.3</v>
      </c>
      <c r="L216" s="4">
        <v>224.05</v>
      </c>
      <c r="M216" s="12">
        <f t="shared" si="8"/>
        <v>224050000</v>
      </c>
      <c r="N216" s="4">
        <v>178.6</v>
      </c>
      <c r="O216" s="4">
        <v>178.6</v>
      </c>
      <c r="P216" s="4" t="s">
        <v>124</v>
      </c>
      <c r="Q216" s="4">
        <v>1</v>
      </c>
      <c r="R216" s="18" t="s">
        <v>114</v>
      </c>
      <c r="S216" s="8" t="s">
        <v>114</v>
      </c>
      <c r="T216" s="8" t="s">
        <v>117</v>
      </c>
      <c r="U216" s="8" t="s">
        <v>115</v>
      </c>
      <c r="V216" s="8" t="s">
        <v>117</v>
      </c>
      <c r="W216" s="8" t="s">
        <v>115</v>
      </c>
    </row>
    <row r="217" spans="1:23" x14ac:dyDescent="0.35">
      <c r="A217" s="5" t="s">
        <v>20</v>
      </c>
      <c r="B217" s="4">
        <v>20</v>
      </c>
      <c r="C217" s="15">
        <v>0</v>
      </c>
      <c r="D217" s="17">
        <v>0</v>
      </c>
      <c r="E217" s="6">
        <v>0</v>
      </c>
      <c r="F217" s="6">
        <v>0.05</v>
      </c>
      <c r="G217" s="9">
        <v>3</v>
      </c>
      <c r="H217" s="7">
        <v>2006</v>
      </c>
      <c r="I217" s="13">
        <v>25.2</v>
      </c>
      <c r="J217" s="2">
        <f t="shared" si="9"/>
        <v>25200000</v>
      </c>
      <c r="K217" s="4">
        <v>7.5</v>
      </c>
      <c r="L217" s="4">
        <v>46.274999999999999</v>
      </c>
      <c r="M217" s="12">
        <f t="shared" si="8"/>
        <v>46275000</v>
      </c>
      <c r="N217" s="4">
        <v>49.2</v>
      </c>
      <c r="O217" s="4">
        <v>49.2</v>
      </c>
      <c r="P217" s="4" t="s">
        <v>124</v>
      </c>
      <c r="Q217" s="4">
        <v>1</v>
      </c>
      <c r="R217" s="18" t="s">
        <v>117</v>
      </c>
      <c r="S217" s="8" t="s">
        <v>117</v>
      </c>
      <c r="T217" s="8" t="s">
        <v>115</v>
      </c>
      <c r="U217" s="8" t="s">
        <v>117</v>
      </c>
      <c r="V217" s="8" t="s">
        <v>115</v>
      </c>
      <c r="W217" s="8" t="s">
        <v>115</v>
      </c>
    </row>
    <row r="218" spans="1:23" x14ac:dyDescent="0.35">
      <c r="A218" s="5" t="s">
        <v>21</v>
      </c>
      <c r="B218" s="4">
        <v>21</v>
      </c>
      <c r="C218" s="15">
        <v>0</v>
      </c>
      <c r="D218" s="17">
        <v>0</v>
      </c>
      <c r="E218" s="6">
        <v>0</v>
      </c>
      <c r="F218" s="6">
        <v>0.05</v>
      </c>
      <c r="G218" s="9">
        <v>3</v>
      </c>
      <c r="H218" s="7">
        <v>2006</v>
      </c>
      <c r="I218" s="13">
        <v>21.7</v>
      </c>
      <c r="J218" s="2">
        <f t="shared" si="9"/>
        <v>21700000</v>
      </c>
      <c r="K218" s="4">
        <v>7.6</v>
      </c>
      <c r="L218" s="4">
        <v>200.47499999999999</v>
      </c>
      <c r="M218" s="12">
        <f t="shared" si="8"/>
        <v>200475000</v>
      </c>
      <c r="N218" s="4">
        <v>180.3</v>
      </c>
      <c r="O218" s="4">
        <v>180.3</v>
      </c>
      <c r="P218" s="4" t="s">
        <v>124</v>
      </c>
      <c r="Q218" s="4">
        <v>1</v>
      </c>
      <c r="R218" s="18" t="s">
        <v>112</v>
      </c>
      <c r="S218" s="8" t="s">
        <v>116</v>
      </c>
      <c r="T218" s="8" t="s">
        <v>114</v>
      </c>
      <c r="U218" s="8" t="s">
        <v>117</v>
      </c>
      <c r="V218" s="8" t="s">
        <v>117</v>
      </c>
      <c r="W218" s="8" t="s">
        <v>115</v>
      </c>
    </row>
    <row r="219" spans="1:23" x14ac:dyDescent="0.35">
      <c r="A219" s="5" t="s">
        <v>22</v>
      </c>
      <c r="B219" s="4">
        <v>22</v>
      </c>
      <c r="C219" s="15">
        <v>0</v>
      </c>
      <c r="D219" s="17">
        <v>0</v>
      </c>
      <c r="E219" s="6">
        <v>0</v>
      </c>
      <c r="F219" s="6">
        <v>0.05</v>
      </c>
      <c r="G219" s="9">
        <v>3</v>
      </c>
      <c r="H219" s="7">
        <v>2006</v>
      </c>
      <c r="I219" s="13">
        <v>23.6</v>
      </c>
      <c r="J219" s="2">
        <f t="shared" si="9"/>
        <v>23600000</v>
      </c>
      <c r="K219" s="4">
        <v>7.1</v>
      </c>
      <c r="L219" s="4">
        <v>634.15499999999997</v>
      </c>
      <c r="M219" s="12">
        <f t="shared" si="8"/>
        <v>634155000</v>
      </c>
      <c r="N219" s="4">
        <v>280.25</v>
      </c>
      <c r="O219" s="4">
        <v>167.31</v>
      </c>
      <c r="P219" s="4" t="s">
        <v>124</v>
      </c>
      <c r="Q219" s="4">
        <v>1</v>
      </c>
      <c r="R219" s="18" t="s">
        <v>111</v>
      </c>
      <c r="S219" s="8" t="s">
        <v>116</v>
      </c>
      <c r="T219" s="8" t="s">
        <v>115</v>
      </c>
      <c r="U219" s="8" t="s">
        <v>118</v>
      </c>
      <c r="V219" s="8" t="s">
        <v>119</v>
      </c>
      <c r="W219" s="8" t="s">
        <v>119</v>
      </c>
    </row>
    <row r="220" spans="1:23" x14ac:dyDescent="0.35">
      <c r="A220" s="5" t="s">
        <v>23</v>
      </c>
      <c r="B220" s="4">
        <v>23</v>
      </c>
      <c r="C220" s="15">
        <v>0</v>
      </c>
      <c r="D220" s="17">
        <v>0</v>
      </c>
      <c r="E220" s="6">
        <v>0</v>
      </c>
      <c r="F220" s="6">
        <v>0.05</v>
      </c>
      <c r="G220" s="9">
        <v>3</v>
      </c>
      <c r="H220" s="7">
        <v>2006</v>
      </c>
      <c r="I220" s="13">
        <v>22.3</v>
      </c>
      <c r="J220" s="2">
        <f t="shared" si="9"/>
        <v>22300000</v>
      </c>
      <c r="K220" s="4">
        <v>8.6999999999999993</v>
      </c>
      <c r="L220" s="4">
        <v>97.847999999999999</v>
      </c>
      <c r="M220" s="12">
        <f t="shared" si="8"/>
        <v>97848000</v>
      </c>
      <c r="N220" s="4">
        <v>63.72</v>
      </c>
      <c r="O220" s="4">
        <v>63.72</v>
      </c>
      <c r="P220" s="4" t="s">
        <v>124</v>
      </c>
      <c r="Q220" s="4">
        <v>1</v>
      </c>
      <c r="R220" s="18" t="s">
        <v>112</v>
      </c>
      <c r="S220" s="8" t="s">
        <v>114</v>
      </c>
      <c r="T220" s="8" t="s">
        <v>114</v>
      </c>
      <c r="U220" s="8" t="s">
        <v>115</v>
      </c>
      <c r="V220" s="8" t="s">
        <v>114</v>
      </c>
      <c r="W220" s="8" t="s">
        <v>115</v>
      </c>
    </row>
    <row r="221" spans="1:23" x14ac:dyDescent="0.35">
      <c r="A221" s="5" t="s">
        <v>24</v>
      </c>
      <c r="B221" s="4">
        <v>24</v>
      </c>
      <c r="C221" s="15">
        <v>0</v>
      </c>
      <c r="D221" s="17">
        <v>0</v>
      </c>
      <c r="E221" s="6">
        <v>0</v>
      </c>
      <c r="F221" s="6">
        <v>0.05</v>
      </c>
      <c r="G221" s="9">
        <v>3</v>
      </c>
      <c r="H221" s="7">
        <v>2006</v>
      </c>
      <c r="I221" s="13">
        <v>24.1</v>
      </c>
      <c r="J221" s="2">
        <f t="shared" si="9"/>
        <v>24100000</v>
      </c>
      <c r="K221" s="4">
        <v>8.8000000000000007</v>
      </c>
      <c r="L221" s="4">
        <v>606.83199999999999</v>
      </c>
      <c r="M221" s="12">
        <f t="shared" si="8"/>
        <v>606832000</v>
      </c>
      <c r="N221" s="4">
        <v>504.5</v>
      </c>
      <c r="O221" s="4">
        <v>141.89999999999998</v>
      </c>
      <c r="P221" s="4" t="s">
        <v>124</v>
      </c>
      <c r="Q221" s="4">
        <v>1</v>
      </c>
      <c r="R221" s="18" t="s">
        <v>120</v>
      </c>
      <c r="S221" s="8" t="s">
        <v>112</v>
      </c>
      <c r="T221" s="8" t="s">
        <v>111</v>
      </c>
      <c r="U221" s="8" t="s">
        <v>121</v>
      </c>
      <c r="V221" s="8" t="s">
        <v>122</v>
      </c>
      <c r="W221" s="8" t="s">
        <v>121</v>
      </c>
    </row>
    <row r="222" spans="1:23" x14ac:dyDescent="0.35">
      <c r="A222" s="5" t="s">
        <v>86</v>
      </c>
      <c r="B222" s="4">
        <v>25</v>
      </c>
      <c r="C222" s="15">
        <v>0</v>
      </c>
      <c r="D222" s="17">
        <v>0</v>
      </c>
      <c r="E222" s="6"/>
      <c r="F222" s="6"/>
      <c r="G222" s="9">
        <v>3</v>
      </c>
      <c r="H222" s="7"/>
      <c r="J222" s="2">
        <f t="shared" si="9"/>
        <v>0</v>
      </c>
      <c r="M222" s="12">
        <f t="shared" si="8"/>
        <v>0</v>
      </c>
      <c r="R222" s="18" t="s">
        <v>127</v>
      </c>
      <c r="S222" s="8"/>
      <c r="T222" s="8"/>
      <c r="U222" s="8"/>
      <c r="V222" s="8"/>
      <c r="W222" s="8"/>
    </row>
    <row r="223" spans="1:23" x14ac:dyDescent="0.35">
      <c r="A223" s="5" t="s">
        <v>25</v>
      </c>
      <c r="B223" s="4">
        <v>26</v>
      </c>
      <c r="C223" s="15">
        <v>0</v>
      </c>
      <c r="D223" s="17">
        <v>0</v>
      </c>
      <c r="E223" s="6">
        <v>0</v>
      </c>
      <c r="F223" s="6">
        <v>0.05</v>
      </c>
      <c r="G223" s="9">
        <v>3</v>
      </c>
      <c r="H223" s="7">
        <v>2006</v>
      </c>
      <c r="I223" s="13">
        <v>19.7</v>
      </c>
      <c r="J223" s="2">
        <f t="shared" si="9"/>
        <v>19700000</v>
      </c>
      <c r="K223" s="4">
        <v>7.3</v>
      </c>
      <c r="L223" s="4">
        <v>292.84800000000001</v>
      </c>
      <c r="M223" s="12">
        <f t="shared" si="8"/>
        <v>292848000</v>
      </c>
      <c r="N223" s="4">
        <v>369.4</v>
      </c>
      <c r="O223" s="4">
        <v>366.4</v>
      </c>
      <c r="P223" s="4" t="s">
        <v>124</v>
      </c>
      <c r="Q223" s="4">
        <v>1</v>
      </c>
      <c r="R223" s="18" t="s">
        <v>112</v>
      </c>
      <c r="S223" s="8" t="s">
        <v>112</v>
      </c>
      <c r="T223" s="8" t="s">
        <v>117</v>
      </c>
      <c r="U223" s="8" t="s">
        <v>117</v>
      </c>
      <c r="V223" s="8" t="s">
        <v>117</v>
      </c>
      <c r="W223" s="8" t="s">
        <v>117</v>
      </c>
    </row>
    <row r="224" spans="1:23" x14ac:dyDescent="0.35">
      <c r="A224" s="5" t="s">
        <v>26</v>
      </c>
      <c r="B224" s="4">
        <v>27</v>
      </c>
      <c r="C224" s="15">
        <v>0</v>
      </c>
      <c r="D224" s="17">
        <v>0</v>
      </c>
      <c r="E224" s="6">
        <v>0</v>
      </c>
      <c r="F224" s="6">
        <v>0.05</v>
      </c>
      <c r="G224" s="9">
        <v>3</v>
      </c>
      <c r="H224" s="7">
        <v>2006</v>
      </c>
      <c r="I224" s="13">
        <v>18.7</v>
      </c>
      <c r="J224" s="2">
        <f t="shared" si="9"/>
        <v>18700000</v>
      </c>
      <c r="K224" s="4">
        <v>7.9</v>
      </c>
      <c r="L224" s="4">
        <v>220.125</v>
      </c>
      <c r="M224" s="12">
        <f t="shared" si="8"/>
        <v>220125000</v>
      </c>
      <c r="N224" s="4">
        <v>186.3</v>
      </c>
      <c r="O224" s="4">
        <v>186.3</v>
      </c>
      <c r="P224" s="4" t="s">
        <v>124</v>
      </c>
      <c r="Q224" s="4">
        <v>1</v>
      </c>
      <c r="R224" s="18" t="s">
        <v>114</v>
      </c>
      <c r="S224" s="8" t="s">
        <v>117</v>
      </c>
      <c r="T224" s="8" t="s">
        <v>114</v>
      </c>
      <c r="U224" s="8" t="s">
        <v>115</v>
      </c>
      <c r="V224" s="8" t="s">
        <v>115</v>
      </c>
      <c r="W224" s="8" t="s">
        <v>115</v>
      </c>
    </row>
    <row r="225" spans="1:23" x14ac:dyDescent="0.35">
      <c r="A225" s="5" t="s">
        <v>27</v>
      </c>
      <c r="B225" s="4">
        <v>28</v>
      </c>
      <c r="C225" s="15">
        <v>0</v>
      </c>
      <c r="D225" s="17">
        <v>0</v>
      </c>
      <c r="E225" s="6">
        <v>0</v>
      </c>
      <c r="F225" s="6">
        <v>0.05</v>
      </c>
      <c r="G225" s="9">
        <v>3</v>
      </c>
      <c r="H225" s="7">
        <v>2006</v>
      </c>
      <c r="I225" s="13">
        <v>21.7</v>
      </c>
      <c r="J225" s="2">
        <f t="shared" si="9"/>
        <v>21700000</v>
      </c>
      <c r="K225" s="4">
        <v>7.4</v>
      </c>
      <c r="L225" s="4">
        <v>753.755</v>
      </c>
      <c r="M225" s="12">
        <f t="shared" si="8"/>
        <v>753755000</v>
      </c>
      <c r="N225" s="4">
        <v>393.6</v>
      </c>
      <c r="O225" s="4">
        <v>113</v>
      </c>
      <c r="P225" s="4" t="s">
        <v>124</v>
      </c>
      <c r="Q225" s="4">
        <v>1</v>
      </c>
      <c r="R225" s="18" t="s">
        <v>120</v>
      </c>
      <c r="S225" s="8" t="s">
        <v>112</v>
      </c>
      <c r="T225" s="8" t="s">
        <v>111</v>
      </c>
      <c r="U225" s="8" t="s">
        <v>121</v>
      </c>
      <c r="V225" s="8" t="s">
        <v>122</v>
      </c>
      <c r="W225" s="8" t="s">
        <v>121</v>
      </c>
    </row>
    <row r="226" spans="1:23" x14ac:dyDescent="0.35">
      <c r="A226" s="5" t="s">
        <v>28</v>
      </c>
      <c r="B226" s="4">
        <v>29</v>
      </c>
      <c r="C226" s="15">
        <v>0</v>
      </c>
      <c r="D226" s="17">
        <v>0</v>
      </c>
      <c r="E226" s="6">
        <v>0</v>
      </c>
      <c r="F226" s="6">
        <v>0.05</v>
      </c>
      <c r="G226" s="9">
        <v>3</v>
      </c>
      <c r="H226" s="7">
        <v>2006</v>
      </c>
      <c r="I226" s="13">
        <v>18</v>
      </c>
      <c r="J226" s="2">
        <f t="shared" si="9"/>
        <v>18000000</v>
      </c>
      <c r="K226" s="4">
        <v>8.6</v>
      </c>
      <c r="L226" s="4">
        <v>60.3</v>
      </c>
      <c r="M226" s="12">
        <f t="shared" si="8"/>
        <v>60300000</v>
      </c>
      <c r="N226" s="4">
        <v>51.7</v>
      </c>
      <c r="O226" s="4">
        <v>51.7</v>
      </c>
      <c r="P226" s="4" t="s">
        <v>124</v>
      </c>
      <c r="Q226" s="4">
        <v>1</v>
      </c>
      <c r="R226" s="18" t="s">
        <v>117</v>
      </c>
      <c r="S226" s="8" t="s">
        <v>117</v>
      </c>
      <c r="T226" s="8" t="s">
        <v>115</v>
      </c>
      <c r="U226" s="8" t="s">
        <v>115</v>
      </c>
      <c r="V226" s="8" t="s">
        <v>117</v>
      </c>
      <c r="W226" s="8" t="s">
        <v>115</v>
      </c>
    </row>
    <row r="227" spans="1:23" x14ac:dyDescent="0.35">
      <c r="A227" s="5" t="s">
        <v>29</v>
      </c>
      <c r="B227" s="4">
        <v>30</v>
      </c>
      <c r="C227" s="15">
        <v>0</v>
      </c>
      <c r="D227" s="17">
        <v>0</v>
      </c>
      <c r="E227" s="6">
        <v>0</v>
      </c>
      <c r="F227" s="6">
        <v>0.05</v>
      </c>
      <c r="G227" s="9">
        <v>3</v>
      </c>
      <c r="H227" s="7">
        <v>2006</v>
      </c>
      <c r="I227" s="13">
        <v>20.6</v>
      </c>
      <c r="J227" s="2">
        <f t="shared" si="9"/>
        <v>20600000</v>
      </c>
      <c r="K227" s="4">
        <v>9.1999999999999993</v>
      </c>
      <c r="L227" s="4">
        <v>190.47499999999999</v>
      </c>
      <c r="M227" s="12">
        <f t="shared" si="8"/>
        <v>190475000</v>
      </c>
      <c r="N227" s="4">
        <v>334.1</v>
      </c>
      <c r="O227" s="4">
        <v>334.1</v>
      </c>
      <c r="P227" s="4" t="s">
        <v>124</v>
      </c>
      <c r="Q227" s="4">
        <v>1</v>
      </c>
      <c r="R227" s="18" t="s">
        <v>117</v>
      </c>
      <c r="S227" s="8" t="s">
        <v>117</v>
      </c>
      <c r="T227" s="8" t="s">
        <v>117</v>
      </c>
      <c r="U227" s="8" t="s">
        <v>115</v>
      </c>
      <c r="V227" s="8" t="s">
        <v>115</v>
      </c>
      <c r="W227" s="8" t="s">
        <v>115</v>
      </c>
    </row>
    <row r="228" spans="1:23" x14ac:dyDescent="0.35">
      <c r="A228" s="5" t="s">
        <v>30</v>
      </c>
      <c r="B228" s="4">
        <v>31</v>
      </c>
      <c r="C228" s="15">
        <v>0</v>
      </c>
      <c r="D228" s="17">
        <v>0</v>
      </c>
      <c r="E228" s="6">
        <v>0</v>
      </c>
      <c r="F228" s="6">
        <v>0.05</v>
      </c>
      <c r="G228" s="9">
        <v>3</v>
      </c>
      <c r="H228" s="7">
        <v>2006</v>
      </c>
      <c r="I228" s="13">
        <v>25.2</v>
      </c>
      <c r="J228" s="2">
        <f t="shared" si="9"/>
        <v>25200000</v>
      </c>
      <c r="K228" s="4">
        <v>11.4</v>
      </c>
      <c r="L228" s="4">
        <v>768.80200000000002</v>
      </c>
      <c r="M228" s="12">
        <f t="shared" si="8"/>
        <v>768802000</v>
      </c>
      <c r="N228" s="4">
        <v>970.31</v>
      </c>
      <c r="O228" s="4">
        <v>62.099999999999909</v>
      </c>
      <c r="P228" s="4" t="s">
        <v>124</v>
      </c>
      <c r="Q228" s="4">
        <v>1</v>
      </c>
      <c r="R228" s="18" t="s">
        <v>112</v>
      </c>
      <c r="S228" s="8" t="s">
        <v>114</v>
      </c>
      <c r="T228" s="8" t="s">
        <v>115</v>
      </c>
      <c r="U228" s="8" t="s">
        <v>114</v>
      </c>
      <c r="V228" s="8" t="s">
        <v>115</v>
      </c>
      <c r="W228" s="8" t="s">
        <v>114</v>
      </c>
    </row>
    <row r="229" spans="1:23" x14ac:dyDescent="0.35">
      <c r="A229" s="5" t="s">
        <v>99</v>
      </c>
      <c r="B229" s="4">
        <v>32</v>
      </c>
      <c r="C229" s="15">
        <v>0</v>
      </c>
      <c r="D229" s="17">
        <v>0</v>
      </c>
      <c r="E229" s="6"/>
      <c r="F229" s="6"/>
      <c r="G229" s="9">
        <v>3</v>
      </c>
      <c r="H229" s="7"/>
      <c r="J229" s="2">
        <f t="shared" si="9"/>
        <v>0</v>
      </c>
      <c r="M229" s="12">
        <f t="shared" si="8"/>
        <v>0</v>
      </c>
      <c r="R229" s="18" t="s">
        <v>136</v>
      </c>
      <c r="S229" s="8"/>
      <c r="T229" s="8"/>
      <c r="U229" s="8"/>
      <c r="V229" s="8"/>
      <c r="W229" s="8"/>
    </row>
    <row r="230" spans="1:23" x14ac:dyDescent="0.35">
      <c r="A230" s="5" t="s">
        <v>31</v>
      </c>
      <c r="B230" s="4">
        <v>33</v>
      </c>
      <c r="C230" s="15">
        <v>0</v>
      </c>
      <c r="D230" s="17">
        <v>0</v>
      </c>
      <c r="E230" s="6">
        <v>0</v>
      </c>
      <c r="F230" s="6">
        <v>0.05</v>
      </c>
      <c r="G230" s="9">
        <v>3</v>
      </c>
      <c r="H230" s="7">
        <v>2006</v>
      </c>
      <c r="I230" s="13">
        <v>24.3</v>
      </c>
      <c r="J230" s="2">
        <f t="shared" si="9"/>
        <v>24300000</v>
      </c>
      <c r="K230" s="4">
        <v>10.7</v>
      </c>
      <c r="L230" s="4">
        <v>109.8</v>
      </c>
      <c r="M230" s="12">
        <f t="shared" si="8"/>
        <v>109800000</v>
      </c>
      <c r="N230" s="4">
        <v>107.7</v>
      </c>
      <c r="O230" s="4">
        <v>99.3</v>
      </c>
      <c r="P230" s="4" t="s">
        <v>124</v>
      </c>
      <c r="Q230" s="4">
        <v>1</v>
      </c>
      <c r="R230" s="18" t="s">
        <v>114</v>
      </c>
      <c r="S230" s="8" t="s">
        <v>114</v>
      </c>
      <c r="T230" s="8" t="s">
        <v>115</v>
      </c>
      <c r="U230" s="8" t="s">
        <v>115</v>
      </c>
      <c r="V230" s="8" t="s">
        <v>117</v>
      </c>
      <c r="W230" s="8" t="s">
        <v>117</v>
      </c>
    </row>
    <row r="231" spans="1:23" x14ac:dyDescent="0.35">
      <c r="A231" s="5" t="s">
        <v>32</v>
      </c>
      <c r="B231" s="4">
        <v>34</v>
      </c>
      <c r="C231" s="15">
        <v>0</v>
      </c>
      <c r="D231" s="17">
        <v>0</v>
      </c>
      <c r="E231" s="6">
        <v>0</v>
      </c>
      <c r="F231" s="6">
        <v>0.05</v>
      </c>
      <c r="G231" s="9">
        <v>3</v>
      </c>
      <c r="H231" s="7">
        <v>2006</v>
      </c>
      <c r="I231" s="13">
        <v>23.6</v>
      </c>
      <c r="J231" s="2">
        <f t="shared" si="9"/>
        <v>23600000</v>
      </c>
      <c r="K231" s="4">
        <v>11.4</v>
      </c>
      <c r="L231" s="4">
        <v>85.995000000000005</v>
      </c>
      <c r="M231" s="12">
        <f t="shared" si="8"/>
        <v>85995000</v>
      </c>
      <c r="N231" s="4">
        <v>90.5</v>
      </c>
      <c r="O231" s="4">
        <v>90.5</v>
      </c>
      <c r="P231" s="4" t="s">
        <v>124</v>
      </c>
      <c r="Q231" s="4">
        <v>1</v>
      </c>
      <c r="R231" s="18" t="s">
        <v>112</v>
      </c>
      <c r="S231" s="8" t="s">
        <v>117</v>
      </c>
      <c r="T231" s="8" t="s">
        <v>115</v>
      </c>
      <c r="U231" s="8" t="s">
        <v>112</v>
      </c>
      <c r="V231" s="8" t="s">
        <v>115</v>
      </c>
      <c r="W231" s="8" t="s">
        <v>115</v>
      </c>
    </row>
    <row r="232" spans="1:23" x14ac:dyDescent="0.35">
      <c r="A232" s="5" t="s">
        <v>33</v>
      </c>
      <c r="B232" s="4">
        <v>35</v>
      </c>
      <c r="C232" s="15">
        <v>0</v>
      </c>
      <c r="D232" s="17">
        <v>0</v>
      </c>
      <c r="E232" s="6">
        <v>0</v>
      </c>
      <c r="F232" s="6">
        <v>0.05</v>
      </c>
      <c r="G232" s="9">
        <v>3</v>
      </c>
      <c r="H232" s="7">
        <v>2006</v>
      </c>
      <c r="I232" s="13">
        <v>25.3</v>
      </c>
      <c r="J232" s="2">
        <f t="shared" si="9"/>
        <v>25300000</v>
      </c>
      <c r="K232" s="4">
        <v>10.7</v>
      </c>
      <c r="L232" s="4">
        <v>131.25800000000001</v>
      </c>
      <c r="M232" s="12">
        <f t="shared" si="8"/>
        <v>131258000.00000001</v>
      </c>
      <c r="N232" s="4">
        <v>140.71</v>
      </c>
      <c r="O232" s="4">
        <v>140.71</v>
      </c>
      <c r="P232" s="4" t="s">
        <v>124</v>
      </c>
      <c r="Q232" s="4">
        <v>1</v>
      </c>
      <c r="R232" s="18" t="s">
        <v>111</v>
      </c>
      <c r="S232" s="8" t="s">
        <v>114</v>
      </c>
      <c r="T232" s="8" t="s">
        <v>113</v>
      </c>
      <c r="U232" s="8" t="s">
        <v>113</v>
      </c>
      <c r="V232" s="8" t="s">
        <v>115</v>
      </c>
      <c r="W232" s="8" t="s">
        <v>115</v>
      </c>
    </row>
    <row r="233" spans="1:23" x14ac:dyDescent="0.35">
      <c r="A233" s="5" t="s">
        <v>88</v>
      </c>
      <c r="B233" s="4">
        <v>36</v>
      </c>
      <c r="C233" s="15">
        <v>0</v>
      </c>
      <c r="D233" s="17">
        <v>0</v>
      </c>
      <c r="E233" s="6"/>
      <c r="F233" s="6"/>
      <c r="G233" s="9">
        <v>3</v>
      </c>
      <c r="H233" s="7"/>
      <c r="J233" s="2">
        <f t="shared" si="9"/>
        <v>0</v>
      </c>
      <c r="M233" s="12">
        <f t="shared" si="8"/>
        <v>0</v>
      </c>
      <c r="R233" s="18" t="s">
        <v>129</v>
      </c>
      <c r="S233" s="8"/>
      <c r="T233" s="8"/>
      <c r="U233" s="8"/>
      <c r="V233" s="8"/>
      <c r="W233" s="8"/>
    </row>
    <row r="234" spans="1:23" x14ac:dyDescent="0.35">
      <c r="A234" s="5" t="s">
        <v>34</v>
      </c>
      <c r="B234" s="4">
        <v>37</v>
      </c>
      <c r="C234" s="15">
        <v>0</v>
      </c>
      <c r="D234" s="17">
        <v>0</v>
      </c>
      <c r="E234" s="6">
        <v>0</v>
      </c>
      <c r="F234" s="6">
        <v>0.05</v>
      </c>
      <c r="G234" s="9">
        <v>3</v>
      </c>
      <c r="H234" s="7">
        <v>2006</v>
      </c>
      <c r="I234" s="13">
        <v>20.9</v>
      </c>
      <c r="J234" s="2">
        <f t="shared" si="9"/>
        <v>20900000</v>
      </c>
      <c r="K234" s="4">
        <v>8.6</v>
      </c>
      <c r="L234" s="4">
        <v>108.33</v>
      </c>
      <c r="M234" s="12">
        <f t="shared" si="8"/>
        <v>108330000</v>
      </c>
      <c r="N234" s="4">
        <v>66.37</v>
      </c>
      <c r="O234" s="4">
        <v>66.37</v>
      </c>
      <c r="P234" s="4" t="s">
        <v>124</v>
      </c>
      <c r="Q234" s="4">
        <v>1</v>
      </c>
      <c r="R234" s="18" t="s">
        <v>113</v>
      </c>
      <c r="S234" s="8" t="s">
        <v>117</v>
      </c>
      <c r="T234" s="8" t="s">
        <v>115</v>
      </c>
      <c r="U234" s="8" t="s">
        <v>115</v>
      </c>
      <c r="V234" s="8" t="s">
        <v>113</v>
      </c>
      <c r="W234" s="8" t="s">
        <v>115</v>
      </c>
    </row>
    <row r="235" spans="1:23" x14ac:dyDescent="0.35">
      <c r="A235" s="5" t="s">
        <v>35</v>
      </c>
      <c r="B235" s="4">
        <v>38</v>
      </c>
      <c r="C235" s="15">
        <v>0</v>
      </c>
      <c r="D235" s="17">
        <v>0</v>
      </c>
      <c r="E235" s="6">
        <v>0</v>
      </c>
      <c r="F235" s="6">
        <v>0.05</v>
      </c>
      <c r="G235" s="9">
        <v>3</v>
      </c>
      <c r="H235" s="7">
        <v>2006</v>
      </c>
      <c r="I235" s="13">
        <v>19.3</v>
      </c>
      <c r="J235" s="2">
        <f t="shared" si="9"/>
        <v>19300000</v>
      </c>
      <c r="K235" s="4">
        <v>11.7</v>
      </c>
      <c r="L235" s="4">
        <v>46.75</v>
      </c>
      <c r="M235" s="12">
        <f t="shared" si="8"/>
        <v>46750000</v>
      </c>
      <c r="N235" s="4">
        <v>100</v>
      </c>
      <c r="O235" s="4">
        <v>100</v>
      </c>
      <c r="P235" s="4" t="s">
        <v>124</v>
      </c>
      <c r="Q235" s="4">
        <v>1</v>
      </c>
      <c r="R235" s="18" t="s">
        <v>117</v>
      </c>
      <c r="S235" s="8" t="s">
        <v>117</v>
      </c>
      <c r="T235" s="8" t="s">
        <v>115</v>
      </c>
      <c r="U235" s="8" t="s">
        <v>117</v>
      </c>
      <c r="V235" s="8" t="s">
        <v>115</v>
      </c>
      <c r="W235" s="8" t="s">
        <v>115</v>
      </c>
    </row>
    <row r="236" spans="1:23" x14ac:dyDescent="0.35">
      <c r="A236" s="5" t="s">
        <v>36</v>
      </c>
      <c r="B236" s="4">
        <v>39</v>
      </c>
      <c r="C236" s="15">
        <v>0</v>
      </c>
      <c r="D236" s="17">
        <v>0</v>
      </c>
      <c r="E236" s="6">
        <v>0</v>
      </c>
      <c r="F236" s="6">
        <v>0.05</v>
      </c>
      <c r="G236" s="9">
        <v>3</v>
      </c>
      <c r="H236" s="7">
        <v>2006</v>
      </c>
      <c r="I236" s="13">
        <v>20.8</v>
      </c>
      <c r="J236" s="2">
        <f t="shared" si="9"/>
        <v>20800000</v>
      </c>
      <c r="K236" s="4">
        <v>9.5</v>
      </c>
      <c r="L236" s="4">
        <v>233.2</v>
      </c>
      <c r="M236" s="12">
        <f t="shared" si="8"/>
        <v>233200000</v>
      </c>
      <c r="N236" s="4">
        <v>251.8</v>
      </c>
      <c r="O236" s="4">
        <v>229.8</v>
      </c>
      <c r="P236" s="4" t="s">
        <v>124</v>
      </c>
      <c r="Q236" s="4">
        <v>1</v>
      </c>
      <c r="R236" s="18" t="s">
        <v>113</v>
      </c>
      <c r="S236" s="8" t="s">
        <v>112</v>
      </c>
      <c r="T236" s="8" t="s">
        <v>114</v>
      </c>
      <c r="U236" s="8" t="s">
        <v>114</v>
      </c>
      <c r="V236" s="8" t="s">
        <v>114</v>
      </c>
      <c r="W236" s="8" t="s">
        <v>114</v>
      </c>
    </row>
    <row r="237" spans="1:23" x14ac:dyDescent="0.35">
      <c r="A237" s="5" t="s">
        <v>37</v>
      </c>
      <c r="B237" s="4">
        <v>40</v>
      </c>
      <c r="C237" s="15">
        <v>0</v>
      </c>
      <c r="D237" s="17">
        <v>0</v>
      </c>
      <c r="E237" s="6">
        <v>0</v>
      </c>
      <c r="F237" s="6">
        <v>0.05</v>
      </c>
      <c r="G237" s="9">
        <v>3</v>
      </c>
      <c r="H237" s="7">
        <v>2006</v>
      </c>
      <c r="I237" s="13">
        <v>23.9</v>
      </c>
      <c r="J237" s="2">
        <f t="shared" si="9"/>
        <v>23900000</v>
      </c>
      <c r="K237" s="4">
        <v>10.1</v>
      </c>
      <c r="L237" s="4">
        <v>1032.175</v>
      </c>
      <c r="M237" s="12">
        <f t="shared" si="8"/>
        <v>1032175000</v>
      </c>
      <c r="N237" s="4">
        <v>402.2</v>
      </c>
      <c r="O237" s="4">
        <v>0</v>
      </c>
      <c r="P237" s="4" t="s">
        <v>124</v>
      </c>
      <c r="Q237" s="4">
        <v>1</v>
      </c>
      <c r="R237" s="18" t="s">
        <v>117</v>
      </c>
      <c r="S237" s="8" t="s">
        <v>117</v>
      </c>
      <c r="T237" s="8" t="s">
        <v>115</v>
      </c>
      <c r="U237" s="8" t="s">
        <v>115</v>
      </c>
      <c r="V237" s="8" t="s">
        <v>115</v>
      </c>
      <c r="W237" s="8" t="s">
        <v>117</v>
      </c>
    </row>
    <row r="238" spans="1:23" x14ac:dyDescent="0.35">
      <c r="A238" s="5" t="s">
        <v>38</v>
      </c>
      <c r="B238" s="4">
        <v>41</v>
      </c>
      <c r="C238" s="15">
        <v>0</v>
      </c>
      <c r="D238" s="17">
        <v>0</v>
      </c>
      <c r="E238" s="6">
        <v>0</v>
      </c>
      <c r="F238" s="6">
        <v>0.05</v>
      </c>
      <c r="G238" s="9">
        <v>3</v>
      </c>
      <c r="H238" s="7">
        <v>2006</v>
      </c>
      <c r="I238" s="13">
        <v>26.2</v>
      </c>
      <c r="J238" s="2">
        <f t="shared" si="9"/>
        <v>26200000</v>
      </c>
      <c r="K238" s="4">
        <v>11.7</v>
      </c>
      <c r="L238" s="4">
        <v>380.2</v>
      </c>
      <c r="M238" s="12">
        <f t="shared" si="8"/>
        <v>380200000</v>
      </c>
      <c r="N238" s="4">
        <v>299.3</v>
      </c>
      <c r="O238" s="4">
        <v>282.40000000000003</v>
      </c>
      <c r="P238" s="4" t="s">
        <v>124</v>
      </c>
      <c r="Q238" s="4">
        <v>1</v>
      </c>
      <c r="R238" s="18" t="s">
        <v>112</v>
      </c>
      <c r="S238" s="8" t="s">
        <v>116</v>
      </c>
      <c r="T238" s="8" t="s">
        <v>115</v>
      </c>
      <c r="U238" s="8" t="s">
        <v>114</v>
      </c>
      <c r="V238" s="8" t="s">
        <v>117</v>
      </c>
      <c r="W238" s="8" t="s">
        <v>117</v>
      </c>
    </row>
    <row r="239" spans="1:23" x14ac:dyDescent="0.35">
      <c r="A239" s="5" t="s">
        <v>39</v>
      </c>
      <c r="B239" s="4">
        <v>42</v>
      </c>
      <c r="C239" s="15">
        <v>0</v>
      </c>
      <c r="D239" s="17">
        <v>0</v>
      </c>
      <c r="E239" s="6">
        <v>0</v>
      </c>
      <c r="F239" s="6">
        <v>0.05</v>
      </c>
      <c r="G239" s="9">
        <v>3</v>
      </c>
      <c r="H239" s="7">
        <v>2006</v>
      </c>
      <c r="I239" s="13">
        <v>24.4</v>
      </c>
      <c r="J239" s="2">
        <f t="shared" si="9"/>
        <v>24400000</v>
      </c>
      <c r="K239" s="4">
        <v>12.6</v>
      </c>
      <c r="L239" s="4">
        <v>487.85</v>
      </c>
      <c r="M239" s="12">
        <f t="shared" si="8"/>
        <v>487850000</v>
      </c>
      <c r="N239" s="4">
        <v>514.9</v>
      </c>
      <c r="O239" s="4">
        <v>114</v>
      </c>
      <c r="P239" s="4" t="s">
        <v>124</v>
      </c>
      <c r="Q239" s="4">
        <v>1</v>
      </c>
      <c r="R239" s="18" t="s">
        <v>113</v>
      </c>
      <c r="S239" s="8" t="s">
        <v>114</v>
      </c>
      <c r="T239" s="8" t="s">
        <v>115</v>
      </c>
      <c r="U239" s="8" t="s">
        <v>112</v>
      </c>
      <c r="V239" s="8" t="s">
        <v>115</v>
      </c>
      <c r="W239" s="8" t="s">
        <v>112</v>
      </c>
    </row>
    <row r="240" spans="1:23" x14ac:dyDescent="0.35">
      <c r="A240" s="5" t="s">
        <v>40</v>
      </c>
      <c r="B240" s="4">
        <v>43</v>
      </c>
      <c r="C240" s="15">
        <v>0</v>
      </c>
      <c r="D240" s="17">
        <v>0</v>
      </c>
      <c r="E240" s="6">
        <v>0</v>
      </c>
      <c r="F240" s="6">
        <v>0.05</v>
      </c>
      <c r="G240" s="9">
        <v>3</v>
      </c>
      <c r="H240" s="7">
        <v>2006</v>
      </c>
      <c r="I240" s="13">
        <v>24.2</v>
      </c>
      <c r="J240" s="2">
        <f t="shared" si="9"/>
        <v>24200000</v>
      </c>
      <c r="K240" s="4">
        <v>12.6</v>
      </c>
      <c r="L240" s="4">
        <v>386.40800000000002</v>
      </c>
      <c r="M240" s="12">
        <f t="shared" si="8"/>
        <v>386408000</v>
      </c>
      <c r="N240" s="4">
        <v>327.41000000000003</v>
      </c>
      <c r="O240" s="4">
        <v>310.70000000000005</v>
      </c>
      <c r="P240" s="4" t="s">
        <v>124</v>
      </c>
      <c r="Q240" s="4">
        <v>1</v>
      </c>
      <c r="R240" s="18" t="s">
        <v>111</v>
      </c>
      <c r="S240" s="8" t="s">
        <v>112</v>
      </c>
      <c r="T240" s="8" t="s">
        <v>112</v>
      </c>
      <c r="U240" s="8" t="s">
        <v>112</v>
      </c>
      <c r="V240" s="8" t="s">
        <v>112</v>
      </c>
      <c r="W240" s="8" t="s">
        <v>112</v>
      </c>
    </row>
    <row r="241" spans="1:23" x14ac:dyDescent="0.35">
      <c r="A241" s="5" t="s">
        <v>41</v>
      </c>
      <c r="B241" s="4">
        <v>44</v>
      </c>
      <c r="C241" s="15">
        <v>0</v>
      </c>
      <c r="D241" s="17">
        <v>0</v>
      </c>
      <c r="E241" s="6">
        <v>0</v>
      </c>
      <c r="F241" s="6">
        <v>0.05</v>
      </c>
      <c r="G241" s="9">
        <v>3</v>
      </c>
      <c r="H241" s="7">
        <v>2006</v>
      </c>
      <c r="I241" s="13">
        <v>24.7</v>
      </c>
      <c r="J241" s="2">
        <f t="shared" si="9"/>
        <v>24700000</v>
      </c>
      <c r="K241" s="4">
        <v>12.5</v>
      </c>
      <c r="L241" s="4">
        <v>219.8</v>
      </c>
      <c r="M241" s="12">
        <f t="shared" si="8"/>
        <v>219800000</v>
      </c>
      <c r="N241" s="4">
        <v>122.7</v>
      </c>
      <c r="O241" s="4">
        <v>122.7</v>
      </c>
      <c r="P241" s="4" t="s">
        <v>124</v>
      </c>
      <c r="Q241" s="4">
        <v>1</v>
      </c>
      <c r="R241" s="18" t="s">
        <v>114</v>
      </c>
      <c r="S241" s="8" t="s">
        <v>117</v>
      </c>
      <c r="T241" s="8" t="s">
        <v>115</v>
      </c>
      <c r="U241" s="8" t="s">
        <v>114</v>
      </c>
      <c r="V241" s="8" t="s">
        <v>115</v>
      </c>
      <c r="W241" s="8" t="s">
        <v>115</v>
      </c>
    </row>
    <row r="242" spans="1:23" x14ac:dyDescent="0.35">
      <c r="A242" s="5" t="s">
        <v>42</v>
      </c>
      <c r="B242" s="4">
        <v>45</v>
      </c>
      <c r="C242" s="15">
        <v>0</v>
      </c>
      <c r="D242" s="17">
        <v>0</v>
      </c>
      <c r="E242" s="6">
        <v>0</v>
      </c>
      <c r="F242" s="6">
        <v>0.05</v>
      </c>
      <c r="G242" s="9">
        <v>3</v>
      </c>
      <c r="H242" s="7">
        <v>2006</v>
      </c>
      <c r="I242" s="13">
        <v>24.4</v>
      </c>
      <c r="J242" s="2">
        <f t="shared" si="9"/>
        <v>24400000</v>
      </c>
      <c r="K242" s="4">
        <v>12.5</v>
      </c>
      <c r="L242" s="4">
        <v>101.22199999999999</v>
      </c>
      <c r="M242" s="12">
        <f t="shared" si="8"/>
        <v>101222000</v>
      </c>
      <c r="N242" s="4">
        <v>203.8</v>
      </c>
      <c r="O242" s="4">
        <v>26.800000000000011</v>
      </c>
      <c r="P242" s="4" t="s">
        <v>124</v>
      </c>
      <c r="Q242" s="4">
        <v>1</v>
      </c>
      <c r="R242" s="18" t="s">
        <v>114</v>
      </c>
      <c r="S242" s="8" t="s">
        <v>114</v>
      </c>
      <c r="T242" s="8" t="s">
        <v>115</v>
      </c>
      <c r="U242" s="8" t="s">
        <v>117</v>
      </c>
      <c r="V242" s="8" t="s">
        <v>115</v>
      </c>
      <c r="W242" s="8" t="s">
        <v>117</v>
      </c>
    </row>
    <row r="243" spans="1:23" x14ac:dyDescent="0.35">
      <c r="A243" s="5" t="s">
        <v>43</v>
      </c>
      <c r="B243" s="4">
        <v>46</v>
      </c>
      <c r="C243" s="15">
        <v>0</v>
      </c>
      <c r="D243" s="17">
        <v>0</v>
      </c>
      <c r="E243" s="6">
        <v>0</v>
      </c>
      <c r="F243" s="6">
        <v>0.05</v>
      </c>
      <c r="G243" s="9">
        <v>3</v>
      </c>
      <c r="H243" s="7">
        <v>2006</v>
      </c>
      <c r="I243" s="13">
        <v>28.3</v>
      </c>
      <c r="J243" s="2">
        <f t="shared" si="9"/>
        <v>28300000</v>
      </c>
      <c r="K243" s="4">
        <v>12</v>
      </c>
      <c r="L243" s="4">
        <v>723.42499999999995</v>
      </c>
      <c r="M243" s="12">
        <f t="shared" si="8"/>
        <v>723425000</v>
      </c>
      <c r="N243" s="4">
        <v>616.20000000000005</v>
      </c>
      <c r="O243" s="4">
        <v>258.60000000000002</v>
      </c>
      <c r="P243" s="4" t="s">
        <v>124</v>
      </c>
      <c r="Q243" s="4">
        <v>1</v>
      </c>
      <c r="R243" s="18" t="s">
        <v>113</v>
      </c>
      <c r="S243" s="8" t="s">
        <v>116</v>
      </c>
      <c r="T243" s="8" t="s">
        <v>115</v>
      </c>
      <c r="U243" s="8" t="s">
        <v>114</v>
      </c>
      <c r="V243" s="8" t="s">
        <v>116</v>
      </c>
      <c r="W243" s="8" t="s">
        <v>116</v>
      </c>
    </row>
    <row r="244" spans="1:23" x14ac:dyDescent="0.35">
      <c r="A244" s="5" t="s">
        <v>44</v>
      </c>
      <c r="B244" s="4">
        <v>47</v>
      </c>
      <c r="C244" s="15">
        <v>0</v>
      </c>
      <c r="D244" s="17">
        <v>0</v>
      </c>
      <c r="E244" s="6">
        <v>0</v>
      </c>
      <c r="F244" s="6">
        <v>0.05</v>
      </c>
      <c r="G244" s="9">
        <v>3</v>
      </c>
      <c r="H244" s="7">
        <v>2006</v>
      </c>
      <c r="I244" s="13">
        <v>26.8</v>
      </c>
      <c r="J244" s="2">
        <f t="shared" si="9"/>
        <v>26800000</v>
      </c>
      <c r="K244" s="4">
        <v>12.2</v>
      </c>
      <c r="L244" s="4">
        <v>572.20000000000005</v>
      </c>
      <c r="M244" s="12">
        <f t="shared" si="8"/>
        <v>572200000</v>
      </c>
      <c r="N244" s="4">
        <v>409</v>
      </c>
      <c r="O244" s="4">
        <v>82.600000000000023</v>
      </c>
      <c r="P244" s="4" t="s">
        <v>124</v>
      </c>
      <c r="Q244" s="4">
        <v>1</v>
      </c>
      <c r="R244" s="18" t="s">
        <v>111</v>
      </c>
      <c r="S244" s="8" t="s">
        <v>116</v>
      </c>
      <c r="T244" s="8" t="s">
        <v>119</v>
      </c>
      <c r="U244" s="8" t="s">
        <v>115</v>
      </c>
      <c r="V244" s="8" t="s">
        <v>119</v>
      </c>
      <c r="W244" s="8" t="s">
        <v>118</v>
      </c>
    </row>
    <row r="245" spans="1:23" x14ac:dyDescent="0.35">
      <c r="A245" s="5" t="s">
        <v>94</v>
      </c>
      <c r="B245" s="4">
        <v>48</v>
      </c>
      <c r="C245" s="15">
        <v>0</v>
      </c>
      <c r="D245" s="17">
        <v>0</v>
      </c>
      <c r="E245" s="6"/>
      <c r="F245" s="6"/>
      <c r="G245" s="9">
        <v>3</v>
      </c>
      <c r="H245" s="7"/>
      <c r="J245" s="2">
        <f t="shared" si="9"/>
        <v>0</v>
      </c>
      <c r="M245" s="12">
        <f t="shared" si="8"/>
        <v>0</v>
      </c>
      <c r="R245" s="18" t="s">
        <v>131</v>
      </c>
      <c r="S245" s="8"/>
      <c r="T245" s="8"/>
      <c r="U245" s="8"/>
      <c r="V245" s="8"/>
      <c r="W245" s="8"/>
    </row>
    <row r="246" spans="1:23" x14ac:dyDescent="0.35">
      <c r="A246" s="5" t="s">
        <v>95</v>
      </c>
      <c r="B246" s="4">
        <v>49</v>
      </c>
      <c r="C246" s="15">
        <v>0</v>
      </c>
      <c r="D246" s="17">
        <f t="shared" ref="D246:D262" si="10">C246*1000000</f>
        <v>0</v>
      </c>
      <c r="E246" s="6"/>
      <c r="F246" s="6"/>
      <c r="G246" s="9">
        <v>3</v>
      </c>
      <c r="H246" s="7"/>
      <c r="J246" s="2">
        <f t="shared" si="9"/>
        <v>0</v>
      </c>
      <c r="M246" s="12">
        <f t="shared" si="8"/>
        <v>0</v>
      </c>
      <c r="R246" s="18" t="s">
        <v>131</v>
      </c>
      <c r="S246" s="8"/>
      <c r="T246" s="8"/>
      <c r="U246" s="8"/>
      <c r="V246" s="8"/>
      <c r="W246" s="8"/>
    </row>
    <row r="247" spans="1:23" x14ac:dyDescent="0.35">
      <c r="A247" s="5" t="s">
        <v>45</v>
      </c>
      <c r="B247" s="4">
        <v>50</v>
      </c>
      <c r="C247" s="15">
        <v>0</v>
      </c>
      <c r="D247" s="17">
        <f t="shared" si="10"/>
        <v>0</v>
      </c>
      <c r="E247" s="6">
        <v>0</v>
      </c>
      <c r="F247" s="6">
        <v>0.05</v>
      </c>
      <c r="G247" s="9">
        <v>3</v>
      </c>
      <c r="H247" s="7">
        <v>2006</v>
      </c>
      <c r="I247" s="13">
        <v>21.9</v>
      </c>
      <c r="J247" s="2">
        <f t="shared" si="9"/>
        <v>21900000</v>
      </c>
      <c r="K247" s="4">
        <v>13.1</v>
      </c>
      <c r="L247" s="4">
        <v>239.5</v>
      </c>
      <c r="M247" s="12">
        <f t="shared" si="8"/>
        <v>239500000</v>
      </c>
      <c r="N247" s="4">
        <v>168.9</v>
      </c>
      <c r="O247" s="4">
        <v>168.9</v>
      </c>
      <c r="P247" s="4" t="s">
        <v>124</v>
      </c>
      <c r="Q247" s="4">
        <v>1</v>
      </c>
      <c r="R247" s="18" t="s">
        <v>117</v>
      </c>
      <c r="S247" s="8" t="s">
        <v>117</v>
      </c>
      <c r="T247" s="8" t="s">
        <v>115</v>
      </c>
      <c r="U247" s="8" t="s">
        <v>115</v>
      </c>
      <c r="V247" s="8" t="s">
        <v>117</v>
      </c>
      <c r="W247" s="8" t="s">
        <v>115</v>
      </c>
    </row>
    <row r="248" spans="1:23" x14ac:dyDescent="0.35">
      <c r="A248" s="5" t="s">
        <v>46</v>
      </c>
      <c r="B248" s="4">
        <v>51</v>
      </c>
      <c r="C248" s="15">
        <v>0</v>
      </c>
      <c r="D248" s="17">
        <f t="shared" si="10"/>
        <v>0</v>
      </c>
      <c r="E248" s="6">
        <v>0</v>
      </c>
      <c r="F248" s="6">
        <v>0.05</v>
      </c>
      <c r="G248" s="9">
        <v>3</v>
      </c>
      <c r="H248" s="7">
        <v>2006</v>
      </c>
      <c r="I248" s="13">
        <v>23.3</v>
      </c>
      <c r="J248" s="2">
        <f t="shared" si="9"/>
        <v>23300000</v>
      </c>
      <c r="K248" s="4">
        <v>12.4</v>
      </c>
      <c r="L248" s="4">
        <v>165.1</v>
      </c>
      <c r="M248" s="12">
        <f t="shared" si="8"/>
        <v>165100000</v>
      </c>
      <c r="N248" s="4">
        <v>101.5</v>
      </c>
      <c r="O248" s="4">
        <v>101.5</v>
      </c>
      <c r="P248" s="4" t="s">
        <v>124</v>
      </c>
      <c r="Q248" s="4">
        <v>1</v>
      </c>
      <c r="R248" s="18" t="s">
        <v>114</v>
      </c>
      <c r="S248" s="8" t="s">
        <v>114</v>
      </c>
      <c r="T248" s="8" t="s">
        <v>117</v>
      </c>
      <c r="U248" s="8" t="s">
        <v>115</v>
      </c>
      <c r="V248" s="8" t="s">
        <v>117</v>
      </c>
      <c r="W248" s="8" t="s">
        <v>115</v>
      </c>
    </row>
    <row r="249" spans="1:23" x14ac:dyDescent="0.35">
      <c r="A249" s="5" t="s">
        <v>47</v>
      </c>
      <c r="B249" s="4">
        <v>52</v>
      </c>
      <c r="C249" s="15">
        <v>0</v>
      </c>
      <c r="D249" s="17">
        <f t="shared" si="10"/>
        <v>0</v>
      </c>
      <c r="E249" s="6">
        <v>0</v>
      </c>
      <c r="F249" s="6">
        <v>0.05</v>
      </c>
      <c r="G249" s="9">
        <v>3</v>
      </c>
      <c r="H249" s="7">
        <v>2006</v>
      </c>
      <c r="I249" s="13">
        <v>18.8</v>
      </c>
      <c r="J249" s="2">
        <f t="shared" si="9"/>
        <v>18800000</v>
      </c>
      <c r="K249" s="4">
        <v>13.4</v>
      </c>
      <c r="L249" s="4">
        <v>293.245</v>
      </c>
      <c r="M249" s="12">
        <f t="shared" si="8"/>
        <v>293245000</v>
      </c>
      <c r="N249" s="4">
        <v>432.8</v>
      </c>
      <c r="O249" s="4">
        <v>347.70000000000005</v>
      </c>
      <c r="P249" s="4" t="s">
        <v>124</v>
      </c>
      <c r="Q249" s="4">
        <v>1</v>
      </c>
      <c r="R249" s="18" t="s">
        <v>112</v>
      </c>
      <c r="S249" s="8" t="s">
        <v>116</v>
      </c>
      <c r="T249" s="8" t="s">
        <v>117</v>
      </c>
      <c r="U249" s="8" t="s">
        <v>117</v>
      </c>
      <c r="V249" s="8" t="s">
        <v>115</v>
      </c>
      <c r="W249" s="8" t="s">
        <v>114</v>
      </c>
    </row>
    <row r="250" spans="1:23" x14ac:dyDescent="0.35">
      <c r="A250" s="5" t="s">
        <v>48</v>
      </c>
      <c r="B250" s="4">
        <v>53</v>
      </c>
      <c r="C250" s="15">
        <v>0</v>
      </c>
      <c r="D250" s="17">
        <f t="shared" si="10"/>
        <v>0</v>
      </c>
      <c r="E250" s="6">
        <v>0</v>
      </c>
      <c r="F250" s="6">
        <v>0.05</v>
      </c>
      <c r="G250" s="9">
        <v>3</v>
      </c>
      <c r="H250" s="7">
        <v>2006</v>
      </c>
      <c r="I250" s="13">
        <v>20.5</v>
      </c>
      <c r="J250" s="2">
        <f t="shared" si="9"/>
        <v>20500000</v>
      </c>
      <c r="K250" s="4">
        <v>15.6</v>
      </c>
      <c r="L250" s="4">
        <v>241.36500000000001</v>
      </c>
      <c r="M250" s="12">
        <f t="shared" si="8"/>
        <v>241365000</v>
      </c>
      <c r="N250" s="4">
        <v>198.43</v>
      </c>
      <c r="O250" s="4">
        <v>198.43</v>
      </c>
      <c r="P250" s="4" t="s">
        <v>124</v>
      </c>
      <c r="Q250" s="4">
        <v>1</v>
      </c>
      <c r="R250" s="18" t="s">
        <v>113</v>
      </c>
      <c r="S250" s="8" t="s">
        <v>117</v>
      </c>
      <c r="T250" s="8" t="s">
        <v>113</v>
      </c>
      <c r="U250" s="8" t="s">
        <v>115</v>
      </c>
      <c r="V250" s="8" t="s">
        <v>115</v>
      </c>
      <c r="W250" s="8" t="s">
        <v>115</v>
      </c>
    </row>
    <row r="251" spans="1:23" x14ac:dyDescent="0.35">
      <c r="A251" s="5" t="s">
        <v>49</v>
      </c>
      <c r="B251" s="4">
        <v>54</v>
      </c>
      <c r="C251" s="15">
        <v>0</v>
      </c>
      <c r="D251" s="17">
        <f t="shared" si="10"/>
        <v>0</v>
      </c>
      <c r="E251" s="6">
        <v>0</v>
      </c>
      <c r="F251" s="6">
        <v>0.05</v>
      </c>
      <c r="G251" s="9">
        <v>3</v>
      </c>
      <c r="H251" s="7">
        <v>2006</v>
      </c>
      <c r="I251" s="13">
        <v>26.8</v>
      </c>
      <c r="J251" s="2">
        <f t="shared" si="9"/>
        <v>26800000</v>
      </c>
      <c r="K251" s="4">
        <v>14.1</v>
      </c>
      <c r="L251" s="4">
        <v>1539.3019999999999</v>
      </c>
      <c r="M251" s="12">
        <f t="shared" si="8"/>
        <v>1539302000</v>
      </c>
      <c r="N251" s="4">
        <v>1473.5</v>
      </c>
      <c r="O251" s="4">
        <v>147.10000000000014</v>
      </c>
      <c r="P251" s="4" t="s">
        <v>124</v>
      </c>
      <c r="Q251" s="4">
        <v>1</v>
      </c>
      <c r="R251" s="18" t="s">
        <v>113</v>
      </c>
      <c r="S251" s="8" t="s">
        <v>116</v>
      </c>
      <c r="T251" s="8" t="s">
        <v>116</v>
      </c>
      <c r="U251" s="8" t="s">
        <v>115</v>
      </c>
      <c r="V251" s="8" t="s">
        <v>114</v>
      </c>
      <c r="W251" s="8" t="s">
        <v>116</v>
      </c>
    </row>
    <row r="252" spans="1:23" x14ac:dyDescent="0.35">
      <c r="A252" s="5" t="s">
        <v>50</v>
      </c>
      <c r="B252" s="4">
        <v>55</v>
      </c>
      <c r="C252" s="15">
        <v>0</v>
      </c>
      <c r="D252" s="17">
        <f t="shared" si="10"/>
        <v>0</v>
      </c>
      <c r="E252" s="6">
        <v>0</v>
      </c>
      <c r="F252" s="6">
        <v>0.05</v>
      </c>
      <c r="G252" s="9">
        <v>3</v>
      </c>
      <c r="H252" s="7">
        <v>2006</v>
      </c>
      <c r="I252" s="13">
        <v>23.7</v>
      </c>
      <c r="J252" s="2">
        <f t="shared" si="9"/>
        <v>23700000</v>
      </c>
      <c r="K252" s="4">
        <v>15.2</v>
      </c>
      <c r="L252" s="4">
        <v>284.52499999999998</v>
      </c>
      <c r="M252" s="12">
        <f t="shared" si="8"/>
        <v>284525000</v>
      </c>
      <c r="N252" s="4">
        <v>198.8</v>
      </c>
      <c r="O252" s="4">
        <v>198.8</v>
      </c>
      <c r="P252" s="4" t="s">
        <v>124</v>
      </c>
      <c r="Q252" s="4">
        <v>1</v>
      </c>
      <c r="R252" s="18" t="s">
        <v>117</v>
      </c>
      <c r="S252" s="8" t="s">
        <v>117</v>
      </c>
      <c r="T252" s="8" t="s">
        <v>117</v>
      </c>
      <c r="U252" s="8" t="s">
        <v>115</v>
      </c>
      <c r="V252" s="8" t="s">
        <v>115</v>
      </c>
      <c r="W252" s="8" t="s">
        <v>115</v>
      </c>
    </row>
    <row r="253" spans="1:23" x14ac:dyDescent="0.35">
      <c r="A253" s="5" t="s">
        <v>51</v>
      </c>
      <c r="B253" s="4">
        <v>56</v>
      </c>
      <c r="C253" s="15">
        <v>0</v>
      </c>
      <c r="D253" s="17">
        <f t="shared" si="10"/>
        <v>0</v>
      </c>
      <c r="E253" s="6">
        <v>0</v>
      </c>
      <c r="F253" s="6">
        <v>0.05</v>
      </c>
      <c r="G253" s="9">
        <v>3</v>
      </c>
      <c r="H253" s="7">
        <v>2006</v>
      </c>
      <c r="I253" s="13">
        <v>24.2</v>
      </c>
      <c r="J253" s="2">
        <f t="shared" si="9"/>
        <v>24200000</v>
      </c>
      <c r="K253" s="4">
        <v>14.5</v>
      </c>
      <c r="L253" s="4">
        <v>1116.922</v>
      </c>
      <c r="M253" s="12">
        <f t="shared" si="8"/>
        <v>1116922000</v>
      </c>
      <c r="N253" s="4">
        <v>1661.59</v>
      </c>
      <c r="O253" s="4">
        <v>96.889999999999873</v>
      </c>
      <c r="P253" s="4" t="s">
        <v>124</v>
      </c>
      <c r="Q253" s="4">
        <v>1</v>
      </c>
      <c r="R253" s="18" t="s">
        <v>113</v>
      </c>
      <c r="S253" s="8" t="s">
        <v>112</v>
      </c>
      <c r="T253" s="8" t="s">
        <v>114</v>
      </c>
      <c r="U253" s="8" t="s">
        <v>114</v>
      </c>
      <c r="V253" s="8" t="s">
        <v>114</v>
      </c>
      <c r="W253" s="8" t="s">
        <v>114</v>
      </c>
    </row>
    <row r="254" spans="1:23" x14ac:dyDescent="0.35">
      <c r="A254" s="5" t="s">
        <v>52</v>
      </c>
      <c r="B254" s="4">
        <v>57</v>
      </c>
      <c r="C254" s="15">
        <v>0</v>
      </c>
      <c r="D254" s="17">
        <f t="shared" si="10"/>
        <v>0</v>
      </c>
      <c r="E254" s="6">
        <v>0</v>
      </c>
      <c r="F254" s="6">
        <v>0.05</v>
      </c>
      <c r="G254" s="9">
        <v>3</v>
      </c>
      <c r="H254" s="7">
        <v>2006</v>
      </c>
      <c r="I254" s="13">
        <v>24.4</v>
      </c>
      <c r="J254" s="2">
        <f t="shared" si="9"/>
        <v>24400000</v>
      </c>
      <c r="K254" s="4">
        <v>13.2</v>
      </c>
      <c r="L254" s="4">
        <v>197.17500000000001</v>
      </c>
      <c r="M254" s="12">
        <f t="shared" si="8"/>
        <v>197175000</v>
      </c>
      <c r="N254" s="4">
        <v>265</v>
      </c>
      <c r="O254" s="4">
        <v>265</v>
      </c>
      <c r="P254" s="4" t="s">
        <v>124</v>
      </c>
      <c r="Q254" s="4">
        <v>1</v>
      </c>
      <c r="R254" s="18" t="s">
        <v>114</v>
      </c>
      <c r="S254" s="8" t="s">
        <v>117</v>
      </c>
      <c r="T254" s="8" t="s">
        <v>114</v>
      </c>
      <c r="U254" s="8" t="s">
        <v>115</v>
      </c>
      <c r="V254" s="8" t="s">
        <v>115</v>
      </c>
      <c r="W254" s="8" t="s">
        <v>115</v>
      </c>
    </row>
    <row r="255" spans="1:23" x14ac:dyDescent="0.35">
      <c r="A255" s="5" t="s">
        <v>53</v>
      </c>
      <c r="B255" s="4">
        <v>58</v>
      </c>
      <c r="C255" s="15">
        <v>0</v>
      </c>
      <c r="D255" s="17">
        <f t="shared" si="10"/>
        <v>0</v>
      </c>
      <c r="E255" s="6">
        <v>0</v>
      </c>
      <c r="F255" s="6">
        <v>0.05</v>
      </c>
      <c r="G255" s="9">
        <v>3</v>
      </c>
      <c r="H255" s="7">
        <v>2006</v>
      </c>
      <c r="I255" s="13">
        <v>24.5</v>
      </c>
      <c r="J255" s="2">
        <f t="shared" si="9"/>
        <v>24500000</v>
      </c>
      <c r="K255" s="4">
        <v>12.7</v>
      </c>
      <c r="L255" s="4">
        <v>281.755</v>
      </c>
      <c r="M255" s="12">
        <f t="shared" si="8"/>
        <v>281755000</v>
      </c>
      <c r="N255" s="4">
        <v>255.71</v>
      </c>
      <c r="O255" s="4">
        <v>255.71</v>
      </c>
      <c r="P255" s="4" t="s">
        <v>124</v>
      </c>
      <c r="Q255" s="4">
        <v>1</v>
      </c>
      <c r="R255" s="18" t="s">
        <v>111</v>
      </c>
      <c r="S255" s="8" t="s">
        <v>117</v>
      </c>
      <c r="T255" s="8" t="s">
        <v>111</v>
      </c>
      <c r="U255" s="8" t="s">
        <v>115</v>
      </c>
      <c r="V255" s="8" t="s">
        <v>115</v>
      </c>
      <c r="W255" s="8" t="s">
        <v>115</v>
      </c>
    </row>
    <row r="256" spans="1:23" x14ac:dyDescent="0.35">
      <c r="A256" s="5" t="s">
        <v>100</v>
      </c>
      <c r="B256" s="4">
        <v>59</v>
      </c>
      <c r="C256" s="15">
        <v>0</v>
      </c>
      <c r="D256" s="17">
        <f t="shared" si="10"/>
        <v>0</v>
      </c>
      <c r="E256" s="6"/>
      <c r="F256" s="6"/>
      <c r="G256" s="9">
        <v>3</v>
      </c>
      <c r="H256" s="7"/>
      <c r="J256" s="2">
        <f t="shared" si="9"/>
        <v>0</v>
      </c>
      <c r="M256" s="12">
        <f t="shared" si="8"/>
        <v>0</v>
      </c>
      <c r="R256" s="18" t="s">
        <v>128</v>
      </c>
      <c r="S256" s="8"/>
      <c r="T256" s="8"/>
      <c r="U256" s="8"/>
      <c r="V256" s="8"/>
      <c r="W256" s="8"/>
    </row>
    <row r="257" spans="1:23" x14ac:dyDescent="0.35">
      <c r="A257" s="5" t="s">
        <v>54</v>
      </c>
      <c r="B257" s="4">
        <v>60</v>
      </c>
      <c r="C257" s="15">
        <v>0</v>
      </c>
      <c r="D257" s="17">
        <f t="shared" si="10"/>
        <v>0</v>
      </c>
      <c r="E257" s="6">
        <v>0</v>
      </c>
      <c r="F257" s="6">
        <v>0.05</v>
      </c>
      <c r="G257" s="9">
        <v>3</v>
      </c>
      <c r="H257" s="7">
        <v>2006</v>
      </c>
      <c r="I257" s="13">
        <v>26</v>
      </c>
      <c r="J257" s="2">
        <f t="shared" si="9"/>
        <v>26000000</v>
      </c>
      <c r="K257" s="4">
        <v>12.3</v>
      </c>
      <c r="L257" s="4">
        <v>117.66500000000001</v>
      </c>
      <c r="M257" s="12">
        <f t="shared" si="8"/>
        <v>117665000</v>
      </c>
      <c r="N257" s="4">
        <v>20.27</v>
      </c>
      <c r="O257" s="4">
        <v>20.27</v>
      </c>
      <c r="P257" s="4" t="s">
        <v>124</v>
      </c>
      <c r="Q257" s="4">
        <v>1</v>
      </c>
      <c r="R257" s="18" t="s">
        <v>112</v>
      </c>
      <c r="S257" s="8" t="s">
        <v>114</v>
      </c>
      <c r="T257" s="8" t="s">
        <v>114</v>
      </c>
      <c r="U257" s="8" t="s">
        <v>114</v>
      </c>
      <c r="V257" s="8" t="s">
        <v>115</v>
      </c>
      <c r="W257" s="8" t="s">
        <v>115</v>
      </c>
    </row>
    <row r="258" spans="1:23" x14ac:dyDescent="0.35">
      <c r="A258" s="5" t="s">
        <v>55</v>
      </c>
      <c r="B258" s="4">
        <v>61</v>
      </c>
      <c r="C258" s="15">
        <v>0</v>
      </c>
      <c r="D258" s="17">
        <f t="shared" si="10"/>
        <v>0</v>
      </c>
      <c r="E258" s="6">
        <v>0</v>
      </c>
      <c r="F258" s="6">
        <v>0.05</v>
      </c>
      <c r="G258" s="9">
        <v>3</v>
      </c>
      <c r="H258" s="7">
        <v>2006</v>
      </c>
      <c r="I258" s="13">
        <v>27.2</v>
      </c>
      <c r="J258" s="2">
        <f t="shared" si="9"/>
        <v>27200000</v>
      </c>
      <c r="K258" s="4">
        <v>13.3</v>
      </c>
      <c r="L258" s="4">
        <v>287.22500000000002</v>
      </c>
      <c r="M258" s="12">
        <f t="shared" si="8"/>
        <v>287225000</v>
      </c>
      <c r="N258" s="4">
        <v>268.39999999999998</v>
      </c>
      <c r="O258" s="4">
        <v>0</v>
      </c>
      <c r="P258" s="4" t="s">
        <v>124</v>
      </c>
      <c r="Q258" s="4">
        <v>1</v>
      </c>
      <c r="R258" s="18" t="s">
        <v>117</v>
      </c>
      <c r="S258" s="8" t="s">
        <v>117</v>
      </c>
      <c r="T258" s="8" t="s">
        <v>115</v>
      </c>
      <c r="U258" s="8" t="s">
        <v>115</v>
      </c>
      <c r="V258" s="8" t="s">
        <v>115</v>
      </c>
      <c r="W258" s="8" t="s">
        <v>117</v>
      </c>
    </row>
    <row r="259" spans="1:23" x14ac:dyDescent="0.35">
      <c r="A259" s="5" t="s">
        <v>56</v>
      </c>
      <c r="B259" s="4">
        <v>62</v>
      </c>
      <c r="C259" s="15">
        <v>0</v>
      </c>
      <c r="D259" s="17">
        <f t="shared" si="10"/>
        <v>0</v>
      </c>
      <c r="E259" s="6">
        <v>0</v>
      </c>
      <c r="F259" s="6">
        <v>0.05</v>
      </c>
      <c r="G259" s="9">
        <v>3</v>
      </c>
      <c r="H259" s="7">
        <v>2006</v>
      </c>
      <c r="I259" s="13">
        <v>23.1</v>
      </c>
      <c r="J259" s="2">
        <f t="shared" si="9"/>
        <v>23100000</v>
      </c>
      <c r="K259" s="4">
        <v>20.399999999999999</v>
      </c>
      <c r="L259" s="4">
        <v>162.63200000000001</v>
      </c>
      <c r="M259" s="12">
        <f t="shared" si="8"/>
        <v>162632000</v>
      </c>
      <c r="N259" s="4">
        <v>182</v>
      </c>
      <c r="O259" s="4">
        <v>182</v>
      </c>
      <c r="P259" s="4" t="s">
        <v>124</v>
      </c>
      <c r="Q259" s="4">
        <v>1</v>
      </c>
      <c r="R259" s="18" t="s">
        <v>112</v>
      </c>
      <c r="S259" s="8" t="s">
        <v>117</v>
      </c>
      <c r="T259" s="8" t="s">
        <v>112</v>
      </c>
      <c r="U259" s="8" t="s">
        <v>115</v>
      </c>
      <c r="V259" s="8" t="s">
        <v>115</v>
      </c>
      <c r="W259" s="8" t="s">
        <v>115</v>
      </c>
    </row>
    <row r="260" spans="1:23" x14ac:dyDescent="0.35">
      <c r="A260" s="5" t="s">
        <v>57</v>
      </c>
      <c r="B260" s="4">
        <v>63</v>
      </c>
      <c r="C260" s="15">
        <v>0</v>
      </c>
      <c r="D260" s="17">
        <f t="shared" si="10"/>
        <v>0</v>
      </c>
      <c r="E260" s="6">
        <v>0</v>
      </c>
      <c r="F260" s="6">
        <v>0.05</v>
      </c>
      <c r="G260" s="9">
        <v>3</v>
      </c>
      <c r="H260" s="7">
        <v>2006</v>
      </c>
      <c r="I260" s="13">
        <v>22.2</v>
      </c>
      <c r="J260" s="2">
        <f t="shared" si="9"/>
        <v>22200000</v>
      </c>
      <c r="K260" s="4">
        <v>17.8</v>
      </c>
      <c r="L260" s="4">
        <v>649.49199999999996</v>
      </c>
      <c r="M260" s="12">
        <f t="shared" si="8"/>
        <v>649492000</v>
      </c>
      <c r="N260" s="4">
        <v>394.58</v>
      </c>
      <c r="O260" s="4">
        <v>175.48</v>
      </c>
      <c r="P260" s="4" t="s">
        <v>124</v>
      </c>
      <c r="Q260" s="4">
        <v>1</v>
      </c>
      <c r="R260" s="18" t="s">
        <v>120</v>
      </c>
      <c r="S260" s="8" t="s">
        <v>112</v>
      </c>
      <c r="T260" s="8" t="s">
        <v>111</v>
      </c>
      <c r="U260" s="8" t="s">
        <v>121</v>
      </c>
      <c r="V260" s="8" t="s">
        <v>122</v>
      </c>
      <c r="W260" s="8" t="s">
        <v>121</v>
      </c>
    </row>
    <row r="261" spans="1:23" x14ac:dyDescent="0.35">
      <c r="A261" s="5" t="s">
        <v>92</v>
      </c>
      <c r="B261" s="4">
        <v>64</v>
      </c>
      <c r="C261" s="15">
        <v>0</v>
      </c>
      <c r="D261" s="17">
        <f t="shared" si="10"/>
        <v>0</v>
      </c>
      <c r="E261" s="6"/>
      <c r="F261" s="6"/>
      <c r="G261" s="9">
        <v>3</v>
      </c>
      <c r="H261" s="7"/>
      <c r="J261" s="2">
        <f t="shared" si="9"/>
        <v>0</v>
      </c>
      <c r="M261" s="12">
        <f t="shared" ref="M261:M324" si="11">L261*1000000</f>
        <v>0</v>
      </c>
      <c r="R261" s="18" t="s">
        <v>129</v>
      </c>
      <c r="S261" s="8"/>
      <c r="T261" s="8"/>
      <c r="U261" s="8"/>
      <c r="V261" s="8"/>
      <c r="W261" s="8"/>
    </row>
    <row r="262" spans="1:23" x14ac:dyDescent="0.35">
      <c r="A262" s="5" t="s">
        <v>58</v>
      </c>
      <c r="B262" s="4">
        <v>65</v>
      </c>
      <c r="C262" s="15">
        <v>0</v>
      </c>
      <c r="D262" s="17">
        <f t="shared" si="10"/>
        <v>0</v>
      </c>
      <c r="E262" s="6">
        <v>0</v>
      </c>
      <c r="F262" s="6">
        <v>0.05</v>
      </c>
      <c r="G262" s="9">
        <v>3</v>
      </c>
      <c r="H262" s="7">
        <v>2006</v>
      </c>
      <c r="I262" s="13">
        <v>23</v>
      </c>
      <c r="J262" s="2">
        <f t="shared" ref="J262:J325" si="12">I262*1000000</f>
        <v>23000000</v>
      </c>
      <c r="K262" s="4">
        <v>19.100000000000001</v>
      </c>
      <c r="L262" s="4">
        <v>787.88</v>
      </c>
      <c r="M262" s="12">
        <f t="shared" si="11"/>
        <v>787880000</v>
      </c>
      <c r="N262" s="4">
        <v>150.84200000000001</v>
      </c>
      <c r="O262" s="4">
        <v>149.74200000000002</v>
      </c>
      <c r="P262" s="4" t="s">
        <v>124</v>
      </c>
      <c r="Q262" s="4">
        <v>1</v>
      </c>
      <c r="R262" s="18" t="s">
        <v>111</v>
      </c>
      <c r="S262" s="8" t="s">
        <v>114</v>
      </c>
      <c r="T262" s="8" t="s">
        <v>115</v>
      </c>
      <c r="U262" s="8" t="s">
        <v>113</v>
      </c>
      <c r="V262" s="8" t="s">
        <v>115</v>
      </c>
      <c r="W262" s="8" t="s">
        <v>113</v>
      </c>
    </row>
    <row r="263" spans="1:23" x14ac:dyDescent="0.35">
      <c r="A263" s="5" t="s">
        <v>59</v>
      </c>
      <c r="B263" s="4">
        <v>66</v>
      </c>
      <c r="C263" s="15">
        <v>0</v>
      </c>
      <c r="D263" s="17">
        <f t="shared" ref="D263:D326" si="13">C263*1000000</f>
        <v>0</v>
      </c>
      <c r="E263" s="6">
        <v>0</v>
      </c>
      <c r="F263" s="6">
        <v>0.05</v>
      </c>
      <c r="G263" s="9">
        <v>3</v>
      </c>
      <c r="H263" s="7">
        <v>2006</v>
      </c>
      <c r="I263" s="13">
        <v>24.7</v>
      </c>
      <c r="J263" s="2">
        <f t="shared" si="12"/>
        <v>24700000</v>
      </c>
      <c r="K263" s="4">
        <v>17.2</v>
      </c>
      <c r="L263" s="4">
        <v>53.274999999999999</v>
      </c>
      <c r="M263" s="12">
        <f t="shared" si="11"/>
        <v>53275000</v>
      </c>
      <c r="N263" s="4">
        <v>57.1</v>
      </c>
      <c r="O263" s="4">
        <v>57.1</v>
      </c>
      <c r="P263" s="4" t="s">
        <v>124</v>
      </c>
      <c r="Q263" s="4">
        <v>1</v>
      </c>
      <c r="R263" s="18" t="s">
        <v>117</v>
      </c>
      <c r="S263" s="8" t="s">
        <v>117</v>
      </c>
      <c r="T263" s="8" t="s">
        <v>115</v>
      </c>
      <c r="U263" s="8" t="s">
        <v>117</v>
      </c>
      <c r="V263" s="8" t="s">
        <v>115</v>
      </c>
      <c r="W263" s="8" t="s">
        <v>115</v>
      </c>
    </row>
    <row r="264" spans="1:23" x14ac:dyDescent="0.35">
      <c r="A264" s="5" t="s">
        <v>96</v>
      </c>
      <c r="B264" s="4">
        <v>67</v>
      </c>
      <c r="C264" s="15">
        <v>0</v>
      </c>
      <c r="D264" s="17">
        <f t="shared" si="13"/>
        <v>0</v>
      </c>
      <c r="E264" s="6"/>
      <c r="F264" s="6"/>
      <c r="G264" s="9">
        <v>3</v>
      </c>
      <c r="H264" s="7"/>
      <c r="J264" s="2">
        <f t="shared" si="12"/>
        <v>0</v>
      </c>
      <c r="M264" s="12">
        <f t="shared" si="11"/>
        <v>0</v>
      </c>
      <c r="R264" s="18" t="s">
        <v>131</v>
      </c>
      <c r="S264" s="8"/>
      <c r="T264" s="8"/>
      <c r="U264" s="8"/>
      <c r="V264" s="8"/>
      <c r="W264" s="8"/>
    </row>
    <row r="265" spans="1:23" x14ac:dyDescent="0.35">
      <c r="A265" s="5" t="s">
        <v>97</v>
      </c>
      <c r="B265" s="4">
        <v>68</v>
      </c>
      <c r="C265" s="15">
        <v>0</v>
      </c>
      <c r="D265" s="17">
        <f t="shared" si="13"/>
        <v>0</v>
      </c>
      <c r="E265" s="6"/>
      <c r="F265" s="6"/>
      <c r="G265" s="9">
        <v>3</v>
      </c>
      <c r="H265" s="7"/>
      <c r="J265" s="2">
        <f t="shared" si="12"/>
        <v>0</v>
      </c>
      <c r="M265" s="12">
        <f t="shared" si="11"/>
        <v>0</v>
      </c>
      <c r="R265" s="18" t="s">
        <v>131</v>
      </c>
      <c r="S265" s="8"/>
      <c r="T265" s="8"/>
      <c r="U265" s="8"/>
      <c r="V265" s="8"/>
      <c r="W265" s="8"/>
    </row>
    <row r="266" spans="1:23" x14ac:dyDescent="0.35">
      <c r="A266" s="5" t="s">
        <v>60</v>
      </c>
      <c r="B266" s="4">
        <v>69</v>
      </c>
      <c r="C266" s="15">
        <v>0</v>
      </c>
      <c r="D266" s="17">
        <f t="shared" si="13"/>
        <v>0</v>
      </c>
      <c r="E266" s="6">
        <v>0</v>
      </c>
      <c r="F266" s="6">
        <v>0.05</v>
      </c>
      <c r="G266" s="9">
        <v>3</v>
      </c>
      <c r="H266" s="7">
        <v>2006</v>
      </c>
      <c r="I266" s="13">
        <v>22.3</v>
      </c>
      <c r="J266" s="2">
        <f t="shared" si="12"/>
        <v>22300000</v>
      </c>
      <c r="K266" s="4">
        <v>16.600000000000001</v>
      </c>
      <c r="L266" s="4">
        <v>141.75</v>
      </c>
      <c r="M266" s="12">
        <f t="shared" si="11"/>
        <v>141750000</v>
      </c>
      <c r="N266" s="4">
        <v>203.6</v>
      </c>
      <c r="O266" s="4">
        <v>203.6</v>
      </c>
      <c r="P266" s="4" t="s">
        <v>124</v>
      </c>
      <c r="Q266" s="4">
        <v>1</v>
      </c>
      <c r="R266" s="18" t="s">
        <v>114</v>
      </c>
      <c r="S266" s="8" t="s">
        <v>114</v>
      </c>
      <c r="T266" s="8" t="s">
        <v>117</v>
      </c>
      <c r="U266" s="8" t="s">
        <v>117</v>
      </c>
      <c r="V266" s="8" t="s">
        <v>115</v>
      </c>
      <c r="W266" s="8" t="s">
        <v>115</v>
      </c>
    </row>
    <row r="267" spans="1:23" x14ac:dyDescent="0.35">
      <c r="A267" s="5" t="s">
        <v>61</v>
      </c>
      <c r="B267" s="4">
        <v>70</v>
      </c>
      <c r="C267" s="15">
        <v>0</v>
      </c>
      <c r="D267" s="17">
        <f t="shared" si="13"/>
        <v>0</v>
      </c>
      <c r="E267" s="6">
        <v>0</v>
      </c>
      <c r="F267" s="6">
        <v>0.05</v>
      </c>
      <c r="G267" s="9">
        <v>3</v>
      </c>
      <c r="H267" s="7">
        <v>2006</v>
      </c>
      <c r="I267" s="13">
        <v>23</v>
      </c>
      <c r="J267" s="2">
        <f t="shared" si="12"/>
        <v>23000000</v>
      </c>
      <c r="K267" s="4">
        <v>15.3</v>
      </c>
      <c r="L267" s="4">
        <v>506.33800000000002</v>
      </c>
      <c r="M267" s="12">
        <f t="shared" si="11"/>
        <v>506338000</v>
      </c>
      <c r="N267" s="4">
        <v>462.85</v>
      </c>
      <c r="O267" s="4">
        <v>186.35000000000002</v>
      </c>
      <c r="P267" s="4" t="s">
        <v>124</v>
      </c>
      <c r="Q267" s="4">
        <v>1</v>
      </c>
      <c r="R267" s="18" t="s">
        <v>113</v>
      </c>
      <c r="S267" s="8" t="s">
        <v>114</v>
      </c>
      <c r="T267" s="8" t="s">
        <v>115</v>
      </c>
      <c r="U267" s="8" t="s">
        <v>115</v>
      </c>
      <c r="V267" s="8" t="s">
        <v>112</v>
      </c>
      <c r="W267" s="8" t="s">
        <v>112</v>
      </c>
    </row>
    <row r="268" spans="1:23" x14ac:dyDescent="0.35">
      <c r="A268" s="5" t="s">
        <v>62</v>
      </c>
      <c r="B268" s="4">
        <v>71</v>
      </c>
      <c r="C268" s="15">
        <v>0</v>
      </c>
      <c r="D268" s="17">
        <f t="shared" si="13"/>
        <v>0</v>
      </c>
      <c r="E268" s="6">
        <v>0</v>
      </c>
      <c r="F268" s="6">
        <v>0.05</v>
      </c>
      <c r="G268" s="9">
        <v>3</v>
      </c>
      <c r="H268" s="7">
        <v>2006</v>
      </c>
      <c r="I268" s="13">
        <v>23.6</v>
      </c>
      <c r="J268" s="2">
        <f t="shared" si="12"/>
        <v>23600000</v>
      </c>
      <c r="K268" s="4">
        <v>15.3</v>
      </c>
      <c r="L268" s="4">
        <v>447.4</v>
      </c>
      <c r="M268" s="12">
        <f t="shared" si="11"/>
        <v>447400000</v>
      </c>
      <c r="N268" s="4">
        <v>341.7</v>
      </c>
      <c r="O268" s="4">
        <v>0</v>
      </c>
      <c r="P268" s="4" t="s">
        <v>124</v>
      </c>
      <c r="Q268" s="4">
        <v>1</v>
      </c>
      <c r="R268" s="18" t="s">
        <v>114</v>
      </c>
      <c r="S268" s="8" t="s">
        <v>117</v>
      </c>
      <c r="T268" s="8" t="s">
        <v>115</v>
      </c>
      <c r="U268" s="8" t="s">
        <v>115</v>
      </c>
      <c r="V268" s="8" t="s">
        <v>115</v>
      </c>
      <c r="W268" s="8" t="s">
        <v>114</v>
      </c>
    </row>
    <row r="269" spans="1:23" x14ac:dyDescent="0.35">
      <c r="A269" s="5" t="s">
        <v>63</v>
      </c>
      <c r="B269" s="4">
        <v>72</v>
      </c>
      <c r="C269" s="15">
        <v>0</v>
      </c>
      <c r="D269" s="17">
        <f t="shared" si="13"/>
        <v>0</v>
      </c>
      <c r="E269" s="6">
        <v>0</v>
      </c>
      <c r="F269" s="6">
        <v>0.05</v>
      </c>
      <c r="G269" s="9">
        <v>3</v>
      </c>
      <c r="H269" s="7">
        <v>2006</v>
      </c>
      <c r="I269" s="13">
        <v>19.7</v>
      </c>
      <c r="J269" s="2">
        <f t="shared" si="12"/>
        <v>19700000</v>
      </c>
      <c r="K269" s="4">
        <v>15.5</v>
      </c>
      <c r="L269" s="4">
        <v>856.77499999999998</v>
      </c>
      <c r="M269" s="12">
        <f t="shared" si="11"/>
        <v>856775000</v>
      </c>
      <c r="N269" s="4">
        <v>1076.43</v>
      </c>
      <c r="O269" s="4">
        <v>91.190000000000055</v>
      </c>
      <c r="P269" s="4" t="s">
        <v>124</v>
      </c>
      <c r="Q269" s="4">
        <v>1</v>
      </c>
      <c r="R269" s="18" t="s">
        <v>111</v>
      </c>
      <c r="S269" s="8" t="s">
        <v>112</v>
      </c>
      <c r="T269" s="8" t="s">
        <v>112</v>
      </c>
      <c r="U269" s="8" t="s">
        <v>112</v>
      </c>
      <c r="V269" s="8" t="s">
        <v>112</v>
      </c>
      <c r="W269" s="8" t="s">
        <v>112</v>
      </c>
    </row>
    <row r="270" spans="1:23" x14ac:dyDescent="0.35">
      <c r="A270" s="5" t="s">
        <v>64</v>
      </c>
      <c r="B270" s="4">
        <v>73</v>
      </c>
      <c r="C270" s="15">
        <v>0</v>
      </c>
      <c r="D270" s="17">
        <f t="shared" si="13"/>
        <v>0</v>
      </c>
      <c r="E270" s="6">
        <v>0</v>
      </c>
      <c r="F270" s="6">
        <v>0.05</v>
      </c>
      <c r="G270" s="9">
        <v>3</v>
      </c>
      <c r="H270" s="7">
        <v>2006</v>
      </c>
      <c r="I270" s="13">
        <v>26.3</v>
      </c>
      <c r="J270" s="2">
        <f t="shared" si="12"/>
        <v>26300000</v>
      </c>
      <c r="K270" s="4">
        <v>12.4</v>
      </c>
      <c r="L270" s="4">
        <v>128.07499999999999</v>
      </c>
      <c r="M270" s="12">
        <f t="shared" si="11"/>
        <v>128074999.99999999</v>
      </c>
      <c r="N270" s="4">
        <v>108.5</v>
      </c>
      <c r="O270" s="4">
        <v>108.5</v>
      </c>
      <c r="P270" s="4" t="s">
        <v>124</v>
      </c>
      <c r="Q270" s="4">
        <v>1</v>
      </c>
      <c r="R270" s="18" t="s">
        <v>112</v>
      </c>
      <c r="S270" s="8" t="s">
        <v>112</v>
      </c>
      <c r="T270" s="8" t="s">
        <v>117</v>
      </c>
      <c r="U270" s="8" t="s">
        <v>117</v>
      </c>
      <c r="V270" s="8" t="s">
        <v>117</v>
      </c>
      <c r="W270" s="8" t="s">
        <v>117</v>
      </c>
    </row>
    <row r="271" spans="1:23" x14ac:dyDescent="0.35">
      <c r="A271" s="5" t="s">
        <v>65</v>
      </c>
      <c r="B271" s="4">
        <v>74</v>
      </c>
      <c r="C271" s="15">
        <v>0</v>
      </c>
      <c r="D271" s="17">
        <f t="shared" si="13"/>
        <v>0</v>
      </c>
      <c r="E271" s="6">
        <v>0</v>
      </c>
      <c r="F271" s="6">
        <v>0.05</v>
      </c>
      <c r="G271" s="9">
        <v>3</v>
      </c>
      <c r="H271" s="7">
        <v>2006</v>
      </c>
      <c r="I271" s="13">
        <v>28.2</v>
      </c>
      <c r="J271" s="2">
        <f t="shared" si="12"/>
        <v>28200000</v>
      </c>
      <c r="K271" s="4">
        <v>15.4</v>
      </c>
      <c r="L271" s="4">
        <v>570.51800000000003</v>
      </c>
      <c r="M271" s="12">
        <f t="shared" si="11"/>
        <v>570518000</v>
      </c>
      <c r="N271" s="4">
        <v>501.8</v>
      </c>
      <c r="O271" s="4">
        <v>295.89999999999998</v>
      </c>
      <c r="P271" s="4" t="s">
        <v>124</v>
      </c>
      <c r="Q271" s="4">
        <v>1</v>
      </c>
      <c r="R271" s="18" t="s">
        <v>111</v>
      </c>
      <c r="S271" s="8" t="s">
        <v>116</v>
      </c>
      <c r="T271" s="8" t="s">
        <v>118</v>
      </c>
      <c r="U271" s="8" t="s">
        <v>119</v>
      </c>
      <c r="V271" s="8" t="s">
        <v>115</v>
      </c>
      <c r="W271" s="8" t="s">
        <v>119</v>
      </c>
    </row>
    <row r="272" spans="1:23" x14ac:dyDescent="0.35">
      <c r="A272" s="5" t="s">
        <v>87</v>
      </c>
      <c r="B272" s="4">
        <v>75</v>
      </c>
      <c r="C272" s="15">
        <v>0</v>
      </c>
      <c r="D272" s="17">
        <f t="shared" si="13"/>
        <v>0</v>
      </c>
      <c r="E272" s="6"/>
      <c r="F272" s="6"/>
      <c r="G272" s="9">
        <v>3</v>
      </c>
      <c r="H272" s="7"/>
      <c r="J272" s="2">
        <f t="shared" si="12"/>
        <v>0</v>
      </c>
      <c r="M272" s="12">
        <f t="shared" si="11"/>
        <v>0</v>
      </c>
      <c r="R272" s="18" t="s">
        <v>133</v>
      </c>
      <c r="S272" s="8"/>
      <c r="T272" s="8"/>
      <c r="U272" s="8"/>
      <c r="V272" s="8"/>
      <c r="W272" s="8"/>
    </row>
    <row r="273" spans="1:23" x14ac:dyDescent="0.35">
      <c r="A273" s="5" t="s">
        <v>66</v>
      </c>
      <c r="B273" s="4">
        <v>76</v>
      </c>
      <c r="C273" s="15">
        <v>0</v>
      </c>
      <c r="D273" s="17">
        <f t="shared" si="13"/>
        <v>0</v>
      </c>
      <c r="E273" s="6">
        <v>0</v>
      </c>
      <c r="F273" s="6">
        <v>0.05</v>
      </c>
      <c r="G273" s="9">
        <v>3</v>
      </c>
      <c r="H273" s="7">
        <v>2006</v>
      </c>
      <c r="I273" s="13">
        <v>22.7</v>
      </c>
      <c r="J273" s="2">
        <f t="shared" si="12"/>
        <v>22700000</v>
      </c>
      <c r="K273" s="4">
        <v>31</v>
      </c>
      <c r="L273" s="4">
        <v>656.23699999999997</v>
      </c>
      <c r="M273" s="12">
        <f t="shared" si="11"/>
        <v>656237000</v>
      </c>
      <c r="N273" s="4">
        <v>642.24</v>
      </c>
      <c r="O273" s="4">
        <v>638.12</v>
      </c>
      <c r="P273" s="4" t="s">
        <v>124</v>
      </c>
      <c r="Q273" s="4">
        <v>1</v>
      </c>
      <c r="R273" s="18" t="s">
        <v>120</v>
      </c>
      <c r="S273" s="8" t="s">
        <v>112</v>
      </c>
      <c r="T273" s="8" t="s">
        <v>111</v>
      </c>
      <c r="U273" s="8" t="s">
        <v>121</v>
      </c>
      <c r="V273" s="8" t="s">
        <v>122</v>
      </c>
      <c r="W273" s="8" t="s">
        <v>121</v>
      </c>
    </row>
    <row r="274" spans="1:23" x14ac:dyDescent="0.35">
      <c r="A274" s="5" t="s">
        <v>67</v>
      </c>
      <c r="B274" s="4">
        <v>77</v>
      </c>
      <c r="C274" s="15">
        <v>0</v>
      </c>
      <c r="D274" s="17">
        <f t="shared" si="13"/>
        <v>0</v>
      </c>
      <c r="E274" s="6">
        <v>0</v>
      </c>
      <c r="F274" s="6">
        <v>0.05</v>
      </c>
      <c r="G274" s="9">
        <v>3</v>
      </c>
      <c r="H274" s="7">
        <v>2006</v>
      </c>
      <c r="I274" s="13">
        <v>23.2</v>
      </c>
      <c r="J274" s="2">
        <f t="shared" si="12"/>
        <v>23200000</v>
      </c>
      <c r="K274" s="4">
        <v>29.6</v>
      </c>
      <c r="L274" s="4">
        <v>191.93</v>
      </c>
      <c r="M274" s="12">
        <f t="shared" si="11"/>
        <v>191930000</v>
      </c>
      <c r="N274" s="4">
        <v>280.01</v>
      </c>
      <c r="O274" s="4">
        <v>280.01</v>
      </c>
      <c r="P274" s="4" t="s">
        <v>124</v>
      </c>
      <c r="Q274" s="4">
        <v>1</v>
      </c>
      <c r="R274" s="18" t="s">
        <v>111</v>
      </c>
      <c r="S274" s="8" t="s">
        <v>116</v>
      </c>
      <c r="T274" s="8" t="s">
        <v>119</v>
      </c>
      <c r="U274" s="8" t="s">
        <v>119</v>
      </c>
      <c r="V274" s="8" t="s">
        <v>118</v>
      </c>
      <c r="W274" s="8" t="s">
        <v>115</v>
      </c>
    </row>
    <row r="275" spans="1:23" x14ac:dyDescent="0.35">
      <c r="A275" s="5" t="s">
        <v>68</v>
      </c>
      <c r="B275" s="4">
        <v>78</v>
      </c>
      <c r="C275" s="15">
        <v>0</v>
      </c>
      <c r="D275" s="17">
        <f t="shared" si="13"/>
        <v>0</v>
      </c>
      <c r="E275" s="6">
        <v>0</v>
      </c>
      <c r="F275" s="6">
        <v>0.05</v>
      </c>
      <c r="G275" s="9">
        <v>3</v>
      </c>
      <c r="H275" s="7">
        <v>2006</v>
      </c>
      <c r="I275" s="13">
        <v>21.2</v>
      </c>
      <c r="J275" s="2">
        <f t="shared" si="12"/>
        <v>21200000</v>
      </c>
      <c r="K275" s="4">
        <v>30</v>
      </c>
      <c r="L275" s="4">
        <v>0</v>
      </c>
      <c r="M275" s="12">
        <f t="shared" si="11"/>
        <v>0</v>
      </c>
      <c r="N275" s="4">
        <v>0</v>
      </c>
      <c r="O275" s="4">
        <v>0</v>
      </c>
      <c r="P275" s="4" t="s">
        <v>124</v>
      </c>
      <c r="Q275" s="4">
        <v>1</v>
      </c>
      <c r="R275" s="18" t="s">
        <v>117</v>
      </c>
      <c r="S275" s="8" t="s">
        <v>117</v>
      </c>
      <c r="T275" s="8" t="s">
        <v>115</v>
      </c>
      <c r="U275" s="8" t="s">
        <v>117</v>
      </c>
      <c r="V275" s="8" t="s">
        <v>115</v>
      </c>
      <c r="W275" s="8" t="s">
        <v>115</v>
      </c>
    </row>
    <row r="276" spans="1:23" x14ac:dyDescent="0.35">
      <c r="A276" s="5" t="s">
        <v>69</v>
      </c>
      <c r="B276" s="4">
        <v>79</v>
      </c>
      <c r="C276" s="15">
        <v>0</v>
      </c>
      <c r="D276" s="17">
        <f t="shared" si="13"/>
        <v>0</v>
      </c>
      <c r="E276" s="6">
        <v>0</v>
      </c>
      <c r="F276" s="6">
        <v>0.05</v>
      </c>
      <c r="G276" s="9">
        <v>3</v>
      </c>
      <c r="H276" s="7">
        <v>2006</v>
      </c>
      <c r="I276" s="13">
        <v>22.3</v>
      </c>
      <c r="J276" s="2">
        <f t="shared" si="12"/>
        <v>22300000</v>
      </c>
      <c r="K276" s="4">
        <v>27.6</v>
      </c>
      <c r="L276" s="4">
        <v>168.61500000000001</v>
      </c>
      <c r="M276" s="12">
        <f t="shared" si="11"/>
        <v>168615000</v>
      </c>
      <c r="N276" s="4">
        <v>181.59</v>
      </c>
      <c r="O276" s="4">
        <v>170.89000000000001</v>
      </c>
      <c r="P276" s="4" t="s">
        <v>124</v>
      </c>
      <c r="Q276" s="4">
        <v>1</v>
      </c>
      <c r="R276" s="18" t="s">
        <v>112</v>
      </c>
      <c r="S276" s="8" t="s">
        <v>112</v>
      </c>
      <c r="T276" s="8" t="s">
        <v>117</v>
      </c>
      <c r="U276" s="8" t="s">
        <v>117</v>
      </c>
      <c r="V276" s="8" t="s">
        <v>117</v>
      </c>
      <c r="W276" s="8" t="s">
        <v>117</v>
      </c>
    </row>
    <row r="277" spans="1:23" x14ac:dyDescent="0.35">
      <c r="A277" s="5" t="s">
        <v>101</v>
      </c>
      <c r="B277" s="4">
        <v>80</v>
      </c>
      <c r="C277" s="15">
        <v>0</v>
      </c>
      <c r="D277" s="17">
        <f t="shared" si="13"/>
        <v>0</v>
      </c>
      <c r="E277" s="6"/>
      <c r="F277" s="6"/>
      <c r="G277" s="9">
        <v>3</v>
      </c>
      <c r="H277" s="7"/>
      <c r="J277" s="2">
        <f t="shared" si="12"/>
        <v>0</v>
      </c>
      <c r="M277" s="12">
        <f t="shared" si="11"/>
        <v>0</v>
      </c>
      <c r="R277" s="18" t="s">
        <v>136</v>
      </c>
      <c r="S277" s="8"/>
      <c r="T277" s="8"/>
      <c r="U277" s="8"/>
      <c r="V277" s="8"/>
      <c r="W277" s="8"/>
    </row>
    <row r="278" spans="1:23" x14ac:dyDescent="0.35">
      <c r="A278" s="5" t="s">
        <v>70</v>
      </c>
      <c r="B278" s="4">
        <v>81</v>
      </c>
      <c r="C278" s="15">
        <v>0</v>
      </c>
      <c r="D278" s="17">
        <f t="shared" si="13"/>
        <v>0</v>
      </c>
      <c r="E278" s="6">
        <v>0</v>
      </c>
      <c r="F278" s="6">
        <v>0.05</v>
      </c>
      <c r="G278" s="9">
        <v>3</v>
      </c>
      <c r="H278" s="7">
        <v>2006</v>
      </c>
      <c r="I278" s="13">
        <v>21.1</v>
      </c>
      <c r="J278" s="2">
        <f t="shared" si="12"/>
        <v>21100000</v>
      </c>
      <c r="K278" s="4">
        <v>33.6</v>
      </c>
      <c r="L278" s="4">
        <v>108.72499999999999</v>
      </c>
      <c r="M278" s="12">
        <f t="shared" si="11"/>
        <v>108725000</v>
      </c>
      <c r="N278" s="4">
        <v>134.84</v>
      </c>
      <c r="O278" s="4">
        <v>134.84</v>
      </c>
      <c r="P278" s="4" t="s">
        <v>124</v>
      </c>
      <c r="Q278" s="4">
        <v>1</v>
      </c>
      <c r="R278" s="18" t="s">
        <v>113</v>
      </c>
      <c r="S278" s="8" t="s">
        <v>117</v>
      </c>
      <c r="T278" s="8" t="s">
        <v>115</v>
      </c>
      <c r="U278" s="8" t="s">
        <v>113</v>
      </c>
      <c r="V278" s="8" t="s">
        <v>115</v>
      </c>
      <c r="W278" s="8" t="s">
        <v>115</v>
      </c>
    </row>
    <row r="279" spans="1:23" x14ac:dyDescent="0.35">
      <c r="A279" s="5" t="s">
        <v>71</v>
      </c>
      <c r="B279" s="4">
        <v>82</v>
      </c>
      <c r="C279" s="15">
        <v>0</v>
      </c>
      <c r="D279" s="17">
        <f t="shared" si="13"/>
        <v>0</v>
      </c>
      <c r="E279" s="6">
        <v>0</v>
      </c>
      <c r="F279" s="6">
        <v>0.05</v>
      </c>
      <c r="G279" s="9">
        <v>3</v>
      </c>
      <c r="H279" s="7">
        <v>2006</v>
      </c>
      <c r="I279" s="13">
        <v>22.3</v>
      </c>
      <c r="J279" s="2">
        <f t="shared" si="12"/>
        <v>22300000</v>
      </c>
      <c r="K279" s="4">
        <v>32.200000000000003</v>
      </c>
      <c r="L279" s="4">
        <v>299.24799999999999</v>
      </c>
      <c r="M279" s="12">
        <f t="shared" si="11"/>
        <v>299248000</v>
      </c>
      <c r="N279" s="4">
        <v>192.7</v>
      </c>
      <c r="O279" s="4">
        <v>132.69999999999999</v>
      </c>
      <c r="P279" s="4" t="s">
        <v>124</v>
      </c>
      <c r="Q279" s="4">
        <v>1</v>
      </c>
      <c r="R279" s="18" t="s">
        <v>112</v>
      </c>
      <c r="S279" s="8" t="s">
        <v>114</v>
      </c>
      <c r="T279" s="8" t="s">
        <v>115</v>
      </c>
      <c r="U279" s="8" t="s">
        <v>115</v>
      </c>
      <c r="V279" s="8" t="s">
        <v>114</v>
      </c>
      <c r="W279" s="8" t="s">
        <v>114</v>
      </c>
    </row>
    <row r="280" spans="1:23" x14ac:dyDescent="0.35">
      <c r="A280" s="5" t="s">
        <v>72</v>
      </c>
      <c r="B280" s="4">
        <v>83</v>
      </c>
      <c r="C280" s="15">
        <v>0</v>
      </c>
      <c r="D280" s="17">
        <f t="shared" si="13"/>
        <v>0</v>
      </c>
      <c r="E280" s="6">
        <v>0</v>
      </c>
      <c r="F280" s="6">
        <v>0.05</v>
      </c>
      <c r="G280" s="9">
        <v>3</v>
      </c>
      <c r="H280" s="7">
        <v>2006</v>
      </c>
      <c r="I280" s="13">
        <v>19.8</v>
      </c>
      <c r="J280" s="2">
        <f t="shared" si="12"/>
        <v>19800000</v>
      </c>
      <c r="K280" s="4">
        <v>29.5</v>
      </c>
      <c r="L280" s="4">
        <v>129.846</v>
      </c>
      <c r="M280" s="12">
        <f t="shared" si="11"/>
        <v>129846000</v>
      </c>
      <c r="N280" s="4">
        <v>163.9</v>
      </c>
      <c r="O280" s="4">
        <v>163.9</v>
      </c>
      <c r="P280" s="4" t="s">
        <v>124</v>
      </c>
      <c r="Q280" s="4">
        <v>1</v>
      </c>
      <c r="R280" s="18" t="s">
        <v>113</v>
      </c>
      <c r="S280" s="8" t="s">
        <v>114</v>
      </c>
      <c r="T280" s="8" t="s">
        <v>112</v>
      </c>
      <c r="U280" s="8" t="s">
        <v>112</v>
      </c>
      <c r="V280" s="8" t="s">
        <v>115</v>
      </c>
      <c r="W280" s="8" t="s">
        <v>115</v>
      </c>
    </row>
    <row r="281" spans="1:23" x14ac:dyDescent="0.35">
      <c r="A281" s="5" t="s">
        <v>73</v>
      </c>
      <c r="B281" s="4">
        <v>84</v>
      </c>
      <c r="C281" s="15">
        <v>0</v>
      </c>
      <c r="D281" s="17">
        <f t="shared" si="13"/>
        <v>0</v>
      </c>
      <c r="E281" s="6">
        <v>0</v>
      </c>
      <c r="F281" s="6">
        <v>0.05</v>
      </c>
      <c r="G281" s="9">
        <v>3</v>
      </c>
      <c r="H281" s="7">
        <v>2006</v>
      </c>
      <c r="I281" s="13">
        <v>19.2</v>
      </c>
      <c r="J281" s="2">
        <f t="shared" si="12"/>
        <v>19200000</v>
      </c>
      <c r="K281" s="4">
        <v>35.299999999999997</v>
      </c>
      <c r="L281" s="4">
        <v>96.025000000000006</v>
      </c>
      <c r="M281" s="12">
        <f t="shared" si="11"/>
        <v>96025000</v>
      </c>
      <c r="N281" s="4">
        <v>24.1</v>
      </c>
      <c r="O281" s="4">
        <v>0</v>
      </c>
      <c r="P281" s="4" t="s">
        <v>124</v>
      </c>
      <c r="Q281" s="4">
        <v>1</v>
      </c>
      <c r="R281" s="18" t="s">
        <v>117</v>
      </c>
      <c r="S281" s="8" t="s">
        <v>117</v>
      </c>
      <c r="T281" s="8" t="s">
        <v>115</v>
      </c>
      <c r="U281" s="8" t="s">
        <v>115</v>
      </c>
      <c r="V281" s="8" t="s">
        <v>115</v>
      </c>
      <c r="W281" s="8" t="s">
        <v>117</v>
      </c>
    </row>
    <row r="282" spans="1:23" x14ac:dyDescent="0.35">
      <c r="A282" s="5" t="s">
        <v>74</v>
      </c>
      <c r="B282" s="4">
        <v>85</v>
      </c>
      <c r="C282" s="15">
        <v>0</v>
      </c>
      <c r="D282" s="17">
        <f t="shared" si="13"/>
        <v>0</v>
      </c>
      <c r="E282" s="6">
        <v>0</v>
      </c>
      <c r="F282" s="6">
        <v>0.05</v>
      </c>
      <c r="G282" s="9">
        <v>3</v>
      </c>
      <c r="H282" s="7">
        <v>2006</v>
      </c>
      <c r="I282" s="13">
        <v>21</v>
      </c>
      <c r="J282" s="2">
        <f t="shared" si="12"/>
        <v>21000000</v>
      </c>
      <c r="K282" s="4">
        <v>35.5</v>
      </c>
      <c r="L282" s="4">
        <v>155.16</v>
      </c>
      <c r="M282" s="12">
        <f t="shared" si="11"/>
        <v>155160000</v>
      </c>
      <c r="N282" s="4">
        <v>146.6</v>
      </c>
      <c r="O282" s="4">
        <v>146.6</v>
      </c>
      <c r="P282" s="4" t="s">
        <v>124</v>
      </c>
      <c r="Q282" s="4">
        <v>1</v>
      </c>
      <c r="R282" s="18" t="s">
        <v>113</v>
      </c>
      <c r="S282" s="8" t="s">
        <v>116</v>
      </c>
      <c r="T282" s="8" t="s">
        <v>114</v>
      </c>
      <c r="U282" s="8" t="s">
        <v>116</v>
      </c>
      <c r="V282" s="8" t="s">
        <v>116</v>
      </c>
      <c r="W282" s="8" t="s">
        <v>115</v>
      </c>
    </row>
    <row r="283" spans="1:23" x14ac:dyDescent="0.35">
      <c r="A283" s="5" t="s">
        <v>75</v>
      </c>
      <c r="B283" s="4">
        <v>86</v>
      </c>
      <c r="C283" s="15">
        <v>0</v>
      </c>
      <c r="D283" s="17">
        <f t="shared" si="13"/>
        <v>0</v>
      </c>
      <c r="E283" s="6">
        <v>0</v>
      </c>
      <c r="F283" s="6">
        <v>0.05</v>
      </c>
      <c r="G283" s="9">
        <v>3</v>
      </c>
      <c r="H283" s="7">
        <v>2006</v>
      </c>
      <c r="I283" s="13">
        <v>21.2</v>
      </c>
      <c r="J283" s="2">
        <f t="shared" si="12"/>
        <v>21200000</v>
      </c>
      <c r="K283" s="4">
        <v>32.5</v>
      </c>
      <c r="L283" s="4">
        <v>246.2</v>
      </c>
      <c r="M283" s="12">
        <f t="shared" si="11"/>
        <v>246200000</v>
      </c>
      <c r="N283" s="4">
        <v>-9999</v>
      </c>
      <c r="O283" s="4">
        <v>0</v>
      </c>
      <c r="P283" s="4" t="s">
        <v>124</v>
      </c>
      <c r="Q283" s="4">
        <v>1</v>
      </c>
      <c r="R283" s="18" t="s">
        <v>112</v>
      </c>
      <c r="S283" s="8" t="s">
        <v>116</v>
      </c>
      <c r="T283" s="8" t="s">
        <v>117</v>
      </c>
      <c r="U283" s="8" t="s">
        <v>115</v>
      </c>
      <c r="V283" s="8" t="s">
        <v>114</v>
      </c>
      <c r="W283" s="8" t="s">
        <v>117</v>
      </c>
    </row>
    <row r="284" spans="1:23" x14ac:dyDescent="0.35">
      <c r="A284" s="5" t="s">
        <v>76</v>
      </c>
      <c r="B284" s="4">
        <v>87</v>
      </c>
      <c r="C284" s="15">
        <v>0</v>
      </c>
      <c r="D284" s="17">
        <f t="shared" si="13"/>
        <v>0</v>
      </c>
      <c r="E284" s="6">
        <v>0</v>
      </c>
      <c r="F284" s="6">
        <v>0.05</v>
      </c>
      <c r="G284" s="9">
        <v>3</v>
      </c>
      <c r="H284" s="7">
        <v>2006</v>
      </c>
      <c r="I284" s="13">
        <v>19.899999999999999</v>
      </c>
      <c r="J284" s="2">
        <f t="shared" si="12"/>
        <v>19900000</v>
      </c>
      <c r="K284" s="4">
        <v>30.9</v>
      </c>
      <c r="L284" s="4">
        <v>54.825000000000003</v>
      </c>
      <c r="M284" s="12">
        <f t="shared" si="11"/>
        <v>54825000</v>
      </c>
      <c r="N284" s="4">
        <v>70.7</v>
      </c>
      <c r="O284" s="4">
        <v>70.7</v>
      </c>
      <c r="P284" s="4" t="s">
        <v>124</v>
      </c>
      <c r="Q284" s="4">
        <v>1</v>
      </c>
      <c r="R284" s="18" t="s">
        <v>117</v>
      </c>
      <c r="S284" s="8" t="s">
        <v>117</v>
      </c>
      <c r="T284" s="8" t="s">
        <v>117</v>
      </c>
      <c r="U284" s="8" t="s">
        <v>115</v>
      </c>
      <c r="V284" s="8" t="s">
        <v>115</v>
      </c>
      <c r="W284" s="8" t="s">
        <v>115</v>
      </c>
    </row>
    <row r="285" spans="1:23" x14ac:dyDescent="0.35">
      <c r="A285" s="5" t="s">
        <v>77</v>
      </c>
      <c r="B285" s="4">
        <v>88</v>
      </c>
      <c r="C285" s="15">
        <v>0</v>
      </c>
      <c r="D285" s="17">
        <f t="shared" si="13"/>
        <v>0</v>
      </c>
      <c r="E285" s="6">
        <v>0</v>
      </c>
      <c r="F285" s="6">
        <v>0.05</v>
      </c>
      <c r="G285" s="9">
        <v>3</v>
      </c>
      <c r="H285" s="7">
        <v>2006</v>
      </c>
      <c r="I285" s="13">
        <v>17.7</v>
      </c>
      <c r="J285" s="2">
        <f t="shared" si="12"/>
        <v>17700000</v>
      </c>
      <c r="K285" s="4">
        <v>36.5</v>
      </c>
      <c r="L285" s="4">
        <v>43.6</v>
      </c>
      <c r="M285" s="12">
        <f t="shared" si="11"/>
        <v>43600000</v>
      </c>
      <c r="N285" s="4">
        <v>33.9</v>
      </c>
      <c r="O285" s="4">
        <v>33.9</v>
      </c>
      <c r="P285" s="4" t="s">
        <v>124</v>
      </c>
      <c r="Q285" s="4">
        <v>1</v>
      </c>
      <c r="R285" s="18" t="s">
        <v>117</v>
      </c>
      <c r="S285" s="8" t="s">
        <v>117</v>
      </c>
      <c r="T285" s="8" t="s">
        <v>115</v>
      </c>
      <c r="U285" s="8" t="s">
        <v>115</v>
      </c>
      <c r="V285" s="8" t="s">
        <v>117</v>
      </c>
      <c r="W285" s="8" t="s">
        <v>115</v>
      </c>
    </row>
    <row r="286" spans="1:23" x14ac:dyDescent="0.35">
      <c r="A286" s="5" t="s">
        <v>78</v>
      </c>
      <c r="B286" s="4">
        <v>89</v>
      </c>
      <c r="C286" s="15">
        <v>0</v>
      </c>
      <c r="D286" s="17">
        <f t="shared" si="13"/>
        <v>0</v>
      </c>
      <c r="E286" s="6">
        <v>0</v>
      </c>
      <c r="F286" s="6">
        <v>0.05</v>
      </c>
      <c r="G286" s="9">
        <v>3</v>
      </c>
      <c r="H286" s="7">
        <v>2006</v>
      </c>
      <c r="I286" s="13">
        <v>18</v>
      </c>
      <c r="J286" s="2">
        <f t="shared" si="12"/>
        <v>18000000</v>
      </c>
      <c r="K286" s="4">
        <v>36.9</v>
      </c>
      <c r="L286" s="4">
        <v>87.4</v>
      </c>
      <c r="M286" s="12">
        <f t="shared" si="11"/>
        <v>87400000</v>
      </c>
      <c r="N286" s="4">
        <v>77.3</v>
      </c>
      <c r="O286" s="4">
        <v>77.3</v>
      </c>
      <c r="P286" s="4" t="s">
        <v>124</v>
      </c>
      <c r="Q286" s="4">
        <v>1</v>
      </c>
      <c r="R286" s="18" t="s">
        <v>114</v>
      </c>
      <c r="S286" s="8" t="s">
        <v>117</v>
      </c>
      <c r="T286" s="8" t="s">
        <v>115</v>
      </c>
      <c r="U286" s="8" t="s">
        <v>114</v>
      </c>
      <c r="V286" s="8" t="s">
        <v>115</v>
      </c>
      <c r="W286" s="8" t="s">
        <v>115</v>
      </c>
    </row>
    <row r="287" spans="1:23" x14ac:dyDescent="0.35">
      <c r="A287" s="5" t="s">
        <v>79</v>
      </c>
      <c r="B287" s="4">
        <v>90</v>
      </c>
      <c r="C287" s="15">
        <v>0</v>
      </c>
      <c r="D287" s="17">
        <f t="shared" si="13"/>
        <v>0</v>
      </c>
      <c r="E287" s="6">
        <v>0</v>
      </c>
      <c r="F287" s="6">
        <v>0.05</v>
      </c>
      <c r="G287" s="9">
        <v>3</v>
      </c>
      <c r="H287" s="7">
        <v>2006</v>
      </c>
      <c r="I287" s="13">
        <v>22.5</v>
      </c>
      <c r="J287" s="2">
        <f t="shared" si="12"/>
        <v>22500000</v>
      </c>
      <c r="K287" s="4">
        <v>33.9</v>
      </c>
      <c r="L287" s="4">
        <v>160.72499999999999</v>
      </c>
      <c r="M287" s="12">
        <f t="shared" si="11"/>
        <v>160725000</v>
      </c>
      <c r="N287" s="4">
        <v>152.9</v>
      </c>
      <c r="O287" s="4">
        <v>6</v>
      </c>
      <c r="P287" s="4" t="s">
        <v>124</v>
      </c>
      <c r="Q287" s="4">
        <v>1</v>
      </c>
      <c r="R287" s="18" t="s">
        <v>114</v>
      </c>
      <c r="S287" s="8" t="s">
        <v>114</v>
      </c>
      <c r="T287" s="8" t="s">
        <v>115</v>
      </c>
      <c r="U287" s="8" t="s">
        <v>117</v>
      </c>
      <c r="V287" s="8" t="s">
        <v>115</v>
      </c>
      <c r="W287" s="8" t="s">
        <v>117</v>
      </c>
    </row>
    <row r="288" spans="1:23" x14ac:dyDescent="0.35">
      <c r="A288" s="5" t="s">
        <v>80</v>
      </c>
      <c r="B288" s="4">
        <v>91</v>
      </c>
      <c r="C288" s="15">
        <v>0</v>
      </c>
      <c r="D288" s="17">
        <f t="shared" si="13"/>
        <v>0</v>
      </c>
      <c r="E288" s="6">
        <v>0</v>
      </c>
      <c r="F288" s="6">
        <v>0.05</v>
      </c>
      <c r="G288" s="9">
        <v>3</v>
      </c>
      <c r="H288" s="7">
        <v>2006</v>
      </c>
      <c r="I288" s="13">
        <v>20.399999999999999</v>
      </c>
      <c r="J288" s="2">
        <f t="shared" si="12"/>
        <v>20400000</v>
      </c>
      <c r="K288" s="4">
        <v>28.2</v>
      </c>
      <c r="L288" s="4">
        <v>228.61199999999999</v>
      </c>
      <c r="M288" s="12">
        <f t="shared" si="11"/>
        <v>228612000</v>
      </c>
      <c r="N288" s="4">
        <v>375.53</v>
      </c>
      <c r="O288" s="4">
        <v>118.42999999999995</v>
      </c>
      <c r="P288" s="4" t="s">
        <v>124</v>
      </c>
      <c r="Q288" s="4">
        <v>1</v>
      </c>
      <c r="R288" s="18" t="s">
        <v>113</v>
      </c>
      <c r="S288" s="8" t="s">
        <v>112</v>
      </c>
      <c r="T288" s="8" t="s">
        <v>114</v>
      </c>
      <c r="U288" s="8" t="s">
        <v>114</v>
      </c>
      <c r="V288" s="8" t="s">
        <v>114</v>
      </c>
      <c r="W288" s="8" t="s">
        <v>114</v>
      </c>
    </row>
    <row r="289" spans="1:23" x14ac:dyDescent="0.35">
      <c r="A289" s="5" t="s">
        <v>81</v>
      </c>
      <c r="B289" s="4">
        <v>92</v>
      </c>
      <c r="C289" s="15">
        <v>0</v>
      </c>
      <c r="D289" s="17">
        <f t="shared" si="13"/>
        <v>0</v>
      </c>
      <c r="E289" s="6">
        <v>0</v>
      </c>
      <c r="F289" s="6">
        <v>0.05</v>
      </c>
      <c r="G289" s="9">
        <v>3</v>
      </c>
      <c r="H289" s="7">
        <v>2006</v>
      </c>
      <c r="I289" s="13">
        <v>17.7</v>
      </c>
      <c r="J289" s="2">
        <f t="shared" si="12"/>
        <v>17700000</v>
      </c>
      <c r="K289" s="4">
        <v>36.799999999999997</v>
      </c>
      <c r="L289" s="4">
        <v>171.31800000000001</v>
      </c>
      <c r="M289" s="12">
        <f t="shared" si="11"/>
        <v>171318000</v>
      </c>
      <c r="N289" s="4">
        <v>132.19999999999999</v>
      </c>
      <c r="O289" s="4">
        <v>132.19999999999999</v>
      </c>
      <c r="P289" s="4" t="s">
        <v>124</v>
      </c>
      <c r="Q289" s="4">
        <v>1</v>
      </c>
      <c r="R289" s="18" t="s">
        <v>114</v>
      </c>
      <c r="S289" s="8" t="s">
        <v>117</v>
      </c>
      <c r="T289" s="8" t="s">
        <v>115</v>
      </c>
      <c r="U289" s="8" t="s">
        <v>115</v>
      </c>
      <c r="V289" s="8" t="s">
        <v>114</v>
      </c>
      <c r="W289" s="8" t="s">
        <v>115</v>
      </c>
    </row>
    <row r="290" spans="1:23" x14ac:dyDescent="0.35">
      <c r="A290" s="5" t="s">
        <v>82</v>
      </c>
      <c r="B290" s="4">
        <v>93</v>
      </c>
      <c r="C290" s="15">
        <v>0</v>
      </c>
      <c r="D290" s="17">
        <f t="shared" si="13"/>
        <v>0</v>
      </c>
      <c r="E290" s="6">
        <v>0</v>
      </c>
      <c r="F290" s="6">
        <v>0.05</v>
      </c>
      <c r="G290" s="9">
        <v>3</v>
      </c>
      <c r="H290" s="7">
        <v>2006</v>
      </c>
      <c r="I290" s="13">
        <v>22.5</v>
      </c>
      <c r="J290" s="2">
        <f t="shared" si="12"/>
        <v>22500000</v>
      </c>
      <c r="K290" s="4">
        <v>30.7</v>
      </c>
      <c r="L290" s="4">
        <v>885.47500000000002</v>
      </c>
      <c r="M290" s="12">
        <f t="shared" si="11"/>
        <v>885475000</v>
      </c>
      <c r="N290" s="4">
        <v>1161.7</v>
      </c>
      <c r="O290" s="4">
        <v>302.20000000000005</v>
      </c>
      <c r="P290" s="4" t="s">
        <v>124</v>
      </c>
      <c r="Q290" s="4">
        <v>1</v>
      </c>
      <c r="R290" s="18" t="s">
        <v>111</v>
      </c>
      <c r="S290" s="8" t="s">
        <v>112</v>
      </c>
      <c r="T290" s="8" t="s">
        <v>112</v>
      </c>
      <c r="U290" s="8" t="s">
        <v>112</v>
      </c>
      <c r="V290" s="8" t="s">
        <v>112</v>
      </c>
      <c r="W290" s="8" t="s">
        <v>112</v>
      </c>
    </row>
    <row r="291" spans="1:23" x14ac:dyDescent="0.35">
      <c r="A291" s="5" t="s">
        <v>89</v>
      </c>
      <c r="B291" s="4">
        <v>94</v>
      </c>
      <c r="C291" s="15">
        <v>0</v>
      </c>
      <c r="D291" s="17">
        <f t="shared" si="13"/>
        <v>0</v>
      </c>
      <c r="E291" s="6"/>
      <c r="F291" s="6"/>
      <c r="G291" s="9">
        <v>3</v>
      </c>
      <c r="H291" s="7"/>
      <c r="J291" s="2">
        <f t="shared" si="12"/>
        <v>0</v>
      </c>
      <c r="M291" s="12">
        <f t="shared" si="11"/>
        <v>0</v>
      </c>
      <c r="R291" s="18" t="s">
        <v>129</v>
      </c>
      <c r="S291" s="8"/>
      <c r="T291" s="8"/>
      <c r="U291" s="8"/>
      <c r="V291" s="8"/>
      <c r="W291" s="8"/>
    </row>
    <row r="292" spans="1:23" x14ac:dyDescent="0.35">
      <c r="A292" s="5" t="s">
        <v>83</v>
      </c>
      <c r="B292" s="4">
        <v>95</v>
      </c>
      <c r="C292" s="15">
        <v>0</v>
      </c>
      <c r="D292" s="17">
        <f t="shared" si="13"/>
        <v>0</v>
      </c>
      <c r="E292" s="6">
        <v>0</v>
      </c>
      <c r="F292" s="6">
        <v>0.05</v>
      </c>
      <c r="G292" s="9">
        <v>3</v>
      </c>
      <c r="H292" s="7">
        <v>2006</v>
      </c>
      <c r="I292" s="13">
        <v>19.5</v>
      </c>
      <c r="J292" s="2">
        <f t="shared" si="12"/>
        <v>19500000</v>
      </c>
      <c r="K292" s="4">
        <v>28.8</v>
      </c>
      <c r="L292" s="4">
        <v>562.04200000000003</v>
      </c>
      <c r="M292" s="12">
        <f t="shared" si="11"/>
        <v>562042000</v>
      </c>
      <c r="N292" s="4">
        <v>666.97</v>
      </c>
      <c r="O292" s="4">
        <v>461.46000000000004</v>
      </c>
      <c r="P292" s="4" t="s">
        <v>124</v>
      </c>
      <c r="Q292" s="4">
        <v>1</v>
      </c>
      <c r="R292" s="18" t="s">
        <v>111</v>
      </c>
      <c r="S292" s="8" t="s">
        <v>114</v>
      </c>
      <c r="T292" s="8" t="s">
        <v>115</v>
      </c>
      <c r="U292" s="8" t="s">
        <v>115</v>
      </c>
      <c r="V292" s="8" t="s">
        <v>113</v>
      </c>
      <c r="W292" s="8" t="s">
        <v>113</v>
      </c>
    </row>
    <row r="293" spans="1:23" x14ac:dyDescent="0.35">
      <c r="A293" s="5" t="s">
        <v>84</v>
      </c>
      <c r="B293" s="4">
        <v>96</v>
      </c>
      <c r="C293" s="15">
        <v>0</v>
      </c>
      <c r="D293" s="17">
        <f t="shared" si="13"/>
        <v>0</v>
      </c>
      <c r="E293" s="6">
        <v>0</v>
      </c>
      <c r="F293" s="6">
        <v>0.05</v>
      </c>
      <c r="G293" s="9">
        <v>3</v>
      </c>
      <c r="H293" s="7">
        <v>2006</v>
      </c>
      <c r="I293" s="13">
        <v>16.8</v>
      </c>
      <c r="J293" s="2">
        <f t="shared" si="12"/>
        <v>16800000</v>
      </c>
      <c r="K293" s="4">
        <v>35.1</v>
      </c>
      <c r="L293" s="4">
        <v>185.72499999999999</v>
      </c>
      <c r="M293" s="12">
        <f t="shared" si="11"/>
        <v>185725000</v>
      </c>
      <c r="N293" s="4">
        <v>103</v>
      </c>
      <c r="O293" s="4">
        <v>0</v>
      </c>
      <c r="P293" s="4" t="s">
        <v>124</v>
      </c>
      <c r="Q293" s="4">
        <v>1</v>
      </c>
      <c r="R293" s="18" t="s">
        <v>114</v>
      </c>
      <c r="S293" s="8" t="s">
        <v>114</v>
      </c>
      <c r="T293" s="8" t="s">
        <v>115</v>
      </c>
      <c r="U293" s="8" t="s">
        <v>115</v>
      </c>
      <c r="V293" s="8" t="s">
        <v>117</v>
      </c>
      <c r="W293" s="8" t="s">
        <v>117</v>
      </c>
    </row>
    <row r="294" spans="1:23" x14ac:dyDescent="0.35">
      <c r="A294" s="5" t="s">
        <v>85</v>
      </c>
      <c r="B294" s="4">
        <v>97</v>
      </c>
      <c r="C294" s="15">
        <v>0</v>
      </c>
      <c r="D294" s="17">
        <f t="shared" si="13"/>
        <v>0</v>
      </c>
      <c r="E294" s="6">
        <v>0</v>
      </c>
      <c r="F294" s="6">
        <v>0.05</v>
      </c>
      <c r="G294" s="9">
        <v>3</v>
      </c>
      <c r="H294" s="7">
        <v>2006</v>
      </c>
      <c r="I294" s="13">
        <v>20.6</v>
      </c>
      <c r="J294" s="2">
        <f t="shared" si="12"/>
        <v>20600000</v>
      </c>
      <c r="K294" s="4">
        <v>31.8</v>
      </c>
      <c r="L294" s="4">
        <v>265.86799999999999</v>
      </c>
      <c r="M294" s="12">
        <f t="shared" si="11"/>
        <v>265868000</v>
      </c>
      <c r="N294" s="4">
        <v>144.5</v>
      </c>
      <c r="O294" s="4">
        <v>144.5</v>
      </c>
      <c r="P294" s="4" t="s">
        <v>124</v>
      </c>
      <c r="Q294" s="4">
        <v>1</v>
      </c>
      <c r="R294" s="18" t="s">
        <v>112</v>
      </c>
      <c r="S294" s="8" t="s">
        <v>117</v>
      </c>
      <c r="T294" s="8" t="s">
        <v>115</v>
      </c>
      <c r="U294" s="8" t="s">
        <v>115</v>
      </c>
      <c r="V294" s="8" t="s">
        <v>112</v>
      </c>
      <c r="W294" s="8" t="s">
        <v>115</v>
      </c>
    </row>
    <row r="295" spans="1:23" x14ac:dyDescent="0.35">
      <c r="A295" s="5" t="s">
        <v>93</v>
      </c>
      <c r="B295" s="4">
        <v>98</v>
      </c>
      <c r="C295" s="15">
        <v>0</v>
      </c>
      <c r="D295" s="17">
        <f t="shared" si="13"/>
        <v>0</v>
      </c>
      <c r="E295" s="6"/>
      <c r="F295" s="6"/>
      <c r="G295" s="9">
        <v>3</v>
      </c>
      <c r="H295" s="7"/>
      <c r="J295" s="2">
        <f t="shared" si="12"/>
        <v>0</v>
      </c>
      <c r="M295" s="12">
        <f t="shared" si="11"/>
        <v>0</v>
      </c>
      <c r="R295" s="18" t="s">
        <v>132</v>
      </c>
      <c r="S295" s="8"/>
      <c r="T295" s="8"/>
      <c r="U295" s="8"/>
      <c r="V295" s="8"/>
      <c r="W295" s="8"/>
    </row>
    <row r="296" spans="1:23" x14ac:dyDescent="0.35">
      <c r="A296" s="3" t="s">
        <v>90</v>
      </c>
      <c r="B296" s="4">
        <v>1</v>
      </c>
      <c r="C296" s="15">
        <v>0</v>
      </c>
      <c r="D296" s="17">
        <f t="shared" si="13"/>
        <v>0</v>
      </c>
      <c r="G296" s="9">
        <v>4</v>
      </c>
      <c r="J296" s="2">
        <f t="shared" si="12"/>
        <v>0</v>
      </c>
      <c r="M296" s="12">
        <f t="shared" si="11"/>
        <v>0</v>
      </c>
      <c r="R296" s="12" t="s">
        <v>125</v>
      </c>
    </row>
    <row r="297" spans="1:23" x14ac:dyDescent="0.35">
      <c r="A297" s="3" t="s">
        <v>91</v>
      </c>
      <c r="B297" s="4">
        <v>2</v>
      </c>
      <c r="C297" s="15">
        <v>0</v>
      </c>
      <c r="D297" s="17">
        <f t="shared" si="13"/>
        <v>0</v>
      </c>
      <c r="G297" s="9">
        <v>4</v>
      </c>
      <c r="J297" s="2">
        <f t="shared" si="12"/>
        <v>0</v>
      </c>
      <c r="M297" s="12">
        <f t="shared" si="11"/>
        <v>0</v>
      </c>
      <c r="R297" s="12" t="s">
        <v>126</v>
      </c>
    </row>
    <row r="298" spans="1:23" x14ac:dyDescent="0.35">
      <c r="A298" s="5" t="s">
        <v>4</v>
      </c>
      <c r="B298" s="4">
        <v>3</v>
      </c>
      <c r="C298" s="15">
        <v>0</v>
      </c>
      <c r="D298" s="17">
        <f t="shared" si="13"/>
        <v>0</v>
      </c>
      <c r="E298" s="6">
        <v>0</v>
      </c>
      <c r="F298" s="6">
        <v>0.05</v>
      </c>
      <c r="G298" s="9">
        <v>4</v>
      </c>
      <c r="H298" s="7">
        <v>2008</v>
      </c>
      <c r="I298" s="13">
        <v>18.62</v>
      </c>
      <c r="J298" s="2">
        <f t="shared" si="12"/>
        <v>18620000</v>
      </c>
      <c r="K298" s="4">
        <v>6.16</v>
      </c>
      <c r="L298" s="4">
        <v>320.45699999999999</v>
      </c>
      <c r="M298" s="12">
        <f t="shared" si="11"/>
        <v>320457000</v>
      </c>
      <c r="N298" s="4">
        <v>283.93</v>
      </c>
      <c r="O298" s="4">
        <v>173.48000000000002</v>
      </c>
      <c r="P298" s="4" t="s">
        <v>123</v>
      </c>
      <c r="Q298" s="4">
        <v>1</v>
      </c>
      <c r="R298" s="18" t="s">
        <v>111</v>
      </c>
      <c r="S298" s="8" t="s">
        <v>112</v>
      </c>
      <c r="T298" s="8" t="s">
        <v>112</v>
      </c>
      <c r="U298" s="8" t="s">
        <v>112</v>
      </c>
      <c r="V298" s="8" t="s">
        <v>112</v>
      </c>
      <c r="W298" s="8" t="s">
        <v>112</v>
      </c>
    </row>
    <row r="299" spans="1:23" x14ac:dyDescent="0.35">
      <c r="A299" s="5" t="s">
        <v>5</v>
      </c>
      <c r="B299" s="4">
        <v>4</v>
      </c>
      <c r="C299" s="15">
        <v>0</v>
      </c>
      <c r="D299" s="17">
        <f t="shared" si="13"/>
        <v>0</v>
      </c>
      <c r="E299" s="6">
        <v>0</v>
      </c>
      <c r="F299" s="6">
        <v>0.05</v>
      </c>
      <c r="G299" s="9">
        <v>4</v>
      </c>
      <c r="H299" s="7">
        <v>2008</v>
      </c>
      <c r="I299" s="13">
        <v>19.329999999999998</v>
      </c>
      <c r="J299" s="2">
        <f t="shared" si="12"/>
        <v>19330000</v>
      </c>
      <c r="K299" s="4">
        <v>5.6</v>
      </c>
      <c r="L299" s="4">
        <v>194.05</v>
      </c>
      <c r="M299" s="12">
        <f t="shared" si="11"/>
        <v>194050000</v>
      </c>
      <c r="N299" s="4">
        <v>191.82</v>
      </c>
      <c r="O299" s="4">
        <v>191.82</v>
      </c>
      <c r="P299" s="4" t="s">
        <v>123</v>
      </c>
      <c r="Q299" s="4">
        <v>1</v>
      </c>
      <c r="R299" s="18" t="s">
        <v>113</v>
      </c>
      <c r="S299" s="8" t="s">
        <v>114</v>
      </c>
      <c r="T299" s="8" t="s">
        <v>112</v>
      </c>
      <c r="U299" s="8" t="s">
        <v>115</v>
      </c>
      <c r="V299" s="8" t="s">
        <v>112</v>
      </c>
      <c r="W299" s="8" t="s">
        <v>115</v>
      </c>
    </row>
    <row r="300" spans="1:23" x14ac:dyDescent="0.35">
      <c r="A300" s="5" t="s">
        <v>6</v>
      </c>
      <c r="B300" s="4">
        <v>5</v>
      </c>
      <c r="C300" s="15">
        <v>0</v>
      </c>
      <c r="D300" s="17">
        <f t="shared" si="13"/>
        <v>0</v>
      </c>
      <c r="E300" s="6">
        <v>0</v>
      </c>
      <c r="F300" s="6">
        <v>0.05</v>
      </c>
      <c r="G300" s="9">
        <v>4</v>
      </c>
      <c r="H300" s="7">
        <v>2008</v>
      </c>
      <c r="I300" s="13">
        <v>14.89</v>
      </c>
      <c r="J300" s="2">
        <f t="shared" si="12"/>
        <v>14890000</v>
      </c>
      <c r="K300" s="4">
        <v>6.25</v>
      </c>
      <c r="L300" s="4">
        <v>309.553</v>
      </c>
      <c r="M300" s="12">
        <f t="shared" si="11"/>
        <v>309553000</v>
      </c>
      <c r="N300" s="4">
        <v>254.34</v>
      </c>
      <c r="O300" s="4">
        <v>225.85</v>
      </c>
      <c r="P300" s="4" t="s">
        <v>123</v>
      </c>
      <c r="Q300" s="4">
        <v>1</v>
      </c>
      <c r="R300" s="18" t="s">
        <v>113</v>
      </c>
      <c r="S300" s="8" t="s">
        <v>116</v>
      </c>
      <c r="T300" s="8" t="s">
        <v>116</v>
      </c>
      <c r="U300" s="8" t="s">
        <v>116</v>
      </c>
      <c r="V300" s="8" t="s">
        <v>115</v>
      </c>
      <c r="W300" s="8" t="s">
        <v>114</v>
      </c>
    </row>
    <row r="301" spans="1:23" x14ac:dyDescent="0.35">
      <c r="A301" s="5" t="s">
        <v>7</v>
      </c>
      <c r="B301" s="4">
        <v>6</v>
      </c>
      <c r="C301" s="15">
        <v>0</v>
      </c>
      <c r="D301" s="17">
        <f t="shared" si="13"/>
        <v>0</v>
      </c>
      <c r="E301" s="6">
        <v>0</v>
      </c>
      <c r="F301" s="6">
        <v>0.05</v>
      </c>
      <c r="G301" s="9">
        <v>4</v>
      </c>
      <c r="H301" s="7">
        <v>2008</v>
      </c>
      <c r="I301" s="13">
        <v>15.17</v>
      </c>
      <c r="J301" s="2">
        <f t="shared" si="12"/>
        <v>15170000</v>
      </c>
      <c r="K301" s="4">
        <v>6.5</v>
      </c>
      <c r="L301" s="4">
        <v>134.19999999999999</v>
      </c>
      <c r="M301" s="12">
        <f t="shared" si="11"/>
        <v>134199999.99999999</v>
      </c>
      <c r="N301" s="4">
        <v>23.9</v>
      </c>
      <c r="O301" s="4">
        <v>23.9</v>
      </c>
      <c r="P301" s="4" t="s">
        <v>123</v>
      </c>
      <c r="Q301" s="4">
        <v>1</v>
      </c>
      <c r="R301" s="18" t="s">
        <v>112</v>
      </c>
      <c r="S301" s="8" t="s">
        <v>112</v>
      </c>
      <c r="T301" s="8" t="s">
        <v>117</v>
      </c>
      <c r="U301" s="8" t="s">
        <v>117</v>
      </c>
      <c r="V301" s="8" t="s">
        <v>117</v>
      </c>
      <c r="W301" s="8" t="s">
        <v>117</v>
      </c>
    </row>
    <row r="302" spans="1:23" x14ac:dyDescent="0.35">
      <c r="A302" s="5" t="s">
        <v>8</v>
      </c>
      <c r="B302" s="4">
        <v>7</v>
      </c>
      <c r="C302" s="15">
        <v>0</v>
      </c>
      <c r="D302" s="17">
        <f t="shared" si="13"/>
        <v>0</v>
      </c>
      <c r="E302" s="6">
        <v>0</v>
      </c>
      <c r="F302" s="6">
        <v>0.05</v>
      </c>
      <c r="G302" s="9">
        <v>4</v>
      </c>
      <c r="H302" s="7">
        <v>2008</v>
      </c>
      <c r="I302" s="13">
        <v>23.12</v>
      </c>
      <c r="J302" s="2">
        <f t="shared" si="12"/>
        <v>23120000</v>
      </c>
      <c r="K302" s="4">
        <v>5.52</v>
      </c>
      <c r="L302" s="4">
        <v>63.036999999999999</v>
      </c>
      <c r="M302" s="12">
        <f t="shared" si="11"/>
        <v>63037000</v>
      </c>
      <c r="N302" s="4">
        <v>15.29</v>
      </c>
      <c r="O302" s="4">
        <v>0</v>
      </c>
      <c r="P302" s="4" t="s">
        <v>123</v>
      </c>
      <c r="Q302" s="4">
        <v>1</v>
      </c>
      <c r="R302" s="18" t="s">
        <v>114</v>
      </c>
      <c r="S302" s="8" t="s">
        <v>117</v>
      </c>
      <c r="T302" s="8" t="s">
        <v>115</v>
      </c>
      <c r="U302" s="8" t="s">
        <v>115</v>
      </c>
      <c r="V302" s="8" t="s">
        <v>115</v>
      </c>
      <c r="W302" s="8" t="s">
        <v>114</v>
      </c>
    </row>
    <row r="303" spans="1:23" x14ac:dyDescent="0.35">
      <c r="A303" s="5" t="s">
        <v>9</v>
      </c>
      <c r="B303" s="4">
        <v>8</v>
      </c>
      <c r="C303" s="15">
        <v>0</v>
      </c>
      <c r="D303" s="17">
        <f t="shared" si="13"/>
        <v>0</v>
      </c>
      <c r="E303" s="6">
        <v>0</v>
      </c>
      <c r="F303" s="6">
        <v>0.05</v>
      </c>
      <c r="G303" s="9">
        <v>4</v>
      </c>
      <c r="H303" s="7">
        <v>2008</v>
      </c>
      <c r="I303" s="13">
        <v>17.760000000000002</v>
      </c>
      <c r="J303" s="2">
        <f t="shared" si="12"/>
        <v>17760000</v>
      </c>
      <c r="K303" s="4">
        <v>5.61</v>
      </c>
      <c r="L303" s="4">
        <v>256.803</v>
      </c>
      <c r="M303" s="12">
        <f t="shared" si="11"/>
        <v>256803000</v>
      </c>
      <c r="N303" s="4">
        <v>301.99</v>
      </c>
      <c r="O303" s="4">
        <v>301.99</v>
      </c>
      <c r="P303" s="4" t="s">
        <v>123</v>
      </c>
      <c r="Q303" s="4">
        <v>1</v>
      </c>
      <c r="R303" s="18" t="s">
        <v>111</v>
      </c>
      <c r="S303" s="8" t="s">
        <v>114</v>
      </c>
      <c r="T303" s="8" t="s">
        <v>113</v>
      </c>
      <c r="U303" s="8" t="s">
        <v>115</v>
      </c>
      <c r="V303" s="8" t="s">
        <v>113</v>
      </c>
      <c r="W303" s="8" t="s">
        <v>115</v>
      </c>
    </row>
    <row r="304" spans="1:23" x14ac:dyDescent="0.35">
      <c r="A304" s="5" t="s">
        <v>10</v>
      </c>
      <c r="B304" s="4">
        <v>9</v>
      </c>
      <c r="C304" s="15">
        <v>0</v>
      </c>
      <c r="D304" s="17">
        <f t="shared" si="13"/>
        <v>0</v>
      </c>
      <c r="E304" s="6">
        <v>0</v>
      </c>
      <c r="F304" s="6">
        <v>0.05</v>
      </c>
      <c r="G304" s="9">
        <v>4</v>
      </c>
      <c r="H304" s="7">
        <v>2008</v>
      </c>
      <c r="I304" s="13">
        <v>19.16</v>
      </c>
      <c r="J304" s="2">
        <f t="shared" si="12"/>
        <v>19160000</v>
      </c>
      <c r="K304" s="4">
        <v>5.69</v>
      </c>
      <c r="L304" s="4">
        <v>100.127</v>
      </c>
      <c r="M304" s="12">
        <f t="shared" si="11"/>
        <v>100127000</v>
      </c>
      <c r="N304" s="4">
        <v>56.73</v>
      </c>
      <c r="O304" s="4">
        <v>56.73</v>
      </c>
      <c r="P304" s="4" t="s">
        <v>123</v>
      </c>
      <c r="Q304" s="4">
        <v>1</v>
      </c>
      <c r="R304" s="18" t="s">
        <v>114</v>
      </c>
      <c r="S304" s="8" t="s">
        <v>117</v>
      </c>
      <c r="T304" s="8" t="s">
        <v>115</v>
      </c>
      <c r="U304" s="8" t="s">
        <v>115</v>
      </c>
      <c r="V304" s="8" t="s">
        <v>114</v>
      </c>
      <c r="W304" s="8" t="s">
        <v>115</v>
      </c>
    </row>
    <row r="305" spans="1:23" x14ac:dyDescent="0.35">
      <c r="A305" s="5" t="s">
        <v>11</v>
      </c>
      <c r="B305" s="4">
        <v>10</v>
      </c>
      <c r="C305" s="15">
        <v>0</v>
      </c>
      <c r="D305" s="17">
        <f t="shared" si="13"/>
        <v>0</v>
      </c>
      <c r="E305" s="6">
        <v>0</v>
      </c>
      <c r="F305" s="6">
        <v>0.05</v>
      </c>
      <c r="G305" s="9">
        <v>4</v>
      </c>
      <c r="H305" s="7">
        <v>2008</v>
      </c>
      <c r="I305" s="13">
        <v>18.329999999999998</v>
      </c>
      <c r="J305" s="2">
        <f t="shared" si="12"/>
        <v>18330000</v>
      </c>
      <c r="K305" s="4">
        <v>5.95</v>
      </c>
      <c r="L305" s="4">
        <v>19.073</v>
      </c>
      <c r="M305" s="12">
        <f t="shared" si="11"/>
        <v>19073000</v>
      </c>
      <c r="N305" s="4">
        <v>50.7</v>
      </c>
      <c r="O305" s="4">
        <v>0</v>
      </c>
      <c r="P305" s="4" t="s">
        <v>123</v>
      </c>
      <c r="Q305" s="4">
        <v>1</v>
      </c>
      <c r="R305" s="18" t="s">
        <v>117</v>
      </c>
      <c r="S305" s="8" t="s">
        <v>117</v>
      </c>
      <c r="T305" s="8" t="s">
        <v>115</v>
      </c>
      <c r="U305" s="8" t="s">
        <v>115</v>
      </c>
      <c r="V305" s="8" t="s">
        <v>115</v>
      </c>
      <c r="W305" s="8" t="s">
        <v>117</v>
      </c>
    </row>
    <row r="306" spans="1:23" x14ac:dyDescent="0.35">
      <c r="A306" s="5" t="s">
        <v>12</v>
      </c>
      <c r="B306" s="4">
        <v>11</v>
      </c>
      <c r="C306" s="15">
        <v>0</v>
      </c>
      <c r="D306" s="17">
        <f t="shared" si="13"/>
        <v>0</v>
      </c>
      <c r="E306" s="6">
        <v>0</v>
      </c>
      <c r="F306" s="6">
        <v>0.05</v>
      </c>
      <c r="G306" s="9">
        <v>4</v>
      </c>
      <c r="H306" s="7">
        <v>2008</v>
      </c>
      <c r="I306" s="13">
        <v>20.03</v>
      </c>
      <c r="J306" s="2">
        <f t="shared" si="12"/>
        <v>20030000</v>
      </c>
      <c r="K306" s="4">
        <v>5.74</v>
      </c>
      <c r="L306" s="4">
        <v>0</v>
      </c>
      <c r="M306" s="12">
        <f t="shared" si="11"/>
        <v>0</v>
      </c>
      <c r="N306" s="4">
        <v>0</v>
      </c>
      <c r="O306" s="4">
        <v>0</v>
      </c>
      <c r="P306" s="4" t="s">
        <v>123</v>
      </c>
      <c r="Q306" s="4">
        <v>1</v>
      </c>
      <c r="R306" s="18" t="s">
        <v>117</v>
      </c>
      <c r="S306" s="8" t="s">
        <v>117</v>
      </c>
      <c r="T306" s="8" t="s">
        <v>117</v>
      </c>
      <c r="U306" s="8" t="s">
        <v>115</v>
      </c>
      <c r="V306" s="8" t="s">
        <v>115</v>
      </c>
      <c r="W306" s="8" t="s">
        <v>115</v>
      </c>
    </row>
    <row r="307" spans="1:23" x14ac:dyDescent="0.35">
      <c r="A307" s="5" t="s">
        <v>98</v>
      </c>
      <c r="B307" s="4">
        <v>12</v>
      </c>
      <c r="C307" s="15">
        <v>0</v>
      </c>
      <c r="D307" s="17">
        <f t="shared" si="13"/>
        <v>0</v>
      </c>
      <c r="E307" s="6"/>
      <c r="F307" s="6"/>
      <c r="G307" s="9">
        <v>4</v>
      </c>
      <c r="H307" s="7"/>
      <c r="J307" s="2">
        <f t="shared" si="12"/>
        <v>0</v>
      </c>
      <c r="M307" s="12">
        <f t="shared" si="11"/>
        <v>0</v>
      </c>
      <c r="R307" s="18" t="s">
        <v>128</v>
      </c>
      <c r="S307" s="8"/>
      <c r="T307" s="8"/>
      <c r="U307" s="8"/>
      <c r="V307" s="8"/>
      <c r="W307" s="8"/>
    </row>
    <row r="308" spans="1:23" x14ac:dyDescent="0.35">
      <c r="A308" s="5" t="s">
        <v>13</v>
      </c>
      <c r="B308" s="4">
        <v>13</v>
      </c>
      <c r="C308" s="15">
        <v>0</v>
      </c>
      <c r="D308" s="17">
        <f t="shared" si="13"/>
        <v>0</v>
      </c>
      <c r="E308" s="6">
        <v>0</v>
      </c>
      <c r="F308" s="6">
        <v>0.05</v>
      </c>
      <c r="G308" s="9">
        <v>4</v>
      </c>
      <c r="H308" s="7">
        <v>2008</v>
      </c>
      <c r="I308" s="13">
        <v>25.48</v>
      </c>
      <c r="J308" s="2">
        <f t="shared" si="12"/>
        <v>25480000</v>
      </c>
      <c r="K308" s="4">
        <v>7.24</v>
      </c>
      <c r="L308" s="4">
        <v>240.03299999999999</v>
      </c>
      <c r="M308" s="12">
        <f t="shared" si="11"/>
        <v>240033000</v>
      </c>
      <c r="N308" s="4">
        <v>218.61</v>
      </c>
      <c r="O308" s="4">
        <v>218.61</v>
      </c>
      <c r="P308" s="4" t="s">
        <v>123</v>
      </c>
      <c r="Q308" s="4">
        <v>1</v>
      </c>
      <c r="R308" s="18" t="s">
        <v>111</v>
      </c>
      <c r="S308" s="8" t="s">
        <v>117</v>
      </c>
      <c r="T308" s="8" t="s">
        <v>115</v>
      </c>
      <c r="U308" s="8" t="s">
        <v>115</v>
      </c>
      <c r="V308" s="8" t="s">
        <v>111</v>
      </c>
      <c r="W308" s="8" t="s">
        <v>115</v>
      </c>
    </row>
    <row r="309" spans="1:23" x14ac:dyDescent="0.35">
      <c r="A309" s="5" t="s">
        <v>14</v>
      </c>
      <c r="B309" s="4">
        <v>14</v>
      </c>
      <c r="C309" s="15">
        <v>0</v>
      </c>
      <c r="D309" s="17">
        <f t="shared" si="13"/>
        <v>0</v>
      </c>
      <c r="E309" s="6">
        <v>0</v>
      </c>
      <c r="F309" s="6">
        <v>0.05</v>
      </c>
      <c r="G309" s="9">
        <v>4</v>
      </c>
      <c r="H309" s="7">
        <v>2008</v>
      </c>
      <c r="I309" s="13">
        <v>22.85</v>
      </c>
      <c r="J309" s="2">
        <f t="shared" si="12"/>
        <v>22850000</v>
      </c>
      <c r="K309" s="4">
        <v>7.61</v>
      </c>
      <c r="L309" s="4">
        <v>60.503</v>
      </c>
      <c r="M309" s="12">
        <f t="shared" si="11"/>
        <v>60503000</v>
      </c>
      <c r="N309" s="4">
        <v>111.09</v>
      </c>
      <c r="O309" s="4">
        <v>0</v>
      </c>
      <c r="P309" s="4" t="s">
        <v>123</v>
      </c>
      <c r="Q309" s="4">
        <v>1</v>
      </c>
      <c r="R309" s="18" t="s">
        <v>113</v>
      </c>
      <c r="S309" s="8" t="s">
        <v>117</v>
      </c>
      <c r="T309" s="8" t="s">
        <v>115</v>
      </c>
      <c r="U309" s="8" t="s">
        <v>115</v>
      </c>
      <c r="V309" s="8" t="s">
        <v>115</v>
      </c>
      <c r="W309" s="8" t="s">
        <v>113</v>
      </c>
    </row>
    <row r="310" spans="1:23" x14ac:dyDescent="0.35">
      <c r="A310" s="5" t="s">
        <v>15</v>
      </c>
      <c r="B310" s="4">
        <v>15</v>
      </c>
      <c r="C310" s="15">
        <v>0</v>
      </c>
      <c r="D310" s="17">
        <f t="shared" si="13"/>
        <v>0</v>
      </c>
      <c r="E310" s="6">
        <v>0</v>
      </c>
      <c r="F310" s="6">
        <v>0.05</v>
      </c>
      <c r="G310" s="9">
        <v>4</v>
      </c>
      <c r="H310" s="7">
        <v>2008</v>
      </c>
      <c r="I310" s="13">
        <v>18.36</v>
      </c>
      <c r="J310" s="2">
        <f t="shared" si="12"/>
        <v>18360000</v>
      </c>
      <c r="K310" s="4">
        <v>6.03</v>
      </c>
      <c r="L310" s="4">
        <v>76.802999999999997</v>
      </c>
      <c r="M310" s="12">
        <f t="shared" si="11"/>
        <v>76803000</v>
      </c>
      <c r="N310" s="4">
        <v>41.91</v>
      </c>
      <c r="O310" s="4">
        <v>0</v>
      </c>
      <c r="P310" s="4" t="s">
        <v>123</v>
      </c>
      <c r="Q310" s="4">
        <v>1</v>
      </c>
      <c r="R310" s="18" t="s">
        <v>112</v>
      </c>
      <c r="S310" s="8" t="s">
        <v>117</v>
      </c>
      <c r="T310" s="8" t="s">
        <v>115</v>
      </c>
      <c r="U310" s="8" t="s">
        <v>115</v>
      </c>
      <c r="V310" s="8" t="s">
        <v>115</v>
      </c>
      <c r="W310" s="8" t="s">
        <v>112</v>
      </c>
    </row>
    <row r="311" spans="1:23" x14ac:dyDescent="0.35">
      <c r="A311" s="5" t="s">
        <v>16</v>
      </c>
      <c r="B311" s="4">
        <v>16</v>
      </c>
      <c r="C311" s="15">
        <v>0</v>
      </c>
      <c r="D311" s="17">
        <f t="shared" si="13"/>
        <v>0</v>
      </c>
      <c r="E311" s="6">
        <v>0</v>
      </c>
      <c r="F311" s="6">
        <v>0.05</v>
      </c>
      <c r="G311" s="9">
        <v>4</v>
      </c>
      <c r="H311" s="7">
        <v>2008</v>
      </c>
      <c r="I311" s="13">
        <v>18.11</v>
      </c>
      <c r="J311" s="2">
        <f t="shared" si="12"/>
        <v>18110000</v>
      </c>
      <c r="K311" s="4">
        <v>6.04</v>
      </c>
      <c r="L311" s="4">
        <v>289.74299999999999</v>
      </c>
      <c r="M311" s="12">
        <f t="shared" si="11"/>
        <v>289743000</v>
      </c>
      <c r="N311" s="4">
        <v>365.23</v>
      </c>
      <c r="O311" s="4">
        <v>365.23</v>
      </c>
      <c r="P311" s="4" t="s">
        <v>123</v>
      </c>
      <c r="Q311" s="4">
        <v>1</v>
      </c>
      <c r="R311" s="18" t="s">
        <v>113</v>
      </c>
      <c r="S311" s="8" t="s">
        <v>112</v>
      </c>
      <c r="T311" s="8" t="s">
        <v>114</v>
      </c>
      <c r="U311" s="8" t="s">
        <v>114</v>
      </c>
      <c r="V311" s="8" t="s">
        <v>114</v>
      </c>
      <c r="W311" s="8" t="s">
        <v>114</v>
      </c>
    </row>
    <row r="312" spans="1:23" x14ac:dyDescent="0.35">
      <c r="A312" s="5" t="s">
        <v>17</v>
      </c>
      <c r="B312" s="4">
        <v>17</v>
      </c>
      <c r="C312" s="15">
        <v>0</v>
      </c>
      <c r="D312" s="17">
        <f t="shared" si="13"/>
        <v>0</v>
      </c>
      <c r="E312" s="6">
        <v>0</v>
      </c>
      <c r="F312" s="6">
        <v>0.05</v>
      </c>
      <c r="G312" s="9">
        <v>4</v>
      </c>
      <c r="H312" s="7">
        <v>2008</v>
      </c>
      <c r="I312" s="13">
        <v>20.86</v>
      </c>
      <c r="J312" s="2">
        <f t="shared" si="12"/>
        <v>20860000</v>
      </c>
      <c r="K312" s="4">
        <v>7.33</v>
      </c>
      <c r="L312" s="4">
        <v>202.8</v>
      </c>
      <c r="M312" s="12">
        <f t="shared" si="11"/>
        <v>202800000</v>
      </c>
      <c r="N312" s="4">
        <v>31.9</v>
      </c>
      <c r="O312" s="4">
        <v>31.9</v>
      </c>
      <c r="P312" s="4" t="s">
        <v>123</v>
      </c>
      <c r="Q312" s="4">
        <v>1</v>
      </c>
      <c r="R312" s="18" t="s">
        <v>117</v>
      </c>
      <c r="S312" s="8" t="s">
        <v>117</v>
      </c>
      <c r="T312" s="8" t="s">
        <v>115</v>
      </c>
      <c r="U312" s="8" t="s">
        <v>115</v>
      </c>
      <c r="V312" s="8" t="s">
        <v>117</v>
      </c>
      <c r="W312" s="8" t="s">
        <v>115</v>
      </c>
    </row>
    <row r="313" spans="1:23" x14ac:dyDescent="0.35">
      <c r="A313" s="5" t="s">
        <v>18</v>
      </c>
      <c r="B313" s="4">
        <v>18</v>
      </c>
      <c r="C313" s="15">
        <v>0</v>
      </c>
      <c r="D313" s="17">
        <f t="shared" si="13"/>
        <v>0</v>
      </c>
      <c r="E313" s="6">
        <v>0</v>
      </c>
      <c r="F313" s="6">
        <v>0.05</v>
      </c>
      <c r="G313" s="9">
        <v>4</v>
      </c>
      <c r="H313" s="7">
        <v>2008</v>
      </c>
      <c r="I313" s="13">
        <v>24.26</v>
      </c>
      <c r="J313" s="2">
        <f t="shared" si="12"/>
        <v>24260000</v>
      </c>
      <c r="K313" s="4">
        <v>7.13</v>
      </c>
      <c r="L313" s="4">
        <v>139.86699999999999</v>
      </c>
      <c r="M313" s="12">
        <f t="shared" si="11"/>
        <v>139867000</v>
      </c>
      <c r="N313" s="4">
        <v>181.9</v>
      </c>
      <c r="O313" s="4">
        <v>181.9</v>
      </c>
      <c r="P313" s="4" t="s">
        <v>123</v>
      </c>
      <c r="Q313" s="4">
        <v>1</v>
      </c>
      <c r="R313" s="18" t="s">
        <v>114</v>
      </c>
      <c r="S313" s="8" t="s">
        <v>114</v>
      </c>
      <c r="T313" s="8" t="s">
        <v>117</v>
      </c>
      <c r="U313" s="8" t="s">
        <v>117</v>
      </c>
      <c r="V313" s="8" t="s">
        <v>115</v>
      </c>
      <c r="W313" s="8" t="s">
        <v>115</v>
      </c>
    </row>
    <row r="314" spans="1:23" x14ac:dyDescent="0.35">
      <c r="A314" s="5" t="s">
        <v>19</v>
      </c>
      <c r="B314" s="4">
        <v>19</v>
      </c>
      <c r="C314" s="15">
        <v>0</v>
      </c>
      <c r="D314" s="17">
        <f t="shared" si="13"/>
        <v>0</v>
      </c>
      <c r="E314" s="6">
        <v>0</v>
      </c>
      <c r="F314" s="6">
        <v>0.05</v>
      </c>
      <c r="G314" s="9">
        <v>4</v>
      </c>
      <c r="H314" s="7">
        <v>2008</v>
      </c>
      <c r="I314" s="13">
        <v>20.62</v>
      </c>
      <c r="J314" s="2">
        <f t="shared" si="12"/>
        <v>20620000</v>
      </c>
      <c r="K314" s="4">
        <v>7.65</v>
      </c>
      <c r="L314" s="4">
        <v>155.773</v>
      </c>
      <c r="M314" s="12">
        <f t="shared" si="11"/>
        <v>155773000</v>
      </c>
      <c r="N314" s="4">
        <v>137.13</v>
      </c>
      <c r="O314" s="4">
        <v>137.13</v>
      </c>
      <c r="P314" s="4" t="s">
        <v>123</v>
      </c>
      <c r="Q314" s="4">
        <v>1</v>
      </c>
      <c r="R314" s="18" t="s">
        <v>114</v>
      </c>
      <c r="S314" s="8" t="s">
        <v>114</v>
      </c>
      <c r="T314" s="8" t="s">
        <v>117</v>
      </c>
      <c r="U314" s="8" t="s">
        <v>115</v>
      </c>
      <c r="V314" s="8" t="s">
        <v>117</v>
      </c>
      <c r="W314" s="8" t="s">
        <v>115</v>
      </c>
    </row>
    <row r="315" spans="1:23" x14ac:dyDescent="0.35">
      <c r="A315" s="5" t="s">
        <v>20</v>
      </c>
      <c r="B315" s="4">
        <v>20</v>
      </c>
      <c r="C315" s="15">
        <v>0</v>
      </c>
      <c r="D315" s="17">
        <f t="shared" si="13"/>
        <v>0</v>
      </c>
      <c r="E315" s="6">
        <v>0</v>
      </c>
      <c r="F315" s="6">
        <v>0.05</v>
      </c>
      <c r="G315" s="9">
        <v>4</v>
      </c>
      <c r="H315" s="7">
        <v>2008</v>
      </c>
      <c r="I315" s="13">
        <v>19.760000000000002</v>
      </c>
      <c r="J315" s="2">
        <f t="shared" si="12"/>
        <v>19760000</v>
      </c>
      <c r="K315" s="4">
        <v>7.56</v>
      </c>
      <c r="L315" s="4">
        <v>3.8370000000000002</v>
      </c>
      <c r="M315" s="12">
        <f t="shared" si="11"/>
        <v>3837000</v>
      </c>
      <c r="N315" s="4">
        <v>4.5</v>
      </c>
      <c r="O315" s="4">
        <v>4.5</v>
      </c>
      <c r="P315" s="4" t="s">
        <v>123</v>
      </c>
      <c r="Q315" s="4">
        <v>1</v>
      </c>
      <c r="R315" s="18" t="s">
        <v>117</v>
      </c>
      <c r="S315" s="8" t="s">
        <v>117</v>
      </c>
      <c r="T315" s="8" t="s">
        <v>115</v>
      </c>
      <c r="U315" s="8" t="s">
        <v>117</v>
      </c>
      <c r="V315" s="8" t="s">
        <v>115</v>
      </c>
      <c r="W315" s="8" t="s">
        <v>115</v>
      </c>
    </row>
    <row r="316" spans="1:23" x14ac:dyDescent="0.35">
      <c r="A316" s="5" t="s">
        <v>21</v>
      </c>
      <c r="B316" s="4">
        <v>21</v>
      </c>
      <c r="C316" s="15">
        <v>0</v>
      </c>
      <c r="D316" s="17">
        <f t="shared" si="13"/>
        <v>0</v>
      </c>
      <c r="E316" s="6">
        <v>0</v>
      </c>
      <c r="F316" s="6">
        <v>0.05</v>
      </c>
      <c r="G316" s="9">
        <v>4</v>
      </c>
      <c r="H316" s="7">
        <v>2008</v>
      </c>
      <c r="I316" s="13">
        <v>24.31</v>
      </c>
      <c r="J316" s="2">
        <f t="shared" si="12"/>
        <v>24310000</v>
      </c>
      <c r="K316" s="4">
        <v>7.48</v>
      </c>
      <c r="L316" s="4">
        <v>177.55</v>
      </c>
      <c r="M316" s="12">
        <f t="shared" si="11"/>
        <v>177550000</v>
      </c>
      <c r="N316" s="4">
        <v>91</v>
      </c>
      <c r="O316" s="4">
        <v>91</v>
      </c>
      <c r="P316" s="4" t="s">
        <v>123</v>
      </c>
      <c r="Q316" s="4">
        <v>1</v>
      </c>
      <c r="R316" s="18" t="s">
        <v>112</v>
      </c>
      <c r="S316" s="8" t="s">
        <v>116</v>
      </c>
      <c r="T316" s="8" t="s">
        <v>114</v>
      </c>
      <c r="U316" s="8" t="s">
        <v>117</v>
      </c>
      <c r="V316" s="8" t="s">
        <v>117</v>
      </c>
      <c r="W316" s="8" t="s">
        <v>115</v>
      </c>
    </row>
    <row r="317" spans="1:23" x14ac:dyDescent="0.35">
      <c r="A317" s="5" t="s">
        <v>22</v>
      </c>
      <c r="B317" s="4">
        <v>22</v>
      </c>
      <c r="C317" s="15">
        <v>0</v>
      </c>
      <c r="D317" s="17">
        <f t="shared" si="13"/>
        <v>0</v>
      </c>
      <c r="E317" s="6">
        <v>0</v>
      </c>
      <c r="F317" s="6">
        <v>0.05</v>
      </c>
      <c r="G317" s="9">
        <v>4</v>
      </c>
      <c r="H317" s="7">
        <v>2008</v>
      </c>
      <c r="I317" s="13">
        <v>25.55</v>
      </c>
      <c r="J317" s="2">
        <f t="shared" si="12"/>
        <v>25550000</v>
      </c>
      <c r="K317" s="4">
        <v>7.05</v>
      </c>
      <c r="L317" s="4">
        <v>518.30700000000002</v>
      </c>
      <c r="M317" s="12">
        <f t="shared" si="11"/>
        <v>518307000</v>
      </c>
      <c r="N317" s="4">
        <v>596.04</v>
      </c>
      <c r="O317" s="4">
        <v>595.59999999999991</v>
      </c>
      <c r="P317" s="4" t="s">
        <v>123</v>
      </c>
      <c r="Q317" s="4">
        <v>1</v>
      </c>
      <c r="R317" s="18" t="s">
        <v>111</v>
      </c>
      <c r="S317" s="8" t="s">
        <v>116</v>
      </c>
      <c r="T317" s="8" t="s">
        <v>115</v>
      </c>
      <c r="U317" s="8" t="s">
        <v>118</v>
      </c>
      <c r="V317" s="8" t="s">
        <v>119</v>
      </c>
      <c r="W317" s="8" t="s">
        <v>119</v>
      </c>
    </row>
    <row r="318" spans="1:23" x14ac:dyDescent="0.35">
      <c r="A318" s="5" t="s">
        <v>23</v>
      </c>
      <c r="B318" s="4">
        <v>23</v>
      </c>
      <c r="C318" s="15">
        <v>0</v>
      </c>
      <c r="D318" s="17">
        <f t="shared" si="13"/>
        <v>0</v>
      </c>
      <c r="E318" s="6">
        <v>0</v>
      </c>
      <c r="F318" s="6">
        <v>0.05</v>
      </c>
      <c r="G318" s="9">
        <v>4</v>
      </c>
      <c r="H318" s="7">
        <v>2008</v>
      </c>
      <c r="I318" s="13">
        <v>25.32</v>
      </c>
      <c r="J318" s="2">
        <f t="shared" si="12"/>
        <v>25320000</v>
      </c>
      <c r="K318" s="4">
        <v>7.83</v>
      </c>
      <c r="L318" s="4">
        <v>105.593</v>
      </c>
      <c r="M318" s="12">
        <f t="shared" si="11"/>
        <v>105593000</v>
      </c>
      <c r="N318" s="4">
        <v>74.84</v>
      </c>
      <c r="O318" s="4">
        <v>74.84</v>
      </c>
      <c r="P318" s="4" t="s">
        <v>123</v>
      </c>
      <c r="Q318" s="4">
        <v>1</v>
      </c>
      <c r="R318" s="18" t="s">
        <v>112</v>
      </c>
      <c r="S318" s="8" t="s">
        <v>114</v>
      </c>
      <c r="T318" s="8" t="s">
        <v>114</v>
      </c>
      <c r="U318" s="8" t="s">
        <v>115</v>
      </c>
      <c r="V318" s="8" t="s">
        <v>114</v>
      </c>
      <c r="W318" s="8" t="s">
        <v>115</v>
      </c>
    </row>
    <row r="319" spans="1:23" x14ac:dyDescent="0.35">
      <c r="A319" s="5" t="s">
        <v>24</v>
      </c>
      <c r="B319" s="4">
        <v>24</v>
      </c>
      <c r="C319" s="15">
        <v>0</v>
      </c>
      <c r="D319" s="17">
        <f t="shared" si="13"/>
        <v>0</v>
      </c>
      <c r="E319" s="6">
        <v>0</v>
      </c>
      <c r="F319" s="6">
        <v>0.05</v>
      </c>
      <c r="G319" s="9">
        <v>4</v>
      </c>
      <c r="H319" s="7">
        <v>2008</v>
      </c>
      <c r="I319" s="13">
        <v>22.79</v>
      </c>
      <c r="J319" s="2">
        <f t="shared" si="12"/>
        <v>22790000</v>
      </c>
      <c r="K319" s="4">
        <v>15.68</v>
      </c>
      <c r="L319" s="4">
        <v>576.51700000000005</v>
      </c>
      <c r="M319" s="12">
        <f t="shared" si="11"/>
        <v>576517000</v>
      </c>
      <c r="N319" s="4">
        <v>617.11</v>
      </c>
      <c r="O319" s="4">
        <v>609.21</v>
      </c>
      <c r="P319" s="4" t="s">
        <v>123</v>
      </c>
      <c r="Q319" s="4">
        <v>1</v>
      </c>
      <c r="R319" s="18" t="s">
        <v>120</v>
      </c>
      <c r="S319" s="8" t="s">
        <v>112</v>
      </c>
      <c r="T319" s="8" t="s">
        <v>111</v>
      </c>
      <c r="U319" s="8" t="s">
        <v>121</v>
      </c>
      <c r="V319" s="8" t="s">
        <v>122</v>
      </c>
      <c r="W319" s="8" t="s">
        <v>121</v>
      </c>
    </row>
    <row r="320" spans="1:23" x14ac:dyDescent="0.35">
      <c r="A320" s="5" t="s">
        <v>86</v>
      </c>
      <c r="B320" s="4">
        <v>25</v>
      </c>
      <c r="C320" s="15">
        <v>0</v>
      </c>
      <c r="D320" s="17">
        <f t="shared" si="13"/>
        <v>0</v>
      </c>
      <c r="E320" s="6"/>
      <c r="F320" s="6"/>
      <c r="G320" s="9">
        <v>4</v>
      </c>
      <c r="H320" s="7"/>
      <c r="J320" s="2">
        <f t="shared" si="12"/>
        <v>0</v>
      </c>
      <c r="M320" s="12">
        <f t="shared" si="11"/>
        <v>0</v>
      </c>
      <c r="R320" s="18" t="s">
        <v>133</v>
      </c>
      <c r="S320" s="8"/>
      <c r="T320" s="8"/>
      <c r="U320" s="8"/>
      <c r="V320" s="8"/>
      <c r="W320" s="8"/>
    </row>
    <row r="321" spans="1:23" x14ac:dyDescent="0.35">
      <c r="A321" s="5" t="s">
        <v>25</v>
      </c>
      <c r="B321" s="4">
        <v>26</v>
      </c>
      <c r="C321" s="15">
        <v>0</v>
      </c>
      <c r="D321" s="17">
        <f t="shared" si="13"/>
        <v>0</v>
      </c>
      <c r="E321" s="6">
        <v>0</v>
      </c>
      <c r="F321" s="6">
        <v>0.05</v>
      </c>
      <c r="G321" s="9">
        <v>4</v>
      </c>
      <c r="H321" s="7">
        <v>2008</v>
      </c>
      <c r="I321" s="13">
        <v>24.21</v>
      </c>
      <c r="J321" s="2">
        <f t="shared" si="12"/>
        <v>24210000</v>
      </c>
      <c r="K321" s="4">
        <v>9.5500000000000007</v>
      </c>
      <c r="L321" s="4">
        <v>225.483</v>
      </c>
      <c r="M321" s="12">
        <f t="shared" si="11"/>
        <v>225483000</v>
      </c>
      <c r="N321" s="4">
        <v>109.8</v>
      </c>
      <c r="O321" s="4">
        <v>101.3</v>
      </c>
      <c r="P321" s="4" t="s">
        <v>123</v>
      </c>
      <c r="Q321" s="4">
        <v>1</v>
      </c>
      <c r="R321" s="18" t="s">
        <v>112</v>
      </c>
      <c r="S321" s="8" t="s">
        <v>112</v>
      </c>
      <c r="T321" s="8" t="s">
        <v>117</v>
      </c>
      <c r="U321" s="8" t="s">
        <v>117</v>
      </c>
      <c r="V321" s="8" t="s">
        <v>117</v>
      </c>
      <c r="W321" s="8" t="s">
        <v>117</v>
      </c>
    </row>
    <row r="322" spans="1:23" x14ac:dyDescent="0.35">
      <c r="A322" s="5" t="s">
        <v>26</v>
      </c>
      <c r="B322" s="4">
        <v>27</v>
      </c>
      <c r="C322" s="15">
        <v>0</v>
      </c>
      <c r="D322" s="17">
        <f t="shared" si="13"/>
        <v>0</v>
      </c>
      <c r="E322" s="6">
        <v>0</v>
      </c>
      <c r="F322" s="6">
        <v>0.05</v>
      </c>
      <c r="G322" s="9">
        <v>4</v>
      </c>
      <c r="H322" s="7">
        <v>2008</v>
      </c>
      <c r="I322" s="13">
        <v>22.27</v>
      </c>
      <c r="J322" s="2">
        <f t="shared" si="12"/>
        <v>22270000</v>
      </c>
      <c r="K322" s="4">
        <v>8.59</v>
      </c>
      <c r="L322" s="4">
        <v>260.33300000000003</v>
      </c>
      <c r="M322" s="12">
        <f t="shared" si="11"/>
        <v>260333000.00000003</v>
      </c>
      <c r="N322" s="4">
        <v>255.7</v>
      </c>
      <c r="O322" s="4">
        <v>255.7</v>
      </c>
      <c r="P322" s="4" t="s">
        <v>123</v>
      </c>
      <c r="Q322" s="4">
        <v>1</v>
      </c>
      <c r="R322" s="18" t="s">
        <v>114</v>
      </c>
      <c r="S322" s="8" t="s">
        <v>117</v>
      </c>
      <c r="T322" s="8" t="s">
        <v>114</v>
      </c>
      <c r="U322" s="8" t="s">
        <v>115</v>
      </c>
      <c r="V322" s="8" t="s">
        <v>115</v>
      </c>
      <c r="W322" s="8" t="s">
        <v>115</v>
      </c>
    </row>
    <row r="323" spans="1:23" x14ac:dyDescent="0.35">
      <c r="A323" s="5" t="s">
        <v>27</v>
      </c>
      <c r="B323" s="4">
        <v>28</v>
      </c>
      <c r="C323" s="15">
        <v>0</v>
      </c>
      <c r="D323" s="17">
        <f t="shared" si="13"/>
        <v>0</v>
      </c>
      <c r="E323" s="6">
        <v>0</v>
      </c>
      <c r="F323" s="6">
        <v>0.05</v>
      </c>
      <c r="G323" s="9">
        <v>4</v>
      </c>
      <c r="H323" s="7">
        <v>2008</v>
      </c>
      <c r="I323" s="13">
        <v>27.27</v>
      </c>
      <c r="J323" s="2">
        <f t="shared" si="12"/>
        <v>27270000</v>
      </c>
      <c r="K323" s="4">
        <v>7.38</v>
      </c>
      <c r="L323" s="4">
        <v>763.22699999999998</v>
      </c>
      <c r="M323" s="12">
        <f t="shared" si="11"/>
        <v>763227000</v>
      </c>
      <c r="N323" s="4">
        <v>544.21</v>
      </c>
      <c r="O323" s="4">
        <v>544.21</v>
      </c>
      <c r="P323" s="4" t="s">
        <v>123</v>
      </c>
      <c r="Q323" s="4">
        <v>1</v>
      </c>
      <c r="R323" s="18" t="s">
        <v>120</v>
      </c>
      <c r="S323" s="8" t="s">
        <v>112</v>
      </c>
      <c r="T323" s="8" t="s">
        <v>111</v>
      </c>
      <c r="U323" s="8" t="s">
        <v>121</v>
      </c>
      <c r="V323" s="8" t="s">
        <v>122</v>
      </c>
      <c r="W323" s="8" t="s">
        <v>121</v>
      </c>
    </row>
    <row r="324" spans="1:23" x14ac:dyDescent="0.35">
      <c r="A324" s="5" t="s">
        <v>28</v>
      </c>
      <c r="B324" s="4">
        <v>29</v>
      </c>
      <c r="C324" s="15">
        <v>0</v>
      </c>
      <c r="D324" s="17">
        <f t="shared" si="13"/>
        <v>0</v>
      </c>
      <c r="E324" s="6">
        <v>0</v>
      </c>
      <c r="F324" s="6">
        <v>0.05</v>
      </c>
      <c r="G324" s="9">
        <v>4</v>
      </c>
      <c r="H324" s="7">
        <v>2008</v>
      </c>
      <c r="I324" s="13">
        <v>19.66</v>
      </c>
      <c r="J324" s="2">
        <f t="shared" si="12"/>
        <v>19660000</v>
      </c>
      <c r="K324" s="4">
        <v>8.85</v>
      </c>
      <c r="L324" s="4">
        <v>19.667000000000002</v>
      </c>
      <c r="M324" s="12">
        <f t="shared" si="11"/>
        <v>19667000</v>
      </c>
      <c r="N324" s="4">
        <v>27.2</v>
      </c>
      <c r="O324" s="4">
        <v>27.2</v>
      </c>
      <c r="P324" s="4" t="s">
        <v>123</v>
      </c>
      <c r="Q324" s="4">
        <v>1</v>
      </c>
      <c r="R324" s="18" t="s">
        <v>117</v>
      </c>
      <c r="S324" s="8" t="s">
        <v>117</v>
      </c>
      <c r="T324" s="8" t="s">
        <v>115</v>
      </c>
      <c r="U324" s="8" t="s">
        <v>115</v>
      </c>
      <c r="V324" s="8" t="s">
        <v>117</v>
      </c>
      <c r="W324" s="8" t="s">
        <v>115</v>
      </c>
    </row>
    <row r="325" spans="1:23" x14ac:dyDescent="0.35">
      <c r="A325" s="5" t="s">
        <v>29</v>
      </c>
      <c r="B325" s="4">
        <v>30</v>
      </c>
      <c r="C325" s="15">
        <v>0</v>
      </c>
      <c r="D325" s="17">
        <f t="shared" si="13"/>
        <v>0</v>
      </c>
      <c r="E325" s="6">
        <v>0</v>
      </c>
      <c r="F325" s="6">
        <v>0.05</v>
      </c>
      <c r="G325" s="9">
        <v>4</v>
      </c>
      <c r="H325" s="7">
        <v>2008</v>
      </c>
      <c r="I325" s="13">
        <v>22.05</v>
      </c>
      <c r="J325" s="2">
        <f t="shared" si="12"/>
        <v>22050000</v>
      </c>
      <c r="K325" s="4">
        <v>9.6300000000000008</v>
      </c>
      <c r="L325" s="4">
        <v>240.4</v>
      </c>
      <c r="M325" s="12">
        <f t="shared" ref="M325:M388" si="14">L325*1000000</f>
        <v>240400000</v>
      </c>
      <c r="N325" s="4">
        <v>69.099999999999994</v>
      </c>
      <c r="O325" s="4">
        <v>69.099999999999994</v>
      </c>
      <c r="P325" s="4" t="s">
        <v>123</v>
      </c>
      <c r="Q325" s="4">
        <v>1</v>
      </c>
      <c r="R325" s="18" t="s">
        <v>117</v>
      </c>
      <c r="S325" s="8" t="s">
        <v>117</v>
      </c>
      <c r="T325" s="8" t="s">
        <v>117</v>
      </c>
      <c r="U325" s="8" t="s">
        <v>115</v>
      </c>
      <c r="V325" s="8" t="s">
        <v>115</v>
      </c>
      <c r="W325" s="8" t="s">
        <v>115</v>
      </c>
    </row>
    <row r="326" spans="1:23" x14ac:dyDescent="0.35">
      <c r="A326" s="5" t="s">
        <v>30</v>
      </c>
      <c r="B326" s="4">
        <v>31</v>
      </c>
      <c r="C326" s="15">
        <v>0</v>
      </c>
      <c r="D326" s="17">
        <f t="shared" si="13"/>
        <v>0</v>
      </c>
      <c r="E326" s="6">
        <v>0</v>
      </c>
      <c r="F326" s="6">
        <v>0.05</v>
      </c>
      <c r="G326" s="9">
        <v>4</v>
      </c>
      <c r="H326" s="7">
        <v>2008</v>
      </c>
      <c r="I326" s="13">
        <v>25.53</v>
      </c>
      <c r="J326" s="2">
        <f t="shared" ref="J326:J389" si="15">I326*1000000</f>
        <v>25530000</v>
      </c>
      <c r="K326" s="4">
        <v>11.22</v>
      </c>
      <c r="L326" s="4">
        <v>417.15699999999998</v>
      </c>
      <c r="M326" s="12">
        <f t="shared" si="14"/>
        <v>417157000</v>
      </c>
      <c r="N326" s="4">
        <v>356.47</v>
      </c>
      <c r="O326" s="4">
        <v>232.37000000000003</v>
      </c>
      <c r="P326" s="4" t="s">
        <v>123</v>
      </c>
      <c r="Q326" s="4">
        <v>1</v>
      </c>
      <c r="R326" s="18" t="s">
        <v>112</v>
      </c>
      <c r="S326" s="8" t="s">
        <v>114</v>
      </c>
      <c r="T326" s="8" t="s">
        <v>115</v>
      </c>
      <c r="U326" s="8" t="s">
        <v>114</v>
      </c>
      <c r="V326" s="8" t="s">
        <v>115</v>
      </c>
      <c r="W326" s="8" t="s">
        <v>114</v>
      </c>
    </row>
    <row r="327" spans="1:23" x14ac:dyDescent="0.35">
      <c r="A327" s="5" t="s">
        <v>99</v>
      </c>
      <c r="B327" s="4">
        <v>32</v>
      </c>
      <c r="C327" s="15">
        <v>0</v>
      </c>
      <c r="D327" s="17">
        <f t="shared" ref="D327:D390" si="16">C327*1000000</f>
        <v>0</v>
      </c>
      <c r="E327" s="6"/>
      <c r="F327" s="6"/>
      <c r="G327" s="9">
        <v>4</v>
      </c>
      <c r="H327" s="7"/>
      <c r="J327" s="2">
        <f t="shared" si="15"/>
        <v>0</v>
      </c>
      <c r="M327" s="12">
        <f t="shared" si="14"/>
        <v>0</v>
      </c>
      <c r="R327" s="18" t="s">
        <v>128</v>
      </c>
      <c r="S327" s="8"/>
      <c r="T327" s="8"/>
      <c r="U327" s="8"/>
      <c r="V327" s="8"/>
      <c r="W327" s="8"/>
    </row>
    <row r="328" spans="1:23" x14ac:dyDescent="0.35">
      <c r="A328" s="5" t="s">
        <v>31</v>
      </c>
      <c r="B328" s="4">
        <v>33</v>
      </c>
      <c r="C328" s="15">
        <v>0</v>
      </c>
      <c r="D328" s="17">
        <f t="shared" si="16"/>
        <v>0</v>
      </c>
      <c r="E328" s="6">
        <v>0</v>
      </c>
      <c r="F328" s="6">
        <v>0.05</v>
      </c>
      <c r="G328" s="9">
        <v>4</v>
      </c>
      <c r="H328" s="7">
        <v>2008</v>
      </c>
      <c r="I328" s="13">
        <v>25.51</v>
      </c>
      <c r="J328" s="2">
        <f t="shared" si="15"/>
        <v>25510000</v>
      </c>
      <c r="K328" s="4">
        <v>10.61</v>
      </c>
      <c r="L328" s="4">
        <v>258.76299999999998</v>
      </c>
      <c r="M328" s="12">
        <f t="shared" si="14"/>
        <v>258762999.99999997</v>
      </c>
      <c r="N328" s="4">
        <v>154.26</v>
      </c>
      <c r="O328" s="4">
        <v>104.1</v>
      </c>
      <c r="P328" s="4" t="s">
        <v>123</v>
      </c>
      <c r="Q328" s="4">
        <v>1</v>
      </c>
      <c r="R328" s="18" t="s">
        <v>114</v>
      </c>
      <c r="S328" s="8" t="s">
        <v>114</v>
      </c>
      <c r="T328" s="8" t="s">
        <v>115</v>
      </c>
      <c r="U328" s="8" t="s">
        <v>115</v>
      </c>
      <c r="V328" s="8" t="s">
        <v>117</v>
      </c>
      <c r="W328" s="8" t="s">
        <v>117</v>
      </c>
    </row>
    <row r="329" spans="1:23" x14ac:dyDescent="0.35">
      <c r="A329" s="5" t="s">
        <v>32</v>
      </c>
      <c r="B329" s="4">
        <v>34</v>
      </c>
      <c r="C329" s="15">
        <v>0</v>
      </c>
      <c r="D329" s="17">
        <f t="shared" si="16"/>
        <v>0</v>
      </c>
      <c r="E329" s="6">
        <v>0</v>
      </c>
      <c r="F329" s="6">
        <v>0.05</v>
      </c>
      <c r="G329" s="9">
        <v>4</v>
      </c>
      <c r="H329" s="7">
        <v>2008</v>
      </c>
      <c r="I329" s="13">
        <v>27.64</v>
      </c>
      <c r="J329" s="2">
        <f t="shared" si="15"/>
        <v>27640000</v>
      </c>
      <c r="K329" s="4">
        <v>11.42</v>
      </c>
      <c r="L329" s="4">
        <v>295.39699999999999</v>
      </c>
      <c r="M329" s="12">
        <f t="shared" si="14"/>
        <v>295397000</v>
      </c>
      <c r="N329" s="4">
        <v>212</v>
      </c>
      <c r="O329" s="4">
        <v>212</v>
      </c>
      <c r="P329" s="4" t="s">
        <v>123</v>
      </c>
      <c r="Q329" s="4">
        <v>1</v>
      </c>
      <c r="R329" s="18" t="s">
        <v>112</v>
      </c>
      <c r="S329" s="8" t="s">
        <v>117</v>
      </c>
      <c r="T329" s="8" t="s">
        <v>115</v>
      </c>
      <c r="U329" s="8" t="s">
        <v>112</v>
      </c>
      <c r="V329" s="8" t="s">
        <v>115</v>
      </c>
      <c r="W329" s="8" t="s">
        <v>115</v>
      </c>
    </row>
    <row r="330" spans="1:23" x14ac:dyDescent="0.35">
      <c r="A330" s="5" t="s">
        <v>33</v>
      </c>
      <c r="B330" s="4">
        <v>35</v>
      </c>
      <c r="C330" s="15">
        <v>0</v>
      </c>
      <c r="D330" s="17">
        <f t="shared" si="16"/>
        <v>0</v>
      </c>
      <c r="E330" s="6">
        <v>0</v>
      </c>
      <c r="F330" s="6">
        <v>0.05</v>
      </c>
      <c r="G330" s="9">
        <v>4</v>
      </c>
      <c r="H330" s="7">
        <v>2008</v>
      </c>
      <c r="I330" s="13">
        <v>28.13</v>
      </c>
      <c r="J330" s="2">
        <f t="shared" si="15"/>
        <v>28130000</v>
      </c>
      <c r="K330" s="4">
        <v>11.35</v>
      </c>
      <c r="L330" s="4">
        <v>209.92099999999999</v>
      </c>
      <c r="M330" s="12">
        <f t="shared" si="14"/>
        <v>209921000</v>
      </c>
      <c r="N330" s="4">
        <v>141.21299999999999</v>
      </c>
      <c r="O330" s="4">
        <v>141.21299999999999</v>
      </c>
      <c r="P330" s="4" t="s">
        <v>123</v>
      </c>
      <c r="Q330" s="4">
        <v>1</v>
      </c>
      <c r="R330" s="18" t="s">
        <v>111</v>
      </c>
      <c r="S330" s="8" t="s">
        <v>114</v>
      </c>
      <c r="T330" s="8" t="s">
        <v>113</v>
      </c>
      <c r="U330" s="8" t="s">
        <v>113</v>
      </c>
      <c r="V330" s="8" t="s">
        <v>115</v>
      </c>
      <c r="W330" s="8" t="s">
        <v>115</v>
      </c>
    </row>
    <row r="331" spans="1:23" x14ac:dyDescent="0.35">
      <c r="A331" s="5" t="s">
        <v>88</v>
      </c>
      <c r="B331" s="4">
        <v>36</v>
      </c>
      <c r="C331" s="15">
        <v>0</v>
      </c>
      <c r="D331" s="17">
        <f t="shared" si="16"/>
        <v>0</v>
      </c>
      <c r="E331" s="6"/>
      <c r="F331" s="6"/>
      <c r="G331" s="9">
        <v>4</v>
      </c>
      <c r="H331" s="7"/>
      <c r="J331" s="2">
        <f t="shared" si="15"/>
        <v>0</v>
      </c>
      <c r="M331" s="12">
        <f t="shared" si="14"/>
        <v>0</v>
      </c>
      <c r="R331" s="18" t="s">
        <v>129</v>
      </c>
      <c r="S331" s="8"/>
      <c r="T331" s="8"/>
      <c r="U331" s="8"/>
      <c r="V331" s="8"/>
      <c r="W331" s="8"/>
    </row>
    <row r="332" spans="1:23" x14ac:dyDescent="0.35">
      <c r="A332" s="5" t="s">
        <v>34</v>
      </c>
      <c r="B332" s="4">
        <v>37</v>
      </c>
      <c r="C332" s="15">
        <v>0</v>
      </c>
      <c r="D332" s="17">
        <f t="shared" si="16"/>
        <v>0</v>
      </c>
      <c r="E332" s="6">
        <v>0</v>
      </c>
      <c r="F332" s="6">
        <v>0.05</v>
      </c>
      <c r="G332" s="9">
        <v>4</v>
      </c>
      <c r="H332" s="7">
        <v>2008</v>
      </c>
      <c r="I332" s="13">
        <v>21.37</v>
      </c>
      <c r="J332" s="2">
        <f t="shared" si="15"/>
        <v>21370000</v>
      </c>
      <c r="K332" s="4">
        <v>8.56</v>
      </c>
      <c r="L332" s="4">
        <v>208.2</v>
      </c>
      <c r="M332" s="12">
        <f t="shared" si="14"/>
        <v>208200000</v>
      </c>
      <c r="N332" s="4">
        <v>249</v>
      </c>
      <c r="O332" s="4">
        <v>249</v>
      </c>
      <c r="P332" s="4" t="s">
        <v>123</v>
      </c>
      <c r="Q332" s="4">
        <v>1</v>
      </c>
      <c r="R332" s="18" t="s">
        <v>113</v>
      </c>
      <c r="S332" s="8" t="s">
        <v>117</v>
      </c>
      <c r="T332" s="8" t="s">
        <v>115</v>
      </c>
      <c r="U332" s="8" t="s">
        <v>115</v>
      </c>
      <c r="V332" s="8" t="s">
        <v>113</v>
      </c>
      <c r="W332" s="8" t="s">
        <v>115</v>
      </c>
    </row>
    <row r="333" spans="1:23" x14ac:dyDescent="0.35">
      <c r="A333" s="5" t="s">
        <v>35</v>
      </c>
      <c r="B333" s="4">
        <v>38</v>
      </c>
      <c r="C333" s="15">
        <v>0</v>
      </c>
      <c r="D333" s="17">
        <f t="shared" si="16"/>
        <v>0</v>
      </c>
      <c r="E333" s="6">
        <v>0</v>
      </c>
      <c r="F333" s="6">
        <v>0.05</v>
      </c>
      <c r="G333" s="9">
        <v>4</v>
      </c>
      <c r="H333" s="7">
        <v>2008</v>
      </c>
      <c r="I333" s="13">
        <v>19.5</v>
      </c>
      <c r="J333" s="2">
        <f t="shared" si="15"/>
        <v>19500000</v>
      </c>
      <c r="K333" s="4">
        <v>11.7</v>
      </c>
      <c r="L333" s="4">
        <v>53.633000000000003</v>
      </c>
      <c r="M333" s="12">
        <f t="shared" si="14"/>
        <v>53633000</v>
      </c>
      <c r="N333" s="4">
        <v>15.3</v>
      </c>
      <c r="O333" s="4">
        <v>15.3</v>
      </c>
      <c r="P333" s="4" t="s">
        <v>123</v>
      </c>
      <c r="Q333" s="4">
        <v>1</v>
      </c>
      <c r="R333" s="18" t="s">
        <v>117</v>
      </c>
      <c r="S333" s="8" t="s">
        <v>117</v>
      </c>
      <c r="T333" s="8" t="s">
        <v>115</v>
      </c>
      <c r="U333" s="8" t="s">
        <v>117</v>
      </c>
      <c r="V333" s="8" t="s">
        <v>115</v>
      </c>
      <c r="W333" s="8" t="s">
        <v>115</v>
      </c>
    </row>
    <row r="334" spans="1:23" x14ac:dyDescent="0.35">
      <c r="A334" s="5" t="s">
        <v>36</v>
      </c>
      <c r="B334" s="4">
        <v>39</v>
      </c>
      <c r="C334" s="15">
        <v>0</v>
      </c>
      <c r="D334" s="17">
        <f t="shared" si="16"/>
        <v>0</v>
      </c>
      <c r="E334" s="6">
        <v>0</v>
      </c>
      <c r="F334" s="6">
        <v>0.05</v>
      </c>
      <c r="G334" s="9">
        <v>4</v>
      </c>
      <c r="H334" s="7">
        <v>2008</v>
      </c>
      <c r="I334" s="13">
        <v>22.47</v>
      </c>
      <c r="J334" s="2">
        <f t="shared" si="15"/>
        <v>22470000</v>
      </c>
      <c r="K334" s="4">
        <v>9.2200000000000006</v>
      </c>
      <c r="L334" s="4">
        <v>237.81700000000001</v>
      </c>
      <c r="M334" s="12">
        <f t="shared" si="14"/>
        <v>237817000</v>
      </c>
      <c r="N334" s="4">
        <v>211.6</v>
      </c>
      <c r="O334" s="4">
        <v>195.29999999999998</v>
      </c>
      <c r="P334" s="4" t="s">
        <v>123</v>
      </c>
      <c r="Q334" s="4">
        <v>1</v>
      </c>
      <c r="R334" s="18" t="s">
        <v>113</v>
      </c>
      <c r="S334" s="8" t="s">
        <v>112</v>
      </c>
      <c r="T334" s="8" t="s">
        <v>114</v>
      </c>
      <c r="U334" s="8" t="s">
        <v>114</v>
      </c>
      <c r="V334" s="8" t="s">
        <v>114</v>
      </c>
      <c r="W334" s="8" t="s">
        <v>114</v>
      </c>
    </row>
    <row r="335" spans="1:23" x14ac:dyDescent="0.35">
      <c r="A335" s="5" t="s">
        <v>37</v>
      </c>
      <c r="B335" s="4">
        <v>40</v>
      </c>
      <c r="C335" s="15">
        <v>0</v>
      </c>
      <c r="D335" s="17">
        <f t="shared" si="16"/>
        <v>0</v>
      </c>
      <c r="E335" s="6">
        <v>0</v>
      </c>
      <c r="F335" s="6">
        <v>0.05</v>
      </c>
      <c r="G335" s="9">
        <v>4</v>
      </c>
      <c r="H335" s="7">
        <v>2008</v>
      </c>
      <c r="I335" s="13">
        <v>22.56</v>
      </c>
      <c r="J335" s="2">
        <f t="shared" si="15"/>
        <v>22560000</v>
      </c>
      <c r="K335" s="4">
        <v>10.28</v>
      </c>
      <c r="L335" s="4">
        <v>112.267</v>
      </c>
      <c r="M335" s="12">
        <f t="shared" si="14"/>
        <v>112267000</v>
      </c>
      <c r="N335" s="4">
        <v>0</v>
      </c>
      <c r="O335" s="4">
        <v>0</v>
      </c>
      <c r="P335" s="4" t="s">
        <v>123</v>
      </c>
      <c r="Q335" s="4">
        <v>1</v>
      </c>
      <c r="R335" s="18" t="s">
        <v>117</v>
      </c>
      <c r="S335" s="8" t="s">
        <v>117</v>
      </c>
      <c r="T335" s="8" t="s">
        <v>115</v>
      </c>
      <c r="U335" s="8" t="s">
        <v>115</v>
      </c>
      <c r="V335" s="8" t="s">
        <v>115</v>
      </c>
      <c r="W335" s="8" t="s">
        <v>117</v>
      </c>
    </row>
    <row r="336" spans="1:23" x14ac:dyDescent="0.35">
      <c r="A336" s="5" t="s">
        <v>38</v>
      </c>
      <c r="B336" s="4">
        <v>41</v>
      </c>
      <c r="C336" s="15">
        <v>0</v>
      </c>
      <c r="D336" s="17">
        <f t="shared" si="16"/>
        <v>0</v>
      </c>
      <c r="E336" s="6">
        <v>0</v>
      </c>
      <c r="F336" s="6">
        <v>0.05</v>
      </c>
      <c r="G336" s="9">
        <v>4</v>
      </c>
      <c r="H336" s="7">
        <v>2008</v>
      </c>
      <c r="I336" s="13">
        <v>26.14</v>
      </c>
      <c r="J336" s="2">
        <f t="shared" si="15"/>
        <v>26140000</v>
      </c>
      <c r="K336" s="4">
        <v>11.76</v>
      </c>
      <c r="L336" s="4">
        <v>332.24700000000001</v>
      </c>
      <c r="M336" s="12">
        <f t="shared" si="14"/>
        <v>332247000</v>
      </c>
      <c r="N336" s="4">
        <v>272.74</v>
      </c>
      <c r="O336" s="4">
        <v>272.10000000000002</v>
      </c>
      <c r="P336" s="4" t="s">
        <v>123</v>
      </c>
      <c r="Q336" s="4">
        <v>1</v>
      </c>
      <c r="R336" s="18" t="s">
        <v>112</v>
      </c>
      <c r="S336" s="8" t="s">
        <v>116</v>
      </c>
      <c r="T336" s="8" t="s">
        <v>115</v>
      </c>
      <c r="U336" s="8" t="s">
        <v>114</v>
      </c>
      <c r="V336" s="8" t="s">
        <v>117</v>
      </c>
      <c r="W336" s="8" t="s">
        <v>117</v>
      </c>
    </row>
    <row r="337" spans="1:23" x14ac:dyDescent="0.35">
      <c r="A337" s="5" t="s">
        <v>39</v>
      </c>
      <c r="B337" s="4">
        <v>42</v>
      </c>
      <c r="C337" s="15">
        <v>0</v>
      </c>
      <c r="D337" s="17">
        <f t="shared" si="16"/>
        <v>0</v>
      </c>
      <c r="E337" s="6">
        <v>0</v>
      </c>
      <c r="F337" s="6">
        <v>0.05</v>
      </c>
      <c r="G337" s="9">
        <v>4</v>
      </c>
      <c r="H337" s="7">
        <v>2008</v>
      </c>
      <c r="I337" s="13">
        <v>26.6</v>
      </c>
      <c r="J337" s="2">
        <f t="shared" si="15"/>
        <v>26600000</v>
      </c>
      <c r="K337" s="4">
        <v>12.75</v>
      </c>
      <c r="L337" s="4">
        <v>448.45699999999999</v>
      </c>
      <c r="M337" s="12">
        <f t="shared" si="14"/>
        <v>448457000</v>
      </c>
      <c r="N337" s="4">
        <v>508.5</v>
      </c>
      <c r="O337" s="4">
        <v>259.23</v>
      </c>
      <c r="P337" s="4" t="s">
        <v>123</v>
      </c>
      <c r="Q337" s="4">
        <v>1</v>
      </c>
      <c r="R337" s="18" t="s">
        <v>113</v>
      </c>
      <c r="S337" s="8" t="s">
        <v>114</v>
      </c>
      <c r="T337" s="8" t="s">
        <v>115</v>
      </c>
      <c r="U337" s="8" t="s">
        <v>112</v>
      </c>
      <c r="V337" s="8" t="s">
        <v>115</v>
      </c>
      <c r="W337" s="8" t="s">
        <v>112</v>
      </c>
    </row>
    <row r="338" spans="1:23" x14ac:dyDescent="0.35">
      <c r="A338" s="5" t="s">
        <v>40</v>
      </c>
      <c r="B338" s="4">
        <v>43</v>
      </c>
      <c r="C338" s="15">
        <v>0</v>
      </c>
      <c r="D338" s="17">
        <f t="shared" si="16"/>
        <v>0</v>
      </c>
      <c r="E338" s="6">
        <v>0</v>
      </c>
      <c r="F338" s="6">
        <v>0.05</v>
      </c>
      <c r="G338" s="9">
        <v>4</v>
      </c>
      <c r="H338" s="7">
        <v>2008</v>
      </c>
      <c r="I338" s="13">
        <v>28.82</v>
      </c>
      <c r="J338" s="2">
        <f t="shared" si="15"/>
        <v>28820000</v>
      </c>
      <c r="K338" s="4">
        <v>12.23</v>
      </c>
      <c r="L338" s="4">
        <v>175.42699999999999</v>
      </c>
      <c r="M338" s="12">
        <f t="shared" si="14"/>
        <v>175427000</v>
      </c>
      <c r="N338" s="4">
        <v>201.9</v>
      </c>
      <c r="O338" s="4">
        <v>201.9</v>
      </c>
      <c r="P338" s="4" t="s">
        <v>123</v>
      </c>
      <c r="Q338" s="4">
        <v>1</v>
      </c>
      <c r="R338" s="18" t="s">
        <v>111</v>
      </c>
      <c r="S338" s="8" t="s">
        <v>112</v>
      </c>
      <c r="T338" s="8" t="s">
        <v>112</v>
      </c>
      <c r="U338" s="8" t="s">
        <v>112</v>
      </c>
      <c r="V338" s="8" t="s">
        <v>112</v>
      </c>
      <c r="W338" s="8" t="s">
        <v>112</v>
      </c>
    </row>
    <row r="339" spans="1:23" x14ac:dyDescent="0.35">
      <c r="A339" s="5" t="s">
        <v>41</v>
      </c>
      <c r="B339" s="4">
        <v>44</v>
      </c>
      <c r="C339" s="15">
        <v>0</v>
      </c>
      <c r="D339" s="17">
        <f t="shared" si="16"/>
        <v>0</v>
      </c>
      <c r="E339" s="6">
        <v>0</v>
      </c>
      <c r="F339" s="6">
        <v>0.05</v>
      </c>
      <c r="G339" s="9">
        <v>4</v>
      </c>
      <c r="H339" s="7">
        <v>2008</v>
      </c>
      <c r="I339" s="13">
        <v>27.14</v>
      </c>
      <c r="J339" s="2">
        <f t="shared" si="15"/>
        <v>27140000</v>
      </c>
      <c r="K339" s="4">
        <v>12.89</v>
      </c>
      <c r="L339" s="4">
        <v>180.13300000000001</v>
      </c>
      <c r="M339" s="12">
        <f t="shared" si="14"/>
        <v>180133000</v>
      </c>
      <c r="N339" s="4">
        <v>145</v>
      </c>
      <c r="O339" s="4">
        <v>145</v>
      </c>
      <c r="P339" s="4" t="s">
        <v>123</v>
      </c>
      <c r="Q339" s="4">
        <v>1</v>
      </c>
      <c r="R339" s="18" t="s">
        <v>114</v>
      </c>
      <c r="S339" s="8" t="s">
        <v>117</v>
      </c>
      <c r="T339" s="8" t="s">
        <v>115</v>
      </c>
      <c r="U339" s="8" t="s">
        <v>114</v>
      </c>
      <c r="V339" s="8" t="s">
        <v>115</v>
      </c>
      <c r="W339" s="8" t="s">
        <v>115</v>
      </c>
    </row>
    <row r="340" spans="1:23" x14ac:dyDescent="0.35">
      <c r="A340" s="5" t="s">
        <v>42</v>
      </c>
      <c r="B340" s="4">
        <v>45</v>
      </c>
      <c r="C340" s="15">
        <v>0</v>
      </c>
      <c r="D340" s="17">
        <f t="shared" si="16"/>
        <v>0</v>
      </c>
      <c r="E340" s="6">
        <v>0</v>
      </c>
      <c r="F340" s="6">
        <v>0.05</v>
      </c>
      <c r="G340" s="9">
        <v>4</v>
      </c>
      <c r="H340" s="7">
        <v>2008</v>
      </c>
      <c r="I340" s="13">
        <v>27.96</v>
      </c>
      <c r="J340" s="2">
        <f t="shared" si="15"/>
        <v>27960000</v>
      </c>
      <c r="K340" s="4">
        <v>12.66</v>
      </c>
      <c r="L340" s="4">
        <v>125.997</v>
      </c>
      <c r="M340" s="12">
        <f t="shared" si="14"/>
        <v>125997000</v>
      </c>
      <c r="N340" s="4">
        <v>185.25</v>
      </c>
      <c r="O340" s="4">
        <v>185.2</v>
      </c>
      <c r="P340" s="4" t="s">
        <v>123</v>
      </c>
      <c r="Q340" s="4">
        <v>1</v>
      </c>
      <c r="R340" s="18" t="s">
        <v>114</v>
      </c>
      <c r="S340" s="8" t="s">
        <v>114</v>
      </c>
      <c r="T340" s="8" t="s">
        <v>115</v>
      </c>
      <c r="U340" s="8" t="s">
        <v>117</v>
      </c>
      <c r="V340" s="8" t="s">
        <v>115</v>
      </c>
      <c r="W340" s="8" t="s">
        <v>117</v>
      </c>
    </row>
    <row r="341" spans="1:23" x14ac:dyDescent="0.35">
      <c r="A341" s="5" t="s">
        <v>43</v>
      </c>
      <c r="B341" s="4">
        <v>46</v>
      </c>
      <c r="C341" s="15">
        <v>0</v>
      </c>
      <c r="D341" s="17">
        <f t="shared" si="16"/>
        <v>0</v>
      </c>
      <c r="E341" s="6">
        <v>0</v>
      </c>
      <c r="F341" s="6">
        <v>0.05</v>
      </c>
      <c r="G341" s="9">
        <v>4</v>
      </c>
      <c r="H341" s="7">
        <v>2008</v>
      </c>
      <c r="I341" s="13">
        <v>27.75</v>
      </c>
      <c r="J341" s="2">
        <f t="shared" si="15"/>
        <v>27750000</v>
      </c>
      <c r="K341" s="4">
        <v>12.53</v>
      </c>
      <c r="L341" s="4">
        <v>488.88299999999998</v>
      </c>
      <c r="M341" s="12">
        <f t="shared" si="14"/>
        <v>488883000</v>
      </c>
      <c r="N341" s="4">
        <v>507.3</v>
      </c>
      <c r="O341" s="4">
        <v>507.3</v>
      </c>
      <c r="P341" s="4" t="s">
        <v>123</v>
      </c>
      <c r="Q341" s="4">
        <v>1</v>
      </c>
      <c r="R341" s="18" t="s">
        <v>113</v>
      </c>
      <c r="S341" s="8" t="s">
        <v>116</v>
      </c>
      <c r="T341" s="8" t="s">
        <v>115</v>
      </c>
      <c r="U341" s="8" t="s">
        <v>114</v>
      </c>
      <c r="V341" s="8" t="s">
        <v>116</v>
      </c>
      <c r="W341" s="8" t="s">
        <v>116</v>
      </c>
    </row>
    <row r="342" spans="1:23" x14ac:dyDescent="0.35">
      <c r="A342" s="5" t="s">
        <v>44</v>
      </c>
      <c r="B342" s="4">
        <v>47</v>
      </c>
      <c r="C342" s="15">
        <v>0</v>
      </c>
      <c r="D342" s="17">
        <f t="shared" si="16"/>
        <v>0</v>
      </c>
      <c r="E342" s="6">
        <v>0</v>
      </c>
      <c r="F342" s="6">
        <v>0.05</v>
      </c>
      <c r="G342" s="9">
        <v>4</v>
      </c>
      <c r="H342" s="7">
        <v>2008</v>
      </c>
      <c r="I342" s="13">
        <v>28.27</v>
      </c>
      <c r="J342" s="2">
        <f t="shared" si="15"/>
        <v>28270000</v>
      </c>
      <c r="K342" s="4">
        <v>13.24</v>
      </c>
      <c r="L342" s="4">
        <v>724.01300000000003</v>
      </c>
      <c r="M342" s="12">
        <f t="shared" si="14"/>
        <v>724013000</v>
      </c>
      <c r="N342" s="4">
        <v>643.37</v>
      </c>
      <c r="O342" s="4">
        <v>603.20000000000005</v>
      </c>
      <c r="P342" s="4" t="s">
        <v>123</v>
      </c>
      <c r="Q342" s="4">
        <v>1</v>
      </c>
      <c r="R342" s="18" t="s">
        <v>111</v>
      </c>
      <c r="S342" s="8" t="s">
        <v>116</v>
      </c>
      <c r="T342" s="8" t="s">
        <v>119</v>
      </c>
      <c r="U342" s="8" t="s">
        <v>115</v>
      </c>
      <c r="V342" s="8" t="s">
        <v>119</v>
      </c>
      <c r="W342" s="8" t="s">
        <v>118</v>
      </c>
    </row>
    <row r="343" spans="1:23" x14ac:dyDescent="0.35">
      <c r="A343" s="5" t="s">
        <v>94</v>
      </c>
      <c r="B343" s="4">
        <v>48</v>
      </c>
      <c r="C343" s="15">
        <v>0</v>
      </c>
      <c r="D343" s="17">
        <f t="shared" si="16"/>
        <v>0</v>
      </c>
      <c r="E343" s="6"/>
      <c r="F343" s="6"/>
      <c r="G343" s="9">
        <v>4</v>
      </c>
      <c r="H343" s="7"/>
      <c r="J343" s="2">
        <f t="shared" si="15"/>
        <v>0</v>
      </c>
      <c r="M343" s="12">
        <f t="shared" si="14"/>
        <v>0</v>
      </c>
      <c r="R343" s="18" t="s">
        <v>131</v>
      </c>
      <c r="S343" s="8"/>
      <c r="T343" s="8"/>
      <c r="U343" s="8"/>
      <c r="V343" s="8"/>
      <c r="W343" s="8"/>
    </row>
    <row r="344" spans="1:23" x14ac:dyDescent="0.35">
      <c r="A344" s="5" t="s">
        <v>95</v>
      </c>
      <c r="B344" s="4">
        <v>49</v>
      </c>
      <c r="C344" s="15">
        <v>0</v>
      </c>
      <c r="D344" s="17">
        <f t="shared" si="16"/>
        <v>0</v>
      </c>
      <c r="E344" s="6"/>
      <c r="F344" s="6"/>
      <c r="G344" s="9">
        <v>4</v>
      </c>
      <c r="H344" s="7"/>
      <c r="J344" s="2">
        <f t="shared" si="15"/>
        <v>0</v>
      </c>
      <c r="M344" s="12">
        <f t="shared" si="14"/>
        <v>0</v>
      </c>
      <c r="R344" s="18" t="s">
        <v>131</v>
      </c>
      <c r="S344" s="8"/>
      <c r="T344" s="8"/>
      <c r="U344" s="8"/>
      <c r="V344" s="8"/>
      <c r="W344" s="8"/>
    </row>
    <row r="345" spans="1:23" x14ac:dyDescent="0.35">
      <c r="A345" s="5" t="s">
        <v>45</v>
      </c>
      <c r="B345" s="4">
        <v>50</v>
      </c>
      <c r="C345" s="15">
        <v>0</v>
      </c>
      <c r="D345" s="17">
        <f t="shared" si="16"/>
        <v>0</v>
      </c>
      <c r="E345" s="6">
        <v>0</v>
      </c>
      <c r="F345" s="6">
        <v>0.05</v>
      </c>
      <c r="G345" s="9">
        <v>4</v>
      </c>
      <c r="H345" s="7">
        <v>2008</v>
      </c>
      <c r="I345" s="13">
        <v>22.52</v>
      </c>
      <c r="J345" s="2">
        <f t="shared" si="15"/>
        <v>22520000</v>
      </c>
      <c r="K345" s="4">
        <v>13.27</v>
      </c>
      <c r="L345" s="4">
        <v>45.667000000000002</v>
      </c>
      <c r="M345" s="12">
        <f t="shared" si="14"/>
        <v>45667000</v>
      </c>
      <c r="N345" s="4">
        <v>43.3</v>
      </c>
      <c r="O345" s="4">
        <v>43.3</v>
      </c>
      <c r="P345" s="4" t="s">
        <v>123</v>
      </c>
      <c r="Q345" s="4">
        <v>1</v>
      </c>
      <c r="R345" s="18" t="s">
        <v>117</v>
      </c>
      <c r="S345" s="8" t="s">
        <v>117</v>
      </c>
      <c r="T345" s="8" t="s">
        <v>115</v>
      </c>
      <c r="U345" s="8" t="s">
        <v>115</v>
      </c>
      <c r="V345" s="8" t="s">
        <v>117</v>
      </c>
      <c r="W345" s="8" t="s">
        <v>115</v>
      </c>
    </row>
    <row r="346" spans="1:23" x14ac:dyDescent="0.35">
      <c r="A346" s="5" t="s">
        <v>46</v>
      </c>
      <c r="B346" s="4">
        <v>51</v>
      </c>
      <c r="C346" s="15">
        <v>0</v>
      </c>
      <c r="D346" s="17">
        <f t="shared" si="16"/>
        <v>0</v>
      </c>
      <c r="E346" s="6">
        <v>0</v>
      </c>
      <c r="F346" s="6">
        <v>0.05</v>
      </c>
      <c r="G346" s="9">
        <v>4</v>
      </c>
      <c r="H346" s="7">
        <v>2008</v>
      </c>
      <c r="I346" s="13">
        <v>23.58</v>
      </c>
      <c r="J346" s="2">
        <f t="shared" si="15"/>
        <v>23580000</v>
      </c>
      <c r="K346" s="4">
        <v>12.59</v>
      </c>
      <c r="L346" s="4">
        <v>26.867000000000001</v>
      </c>
      <c r="M346" s="12">
        <f t="shared" si="14"/>
        <v>26867000</v>
      </c>
      <c r="N346" s="4">
        <v>56.4</v>
      </c>
      <c r="O346" s="4">
        <v>56.4</v>
      </c>
      <c r="P346" s="4" t="s">
        <v>123</v>
      </c>
      <c r="Q346" s="4">
        <v>1</v>
      </c>
      <c r="R346" s="18" t="s">
        <v>114</v>
      </c>
      <c r="S346" s="8" t="s">
        <v>114</v>
      </c>
      <c r="T346" s="8" t="s">
        <v>117</v>
      </c>
      <c r="U346" s="8" t="s">
        <v>115</v>
      </c>
      <c r="V346" s="8" t="s">
        <v>117</v>
      </c>
      <c r="W346" s="8" t="s">
        <v>115</v>
      </c>
    </row>
    <row r="347" spans="1:23" x14ac:dyDescent="0.35">
      <c r="A347" s="5" t="s">
        <v>47</v>
      </c>
      <c r="B347" s="4">
        <v>52</v>
      </c>
      <c r="C347" s="15">
        <v>0</v>
      </c>
      <c r="D347" s="17">
        <f t="shared" si="16"/>
        <v>0</v>
      </c>
      <c r="E347" s="6">
        <v>0</v>
      </c>
      <c r="F347" s="6">
        <v>0.05</v>
      </c>
      <c r="G347" s="9">
        <v>4</v>
      </c>
      <c r="H347" s="7">
        <v>2008</v>
      </c>
      <c r="I347" s="13">
        <v>17.03</v>
      </c>
      <c r="J347" s="2">
        <f t="shared" si="15"/>
        <v>17030000</v>
      </c>
      <c r="K347" s="4">
        <v>16.03</v>
      </c>
      <c r="L347" s="4">
        <v>171.333</v>
      </c>
      <c r="M347" s="12">
        <f t="shared" si="14"/>
        <v>171333000</v>
      </c>
      <c r="N347" s="4">
        <v>230.1</v>
      </c>
      <c r="O347" s="4">
        <v>206.2</v>
      </c>
      <c r="P347" s="4" t="s">
        <v>123</v>
      </c>
      <c r="Q347" s="4">
        <v>1</v>
      </c>
      <c r="R347" s="18" t="s">
        <v>112</v>
      </c>
      <c r="S347" s="8" t="s">
        <v>116</v>
      </c>
      <c r="T347" s="8" t="s">
        <v>117</v>
      </c>
      <c r="U347" s="8" t="s">
        <v>117</v>
      </c>
      <c r="V347" s="8" t="s">
        <v>115</v>
      </c>
      <c r="W347" s="8" t="s">
        <v>114</v>
      </c>
    </row>
    <row r="348" spans="1:23" x14ac:dyDescent="0.35">
      <c r="A348" s="5" t="s">
        <v>48</v>
      </c>
      <c r="B348" s="4">
        <v>53</v>
      </c>
      <c r="C348" s="15">
        <v>0</v>
      </c>
      <c r="D348" s="17">
        <f t="shared" si="16"/>
        <v>0</v>
      </c>
      <c r="E348" s="6">
        <v>0</v>
      </c>
      <c r="F348" s="6">
        <v>0.05</v>
      </c>
      <c r="G348" s="9">
        <v>4</v>
      </c>
      <c r="H348" s="7">
        <v>2008</v>
      </c>
      <c r="I348" s="13">
        <v>23.1</v>
      </c>
      <c r="J348" s="2">
        <f t="shared" si="15"/>
        <v>23100000</v>
      </c>
      <c r="K348" s="4">
        <v>15.76</v>
      </c>
      <c r="L348" s="4">
        <v>318.233</v>
      </c>
      <c r="M348" s="12">
        <f t="shared" si="14"/>
        <v>318233000</v>
      </c>
      <c r="N348" s="4">
        <v>232.9</v>
      </c>
      <c r="O348" s="4">
        <v>232.9</v>
      </c>
      <c r="P348" s="4" t="s">
        <v>123</v>
      </c>
      <c r="Q348" s="4">
        <v>1</v>
      </c>
      <c r="R348" s="18" t="s">
        <v>113</v>
      </c>
      <c r="S348" s="8" t="s">
        <v>117</v>
      </c>
      <c r="T348" s="8" t="s">
        <v>113</v>
      </c>
      <c r="U348" s="8" t="s">
        <v>115</v>
      </c>
      <c r="V348" s="8" t="s">
        <v>115</v>
      </c>
      <c r="W348" s="8" t="s">
        <v>115</v>
      </c>
    </row>
    <row r="349" spans="1:23" x14ac:dyDescent="0.35">
      <c r="A349" s="5" t="s">
        <v>49</v>
      </c>
      <c r="B349" s="4">
        <v>54</v>
      </c>
      <c r="C349" s="15">
        <v>0</v>
      </c>
      <c r="D349" s="17">
        <f t="shared" si="16"/>
        <v>0</v>
      </c>
      <c r="E349" s="6">
        <v>0</v>
      </c>
      <c r="F349" s="6">
        <v>0.05</v>
      </c>
      <c r="G349" s="9">
        <v>4</v>
      </c>
      <c r="H349" s="7">
        <v>2008</v>
      </c>
      <c r="I349" s="13">
        <v>26.07</v>
      </c>
      <c r="J349" s="2">
        <f t="shared" si="15"/>
        <v>26070000</v>
      </c>
      <c r="K349" s="4">
        <v>13.81</v>
      </c>
      <c r="L349" s="4">
        <v>365.03300000000002</v>
      </c>
      <c r="M349" s="12">
        <f t="shared" si="14"/>
        <v>365033000</v>
      </c>
      <c r="N349" s="4">
        <v>573.4</v>
      </c>
      <c r="O349" s="4">
        <v>560.5</v>
      </c>
      <c r="P349" s="4" t="s">
        <v>123</v>
      </c>
      <c r="Q349" s="4">
        <v>1</v>
      </c>
      <c r="R349" s="18" t="s">
        <v>113</v>
      </c>
      <c r="S349" s="8" t="s">
        <v>116</v>
      </c>
      <c r="T349" s="8" t="s">
        <v>116</v>
      </c>
      <c r="U349" s="8" t="s">
        <v>115</v>
      </c>
      <c r="V349" s="8" t="s">
        <v>114</v>
      </c>
      <c r="W349" s="8" t="s">
        <v>116</v>
      </c>
    </row>
    <row r="350" spans="1:23" x14ac:dyDescent="0.35">
      <c r="A350" s="5" t="s">
        <v>50</v>
      </c>
      <c r="B350" s="4">
        <v>55</v>
      </c>
      <c r="C350" s="15">
        <v>0</v>
      </c>
      <c r="D350" s="17">
        <f t="shared" si="16"/>
        <v>0</v>
      </c>
      <c r="E350" s="6">
        <v>0</v>
      </c>
      <c r="F350" s="6">
        <v>0.05</v>
      </c>
      <c r="G350" s="9">
        <v>4</v>
      </c>
      <c r="H350" s="7">
        <v>2008</v>
      </c>
      <c r="I350" s="13">
        <v>30.34</v>
      </c>
      <c r="J350" s="2">
        <f t="shared" si="15"/>
        <v>30340000</v>
      </c>
      <c r="K350" s="4">
        <v>14.37</v>
      </c>
      <c r="L350" s="4">
        <v>351.06700000000001</v>
      </c>
      <c r="M350" s="12">
        <f t="shared" si="14"/>
        <v>351067000</v>
      </c>
      <c r="N350" s="4">
        <v>329.2</v>
      </c>
      <c r="O350" s="4">
        <v>329.2</v>
      </c>
      <c r="P350" s="4" t="s">
        <v>123</v>
      </c>
      <c r="Q350" s="4">
        <v>1</v>
      </c>
      <c r="R350" s="18" t="s">
        <v>117</v>
      </c>
      <c r="S350" s="8" t="s">
        <v>117</v>
      </c>
      <c r="T350" s="8" t="s">
        <v>117</v>
      </c>
      <c r="U350" s="8" t="s">
        <v>115</v>
      </c>
      <c r="V350" s="8" t="s">
        <v>115</v>
      </c>
      <c r="W350" s="8" t="s">
        <v>115</v>
      </c>
    </row>
    <row r="351" spans="1:23" x14ac:dyDescent="0.35">
      <c r="A351" s="5" t="s">
        <v>51</v>
      </c>
      <c r="B351" s="4">
        <v>56</v>
      </c>
      <c r="C351" s="15">
        <v>0</v>
      </c>
      <c r="D351" s="17">
        <f t="shared" si="16"/>
        <v>0</v>
      </c>
      <c r="E351" s="6">
        <v>0</v>
      </c>
      <c r="F351" s="6">
        <v>0.05</v>
      </c>
      <c r="G351" s="9">
        <v>4</v>
      </c>
      <c r="H351" s="7">
        <v>2008</v>
      </c>
      <c r="I351" s="13">
        <v>26.79</v>
      </c>
      <c r="J351" s="2">
        <f t="shared" si="15"/>
        <v>26790000</v>
      </c>
      <c r="K351" s="4">
        <v>14.58</v>
      </c>
      <c r="L351" s="4">
        <v>236.13300000000001</v>
      </c>
      <c r="M351" s="12">
        <f t="shared" si="14"/>
        <v>236133000</v>
      </c>
      <c r="N351" s="4">
        <v>181.2</v>
      </c>
      <c r="O351" s="4">
        <v>99.199999999999989</v>
      </c>
      <c r="P351" s="4" t="s">
        <v>123</v>
      </c>
      <c r="Q351" s="4">
        <v>1</v>
      </c>
      <c r="R351" s="18" t="s">
        <v>113</v>
      </c>
      <c r="S351" s="8" t="s">
        <v>112</v>
      </c>
      <c r="T351" s="8" t="s">
        <v>114</v>
      </c>
      <c r="U351" s="8" t="s">
        <v>114</v>
      </c>
      <c r="V351" s="8" t="s">
        <v>114</v>
      </c>
      <c r="W351" s="8" t="s">
        <v>114</v>
      </c>
    </row>
    <row r="352" spans="1:23" x14ac:dyDescent="0.35">
      <c r="A352" s="5" t="s">
        <v>52</v>
      </c>
      <c r="B352" s="4">
        <v>57</v>
      </c>
      <c r="C352" s="15">
        <v>0</v>
      </c>
      <c r="D352" s="17">
        <f t="shared" si="16"/>
        <v>0</v>
      </c>
      <c r="E352" s="6">
        <v>0</v>
      </c>
      <c r="F352" s="6">
        <v>0.05</v>
      </c>
      <c r="G352" s="9">
        <v>4</v>
      </c>
      <c r="H352" s="7">
        <v>2008</v>
      </c>
      <c r="I352" s="13">
        <v>25.5</v>
      </c>
      <c r="J352" s="2">
        <f t="shared" si="15"/>
        <v>25500000</v>
      </c>
      <c r="K352" s="4">
        <v>13.17</v>
      </c>
      <c r="L352" s="4">
        <v>371.33300000000003</v>
      </c>
      <c r="M352" s="12">
        <f t="shared" si="14"/>
        <v>371333000</v>
      </c>
      <c r="N352" s="4">
        <v>377.9</v>
      </c>
      <c r="O352" s="4">
        <v>377.9</v>
      </c>
      <c r="P352" s="4" t="s">
        <v>123</v>
      </c>
      <c r="Q352" s="4">
        <v>1</v>
      </c>
      <c r="R352" s="18" t="s">
        <v>114</v>
      </c>
      <c r="S352" s="8" t="s">
        <v>117</v>
      </c>
      <c r="T352" s="8" t="s">
        <v>114</v>
      </c>
      <c r="U352" s="8" t="s">
        <v>115</v>
      </c>
      <c r="V352" s="8" t="s">
        <v>115</v>
      </c>
      <c r="W352" s="8" t="s">
        <v>115</v>
      </c>
    </row>
    <row r="353" spans="1:23" x14ac:dyDescent="0.35">
      <c r="A353" s="5" t="s">
        <v>53</v>
      </c>
      <c r="B353" s="4">
        <v>58</v>
      </c>
      <c r="C353" s="15">
        <v>0</v>
      </c>
      <c r="D353" s="17">
        <f t="shared" si="16"/>
        <v>0</v>
      </c>
      <c r="E353" s="6">
        <v>0</v>
      </c>
      <c r="F353" s="6">
        <v>0.05</v>
      </c>
      <c r="G353" s="9">
        <v>4</v>
      </c>
      <c r="H353" s="7">
        <v>2008</v>
      </c>
      <c r="I353" s="13">
        <v>31.56</v>
      </c>
      <c r="J353" s="2">
        <f t="shared" si="15"/>
        <v>31560000</v>
      </c>
      <c r="K353" s="4">
        <v>11.93</v>
      </c>
      <c r="L353" s="4">
        <v>477.93299999999999</v>
      </c>
      <c r="M353" s="12">
        <f t="shared" si="14"/>
        <v>477933000</v>
      </c>
      <c r="N353" s="4">
        <v>537.79999999999995</v>
      </c>
      <c r="O353" s="4">
        <v>537.79999999999995</v>
      </c>
      <c r="P353" s="4" t="s">
        <v>123</v>
      </c>
      <c r="Q353" s="4">
        <v>1</v>
      </c>
      <c r="R353" s="18" t="s">
        <v>111</v>
      </c>
      <c r="S353" s="8" t="s">
        <v>117</v>
      </c>
      <c r="T353" s="8" t="s">
        <v>111</v>
      </c>
      <c r="U353" s="8" t="s">
        <v>115</v>
      </c>
      <c r="V353" s="8" t="s">
        <v>115</v>
      </c>
      <c r="W353" s="8" t="s">
        <v>115</v>
      </c>
    </row>
    <row r="354" spans="1:23" x14ac:dyDescent="0.35">
      <c r="A354" s="5" t="s">
        <v>100</v>
      </c>
      <c r="B354" s="4">
        <v>59</v>
      </c>
      <c r="C354" s="15">
        <v>0</v>
      </c>
      <c r="D354" s="17">
        <f t="shared" si="16"/>
        <v>0</v>
      </c>
      <c r="E354" s="6"/>
      <c r="F354" s="6"/>
      <c r="G354" s="9">
        <v>4</v>
      </c>
      <c r="H354" s="7"/>
      <c r="J354" s="2">
        <f t="shared" si="15"/>
        <v>0</v>
      </c>
      <c r="M354" s="12">
        <f t="shared" si="14"/>
        <v>0</v>
      </c>
      <c r="R354" s="18" t="s">
        <v>128</v>
      </c>
      <c r="S354" s="8"/>
      <c r="T354" s="8"/>
      <c r="U354" s="8"/>
      <c r="V354" s="8"/>
      <c r="W354" s="8"/>
    </row>
    <row r="355" spans="1:23" x14ac:dyDescent="0.35">
      <c r="A355" s="5" t="s">
        <v>54</v>
      </c>
      <c r="B355" s="4">
        <v>60</v>
      </c>
      <c r="C355" s="15">
        <v>0</v>
      </c>
      <c r="D355" s="17">
        <f t="shared" si="16"/>
        <v>0</v>
      </c>
      <c r="E355" s="6">
        <v>0</v>
      </c>
      <c r="F355" s="6">
        <v>0.05</v>
      </c>
      <c r="G355" s="9">
        <v>4</v>
      </c>
      <c r="H355" s="7">
        <v>2008</v>
      </c>
      <c r="I355" s="13">
        <v>27.8</v>
      </c>
      <c r="J355" s="2">
        <f t="shared" si="15"/>
        <v>27800000</v>
      </c>
      <c r="K355" s="4">
        <v>12.25</v>
      </c>
      <c r="L355" s="4">
        <v>345.13299999999998</v>
      </c>
      <c r="M355" s="12">
        <f t="shared" si="14"/>
        <v>345133000</v>
      </c>
      <c r="N355" s="4">
        <v>543.29999999999995</v>
      </c>
      <c r="O355" s="4">
        <v>543.29999999999995</v>
      </c>
      <c r="P355" s="4" t="s">
        <v>123</v>
      </c>
      <c r="Q355" s="4">
        <v>1</v>
      </c>
      <c r="R355" s="18" t="s">
        <v>112</v>
      </c>
      <c r="S355" s="8" t="s">
        <v>114</v>
      </c>
      <c r="T355" s="8" t="s">
        <v>114</v>
      </c>
      <c r="U355" s="8" t="s">
        <v>114</v>
      </c>
      <c r="V355" s="8" t="s">
        <v>115</v>
      </c>
      <c r="W355" s="8" t="s">
        <v>115</v>
      </c>
    </row>
    <row r="356" spans="1:23" x14ac:dyDescent="0.35">
      <c r="A356" s="5" t="s">
        <v>55</v>
      </c>
      <c r="B356" s="4">
        <v>61</v>
      </c>
      <c r="C356" s="15">
        <v>0</v>
      </c>
      <c r="D356" s="17">
        <f t="shared" si="16"/>
        <v>0</v>
      </c>
      <c r="E356" s="6">
        <v>0</v>
      </c>
      <c r="F356" s="6">
        <v>0.05</v>
      </c>
      <c r="G356" s="9">
        <v>4</v>
      </c>
      <c r="H356" s="7">
        <v>2008</v>
      </c>
      <c r="I356" s="13">
        <v>30.08</v>
      </c>
      <c r="J356" s="2">
        <f t="shared" si="15"/>
        <v>30080000</v>
      </c>
      <c r="K356" s="4">
        <v>13.83</v>
      </c>
      <c r="L356" s="4">
        <v>19.667000000000002</v>
      </c>
      <c r="M356" s="12">
        <f t="shared" si="14"/>
        <v>19667000</v>
      </c>
      <c r="N356" s="4">
        <v>15.2</v>
      </c>
      <c r="O356" s="4">
        <v>0</v>
      </c>
      <c r="P356" s="4" t="s">
        <v>123</v>
      </c>
      <c r="Q356" s="4">
        <v>1</v>
      </c>
      <c r="R356" s="18" t="s">
        <v>117</v>
      </c>
      <c r="S356" s="8" t="s">
        <v>117</v>
      </c>
      <c r="T356" s="8" t="s">
        <v>115</v>
      </c>
      <c r="U356" s="8" t="s">
        <v>115</v>
      </c>
      <c r="V356" s="8" t="s">
        <v>115</v>
      </c>
      <c r="W356" s="8" t="s">
        <v>117</v>
      </c>
    </row>
    <row r="357" spans="1:23" x14ac:dyDescent="0.35">
      <c r="A357" s="5" t="s">
        <v>56</v>
      </c>
      <c r="B357" s="4">
        <v>62</v>
      </c>
      <c r="C357" s="15">
        <v>0</v>
      </c>
      <c r="D357" s="17">
        <f t="shared" si="16"/>
        <v>0</v>
      </c>
      <c r="E357" s="6">
        <v>0</v>
      </c>
      <c r="F357" s="6">
        <v>0.05</v>
      </c>
      <c r="G357" s="9">
        <v>4</v>
      </c>
      <c r="H357" s="7">
        <v>2008</v>
      </c>
      <c r="I357" s="13">
        <v>24.73</v>
      </c>
      <c r="J357" s="2">
        <f t="shared" si="15"/>
        <v>24730000</v>
      </c>
      <c r="K357" s="4">
        <v>19.22</v>
      </c>
      <c r="L357" s="4">
        <v>170.2</v>
      </c>
      <c r="M357" s="12">
        <f t="shared" si="14"/>
        <v>170200000</v>
      </c>
      <c r="N357" s="4">
        <v>159.80000000000001</v>
      </c>
      <c r="O357" s="4">
        <v>159.80000000000001</v>
      </c>
      <c r="P357" s="4" t="s">
        <v>123</v>
      </c>
      <c r="Q357" s="4">
        <v>1</v>
      </c>
      <c r="R357" s="18" t="s">
        <v>112</v>
      </c>
      <c r="S357" s="8" t="s">
        <v>117</v>
      </c>
      <c r="T357" s="8" t="s">
        <v>112</v>
      </c>
      <c r="U357" s="8" t="s">
        <v>115</v>
      </c>
      <c r="V357" s="8" t="s">
        <v>115</v>
      </c>
      <c r="W357" s="8" t="s">
        <v>115</v>
      </c>
    </row>
    <row r="358" spans="1:23" x14ac:dyDescent="0.35">
      <c r="A358" s="5" t="s">
        <v>57</v>
      </c>
      <c r="B358" s="4">
        <v>63</v>
      </c>
      <c r="C358" s="15">
        <v>0</v>
      </c>
      <c r="D358" s="17">
        <f t="shared" si="16"/>
        <v>0</v>
      </c>
      <c r="E358" s="6">
        <v>0</v>
      </c>
      <c r="F358" s="6">
        <v>0.05</v>
      </c>
      <c r="G358" s="9">
        <v>4</v>
      </c>
      <c r="H358" s="7">
        <v>2008</v>
      </c>
      <c r="I358" s="13">
        <v>24.72</v>
      </c>
      <c r="J358" s="2">
        <f t="shared" si="15"/>
        <v>24720000</v>
      </c>
      <c r="K358" s="4">
        <v>17.11</v>
      </c>
      <c r="L358" s="4">
        <v>348.83300000000003</v>
      </c>
      <c r="M358" s="12">
        <f t="shared" si="14"/>
        <v>348833000</v>
      </c>
      <c r="N358" s="4">
        <v>319.7</v>
      </c>
      <c r="O358" s="4">
        <v>319</v>
      </c>
      <c r="P358" s="4" t="s">
        <v>123</v>
      </c>
      <c r="Q358" s="4">
        <v>1</v>
      </c>
      <c r="R358" s="18" t="s">
        <v>120</v>
      </c>
      <c r="S358" s="8" t="s">
        <v>112</v>
      </c>
      <c r="T358" s="8" t="s">
        <v>111</v>
      </c>
      <c r="U358" s="8" t="s">
        <v>121</v>
      </c>
      <c r="V358" s="8" t="s">
        <v>122</v>
      </c>
      <c r="W358" s="8" t="s">
        <v>121</v>
      </c>
    </row>
    <row r="359" spans="1:23" x14ac:dyDescent="0.35">
      <c r="A359" s="5" t="s">
        <v>92</v>
      </c>
      <c r="B359" s="4">
        <v>64</v>
      </c>
      <c r="C359" s="15">
        <v>0</v>
      </c>
      <c r="D359" s="17">
        <f t="shared" si="16"/>
        <v>0</v>
      </c>
      <c r="E359" s="6"/>
      <c r="F359" s="6"/>
      <c r="G359" s="9">
        <v>4</v>
      </c>
      <c r="H359" s="7"/>
      <c r="J359" s="2">
        <f t="shared" si="15"/>
        <v>0</v>
      </c>
      <c r="M359" s="12">
        <f t="shared" si="14"/>
        <v>0</v>
      </c>
      <c r="R359" s="18" t="s">
        <v>129</v>
      </c>
      <c r="S359" s="8"/>
      <c r="T359" s="8"/>
      <c r="U359" s="8"/>
      <c r="V359" s="8"/>
      <c r="W359" s="8"/>
    </row>
    <row r="360" spans="1:23" x14ac:dyDescent="0.35">
      <c r="A360" s="5" t="s">
        <v>58</v>
      </c>
      <c r="B360" s="4">
        <v>65</v>
      </c>
      <c r="C360" s="15">
        <v>0</v>
      </c>
      <c r="D360" s="17">
        <f t="shared" si="16"/>
        <v>0</v>
      </c>
      <c r="E360" s="6">
        <v>0</v>
      </c>
      <c r="F360" s="6">
        <v>0.05</v>
      </c>
      <c r="G360" s="9">
        <v>4</v>
      </c>
      <c r="H360" s="7">
        <v>2008</v>
      </c>
      <c r="I360" s="13">
        <v>23</v>
      </c>
      <c r="J360" s="2">
        <f t="shared" si="15"/>
        <v>23000000</v>
      </c>
      <c r="K360" s="4">
        <v>18.96</v>
      </c>
      <c r="L360" s="4">
        <v>392.267</v>
      </c>
      <c r="M360" s="12">
        <f t="shared" si="14"/>
        <v>392267000</v>
      </c>
      <c r="N360" s="4">
        <v>317.7</v>
      </c>
      <c r="O360" s="4">
        <v>288.7</v>
      </c>
      <c r="P360" s="4" t="s">
        <v>123</v>
      </c>
      <c r="Q360" s="4">
        <v>1</v>
      </c>
      <c r="R360" s="18" t="s">
        <v>111</v>
      </c>
      <c r="S360" s="8" t="s">
        <v>114</v>
      </c>
      <c r="T360" s="8" t="s">
        <v>115</v>
      </c>
      <c r="U360" s="8" t="s">
        <v>113</v>
      </c>
      <c r="V360" s="8" t="s">
        <v>115</v>
      </c>
      <c r="W360" s="8" t="s">
        <v>113</v>
      </c>
    </row>
    <row r="361" spans="1:23" x14ac:dyDescent="0.35">
      <c r="A361" s="5" t="s">
        <v>59</v>
      </c>
      <c r="B361" s="4">
        <v>66</v>
      </c>
      <c r="C361" s="15">
        <v>0</v>
      </c>
      <c r="D361" s="17">
        <f t="shared" si="16"/>
        <v>0</v>
      </c>
      <c r="E361" s="6">
        <v>0</v>
      </c>
      <c r="F361" s="6">
        <v>0.05</v>
      </c>
      <c r="G361" s="9">
        <v>4</v>
      </c>
      <c r="H361" s="7">
        <v>2008</v>
      </c>
      <c r="I361" s="13">
        <v>25.5</v>
      </c>
      <c r="J361" s="2">
        <f t="shared" si="15"/>
        <v>25500000</v>
      </c>
      <c r="K361" s="4">
        <v>18.36</v>
      </c>
      <c r="L361" s="4">
        <v>40.966999999999999</v>
      </c>
      <c r="M361" s="12">
        <f t="shared" si="14"/>
        <v>40967000</v>
      </c>
      <c r="N361" s="4">
        <v>30.6</v>
      </c>
      <c r="O361" s="4">
        <v>30.6</v>
      </c>
      <c r="P361" s="4" t="s">
        <v>123</v>
      </c>
      <c r="Q361" s="4">
        <v>1</v>
      </c>
      <c r="R361" s="18" t="s">
        <v>117</v>
      </c>
      <c r="S361" s="8" t="s">
        <v>117</v>
      </c>
      <c r="T361" s="8" t="s">
        <v>115</v>
      </c>
      <c r="U361" s="8" t="s">
        <v>117</v>
      </c>
      <c r="V361" s="8" t="s">
        <v>115</v>
      </c>
      <c r="W361" s="8" t="s">
        <v>115</v>
      </c>
    </row>
    <row r="362" spans="1:23" x14ac:dyDescent="0.35">
      <c r="A362" s="5" t="s">
        <v>96</v>
      </c>
      <c r="B362" s="4">
        <v>67</v>
      </c>
      <c r="C362" s="15">
        <v>0</v>
      </c>
      <c r="D362" s="17">
        <f t="shared" si="16"/>
        <v>0</v>
      </c>
      <c r="E362" s="6"/>
      <c r="F362" s="6"/>
      <c r="G362" s="9">
        <v>4</v>
      </c>
      <c r="H362" s="7"/>
      <c r="J362" s="2">
        <f t="shared" si="15"/>
        <v>0</v>
      </c>
      <c r="M362" s="12">
        <f t="shared" si="14"/>
        <v>0</v>
      </c>
      <c r="R362" s="18" t="s">
        <v>131</v>
      </c>
      <c r="S362" s="8"/>
      <c r="T362" s="8"/>
      <c r="U362" s="8"/>
      <c r="V362" s="8"/>
      <c r="W362" s="8"/>
    </row>
    <row r="363" spans="1:23" x14ac:dyDescent="0.35">
      <c r="A363" s="5" t="s">
        <v>97</v>
      </c>
      <c r="B363" s="4">
        <v>68</v>
      </c>
      <c r="C363" s="15">
        <v>0</v>
      </c>
      <c r="D363" s="17">
        <f t="shared" si="16"/>
        <v>0</v>
      </c>
      <c r="E363" s="6"/>
      <c r="F363" s="6"/>
      <c r="G363" s="9">
        <v>4</v>
      </c>
      <c r="H363" s="7"/>
      <c r="J363" s="2">
        <f t="shared" si="15"/>
        <v>0</v>
      </c>
      <c r="M363" s="12">
        <f t="shared" si="14"/>
        <v>0</v>
      </c>
      <c r="R363" s="18" t="s">
        <v>131</v>
      </c>
      <c r="S363" s="8"/>
      <c r="T363" s="8"/>
      <c r="U363" s="8"/>
      <c r="V363" s="8"/>
      <c r="W363" s="8"/>
    </row>
    <row r="364" spans="1:23" x14ac:dyDescent="0.35">
      <c r="A364" s="5" t="s">
        <v>60</v>
      </c>
      <c r="B364" s="4">
        <v>69</v>
      </c>
      <c r="C364" s="15">
        <v>0</v>
      </c>
      <c r="D364" s="17">
        <f t="shared" si="16"/>
        <v>0</v>
      </c>
      <c r="E364" s="6">
        <v>0</v>
      </c>
      <c r="F364" s="6">
        <v>0.05</v>
      </c>
      <c r="G364" s="9">
        <v>4</v>
      </c>
      <c r="H364" s="7">
        <v>2008</v>
      </c>
      <c r="I364" s="13">
        <v>24.98</v>
      </c>
      <c r="J364" s="2">
        <f t="shared" si="15"/>
        <v>24980000</v>
      </c>
      <c r="K364" s="4">
        <v>16.100000000000001</v>
      </c>
      <c r="L364" s="4">
        <v>162.96700000000001</v>
      </c>
      <c r="M364" s="12">
        <f t="shared" si="14"/>
        <v>162967000</v>
      </c>
      <c r="N364" s="4">
        <v>64.3</v>
      </c>
      <c r="O364" s="4">
        <v>64.3</v>
      </c>
      <c r="P364" s="4" t="s">
        <v>123</v>
      </c>
      <c r="Q364" s="4">
        <v>1</v>
      </c>
      <c r="R364" s="18" t="s">
        <v>114</v>
      </c>
      <c r="S364" s="8" t="s">
        <v>114</v>
      </c>
      <c r="T364" s="8" t="s">
        <v>117</v>
      </c>
      <c r="U364" s="8" t="s">
        <v>117</v>
      </c>
      <c r="V364" s="8" t="s">
        <v>115</v>
      </c>
      <c r="W364" s="8" t="s">
        <v>115</v>
      </c>
    </row>
    <row r="365" spans="1:23" x14ac:dyDescent="0.35">
      <c r="A365" s="5" t="s">
        <v>61</v>
      </c>
      <c r="B365" s="4">
        <v>70</v>
      </c>
      <c r="C365" s="15">
        <v>0</v>
      </c>
      <c r="D365" s="17">
        <f t="shared" si="16"/>
        <v>0</v>
      </c>
      <c r="E365" s="6">
        <v>0</v>
      </c>
      <c r="F365" s="6">
        <v>0.05</v>
      </c>
      <c r="G365" s="9">
        <v>4</v>
      </c>
      <c r="H365" s="7">
        <v>2008</v>
      </c>
      <c r="I365" s="13">
        <v>25.71</v>
      </c>
      <c r="J365" s="2">
        <f t="shared" si="15"/>
        <v>25710000</v>
      </c>
      <c r="K365" s="4">
        <v>15</v>
      </c>
      <c r="L365" s="4">
        <v>281.2</v>
      </c>
      <c r="M365" s="12">
        <f t="shared" si="14"/>
        <v>281200000</v>
      </c>
      <c r="N365" s="4">
        <v>521</v>
      </c>
      <c r="O365" s="4">
        <v>513.70000000000005</v>
      </c>
      <c r="P365" s="4" t="s">
        <v>123</v>
      </c>
      <c r="Q365" s="4">
        <v>1</v>
      </c>
      <c r="R365" s="18" t="s">
        <v>113</v>
      </c>
      <c r="S365" s="8" t="s">
        <v>114</v>
      </c>
      <c r="T365" s="8" t="s">
        <v>115</v>
      </c>
      <c r="U365" s="8" t="s">
        <v>115</v>
      </c>
      <c r="V365" s="8" t="s">
        <v>112</v>
      </c>
      <c r="W365" s="8" t="s">
        <v>112</v>
      </c>
    </row>
    <row r="366" spans="1:23" x14ac:dyDescent="0.35">
      <c r="A366" s="5" t="s">
        <v>62</v>
      </c>
      <c r="B366" s="4">
        <v>71</v>
      </c>
      <c r="C366" s="15">
        <v>0</v>
      </c>
      <c r="D366" s="17">
        <f t="shared" si="16"/>
        <v>0</v>
      </c>
      <c r="E366" s="6">
        <v>0</v>
      </c>
      <c r="F366" s="6">
        <v>0.05</v>
      </c>
      <c r="G366" s="9">
        <v>4</v>
      </c>
      <c r="H366" s="7">
        <v>2008</v>
      </c>
      <c r="I366" s="13">
        <v>27.7</v>
      </c>
      <c r="J366" s="2">
        <f t="shared" si="15"/>
        <v>27700000</v>
      </c>
      <c r="K366" s="4">
        <v>14.41</v>
      </c>
      <c r="L366" s="4">
        <v>13.733000000000001</v>
      </c>
      <c r="M366" s="12">
        <f t="shared" si="14"/>
        <v>13733000</v>
      </c>
      <c r="N366" s="4">
        <v>0.3</v>
      </c>
      <c r="O366" s="4">
        <v>0</v>
      </c>
      <c r="P366" s="4" t="s">
        <v>123</v>
      </c>
      <c r="Q366" s="4">
        <v>1</v>
      </c>
      <c r="R366" s="18" t="s">
        <v>114</v>
      </c>
      <c r="S366" s="8" t="s">
        <v>117</v>
      </c>
      <c r="T366" s="8" t="s">
        <v>115</v>
      </c>
      <c r="U366" s="8" t="s">
        <v>115</v>
      </c>
      <c r="V366" s="8" t="s">
        <v>115</v>
      </c>
      <c r="W366" s="8" t="s">
        <v>114</v>
      </c>
    </row>
    <row r="367" spans="1:23" x14ac:dyDescent="0.35">
      <c r="A367" s="5" t="s">
        <v>63</v>
      </c>
      <c r="B367" s="4">
        <v>72</v>
      </c>
      <c r="C367" s="15">
        <v>0</v>
      </c>
      <c r="D367" s="17">
        <f t="shared" si="16"/>
        <v>0</v>
      </c>
      <c r="E367" s="6">
        <v>0</v>
      </c>
      <c r="F367" s="6">
        <v>0.05</v>
      </c>
      <c r="G367" s="9">
        <v>4</v>
      </c>
      <c r="H367" s="7">
        <v>2008</v>
      </c>
      <c r="I367" s="13">
        <v>27.52</v>
      </c>
      <c r="J367" s="2">
        <f t="shared" si="15"/>
        <v>27520000</v>
      </c>
      <c r="K367" s="4">
        <v>13.76</v>
      </c>
      <c r="L367" s="4">
        <v>462.86700000000002</v>
      </c>
      <c r="M367" s="12">
        <f t="shared" si="14"/>
        <v>462867000</v>
      </c>
      <c r="N367" s="4">
        <v>188</v>
      </c>
      <c r="O367" s="4">
        <v>188</v>
      </c>
      <c r="P367" s="4" t="s">
        <v>123</v>
      </c>
      <c r="Q367" s="4">
        <v>1</v>
      </c>
      <c r="R367" s="18" t="s">
        <v>111</v>
      </c>
      <c r="S367" s="8" t="s">
        <v>112</v>
      </c>
      <c r="T367" s="8" t="s">
        <v>112</v>
      </c>
      <c r="U367" s="8" t="s">
        <v>112</v>
      </c>
      <c r="V367" s="8" t="s">
        <v>112</v>
      </c>
      <c r="W367" s="8" t="s">
        <v>112</v>
      </c>
    </row>
    <row r="368" spans="1:23" x14ac:dyDescent="0.35">
      <c r="A368" s="5" t="s">
        <v>64</v>
      </c>
      <c r="B368" s="4">
        <v>73</v>
      </c>
      <c r="C368" s="15">
        <v>0</v>
      </c>
      <c r="D368" s="17">
        <f t="shared" si="16"/>
        <v>0</v>
      </c>
      <c r="E368" s="6">
        <v>0</v>
      </c>
      <c r="F368" s="6">
        <v>0.05</v>
      </c>
      <c r="G368" s="9">
        <v>4</v>
      </c>
      <c r="H368" s="7">
        <v>2008</v>
      </c>
      <c r="I368" s="13">
        <v>30.51</v>
      </c>
      <c r="J368" s="2">
        <f t="shared" si="15"/>
        <v>30510000</v>
      </c>
      <c r="K368" s="4">
        <v>12.79</v>
      </c>
      <c r="L368" s="4">
        <v>225.56700000000001</v>
      </c>
      <c r="M368" s="12">
        <f t="shared" si="14"/>
        <v>225567000</v>
      </c>
      <c r="N368" s="4">
        <v>201.2</v>
      </c>
      <c r="O368" s="4">
        <v>201.2</v>
      </c>
      <c r="P368" s="4" t="s">
        <v>123</v>
      </c>
      <c r="Q368" s="4">
        <v>1</v>
      </c>
      <c r="R368" s="18" t="s">
        <v>112</v>
      </c>
      <c r="S368" s="8" t="s">
        <v>112</v>
      </c>
      <c r="T368" s="8" t="s">
        <v>117</v>
      </c>
      <c r="U368" s="8" t="s">
        <v>117</v>
      </c>
      <c r="V368" s="8" t="s">
        <v>117</v>
      </c>
      <c r="W368" s="8" t="s">
        <v>117</v>
      </c>
    </row>
    <row r="369" spans="1:23" x14ac:dyDescent="0.35">
      <c r="A369" s="5" t="s">
        <v>65</v>
      </c>
      <c r="B369" s="4">
        <v>74</v>
      </c>
      <c r="C369" s="15">
        <v>0</v>
      </c>
      <c r="D369" s="17">
        <f t="shared" si="16"/>
        <v>0</v>
      </c>
      <c r="E369" s="6">
        <v>0</v>
      </c>
      <c r="F369" s="6">
        <v>0.05</v>
      </c>
      <c r="G369" s="9">
        <v>4</v>
      </c>
      <c r="H369" s="7">
        <v>2008</v>
      </c>
      <c r="I369" s="13">
        <v>33.979999999999997</v>
      </c>
      <c r="J369" s="2">
        <f t="shared" si="15"/>
        <v>33980000</v>
      </c>
      <c r="K369" s="4">
        <v>15.97</v>
      </c>
      <c r="L369" s="4">
        <v>326.13299999999998</v>
      </c>
      <c r="M369" s="12">
        <f t="shared" si="14"/>
        <v>326133000</v>
      </c>
      <c r="N369" s="4">
        <v>366.9</v>
      </c>
      <c r="O369" s="4">
        <v>365.59999999999997</v>
      </c>
      <c r="P369" s="4" t="s">
        <v>123</v>
      </c>
      <c r="Q369" s="4">
        <v>1</v>
      </c>
      <c r="R369" s="18" t="s">
        <v>111</v>
      </c>
      <c r="S369" s="8" t="s">
        <v>116</v>
      </c>
      <c r="T369" s="8" t="s">
        <v>118</v>
      </c>
      <c r="U369" s="8" t="s">
        <v>119</v>
      </c>
      <c r="V369" s="8" t="s">
        <v>115</v>
      </c>
      <c r="W369" s="8" t="s">
        <v>119</v>
      </c>
    </row>
    <row r="370" spans="1:23" x14ac:dyDescent="0.35">
      <c r="A370" s="5" t="s">
        <v>87</v>
      </c>
      <c r="B370" s="4">
        <v>75</v>
      </c>
      <c r="C370" s="15">
        <v>0</v>
      </c>
      <c r="D370" s="17">
        <f t="shared" si="16"/>
        <v>0</v>
      </c>
      <c r="E370" s="6"/>
      <c r="F370" s="6"/>
      <c r="G370" s="9">
        <v>4</v>
      </c>
      <c r="H370" s="7"/>
      <c r="J370" s="2">
        <f t="shared" si="15"/>
        <v>0</v>
      </c>
      <c r="M370" s="12">
        <f t="shared" si="14"/>
        <v>0</v>
      </c>
      <c r="R370" s="18" t="s">
        <v>133</v>
      </c>
      <c r="S370" s="8"/>
      <c r="T370" s="8"/>
      <c r="U370" s="8"/>
      <c r="V370" s="8"/>
      <c r="W370" s="8"/>
    </row>
    <row r="371" spans="1:23" x14ac:dyDescent="0.35">
      <c r="A371" s="5" t="s">
        <v>66</v>
      </c>
      <c r="B371" s="4">
        <v>76</v>
      </c>
      <c r="C371" s="15">
        <v>0</v>
      </c>
      <c r="D371" s="17">
        <f t="shared" si="16"/>
        <v>0</v>
      </c>
      <c r="E371" s="6">
        <v>0</v>
      </c>
      <c r="F371" s="6">
        <v>0.05</v>
      </c>
      <c r="G371" s="9">
        <v>4</v>
      </c>
      <c r="H371" s="7">
        <v>2008</v>
      </c>
      <c r="I371" s="13">
        <v>25.65</v>
      </c>
      <c r="J371" s="2">
        <f t="shared" si="15"/>
        <v>25650000</v>
      </c>
      <c r="K371" s="4">
        <v>31.74</v>
      </c>
      <c r="L371" s="4">
        <v>555.93299999999999</v>
      </c>
      <c r="M371" s="12">
        <f t="shared" si="14"/>
        <v>555933000</v>
      </c>
      <c r="N371" s="4">
        <v>485.89</v>
      </c>
      <c r="O371" s="4">
        <v>418.49</v>
      </c>
      <c r="P371" s="4" t="s">
        <v>123</v>
      </c>
      <c r="Q371" s="4">
        <v>1</v>
      </c>
      <c r="R371" s="18" t="s">
        <v>120</v>
      </c>
      <c r="S371" s="8" t="s">
        <v>112</v>
      </c>
      <c r="T371" s="8" t="s">
        <v>111</v>
      </c>
      <c r="U371" s="8" t="s">
        <v>121</v>
      </c>
      <c r="V371" s="8" t="s">
        <v>122</v>
      </c>
      <c r="W371" s="8" t="s">
        <v>121</v>
      </c>
    </row>
    <row r="372" spans="1:23" x14ac:dyDescent="0.35">
      <c r="A372" s="5" t="s">
        <v>67</v>
      </c>
      <c r="B372" s="4">
        <v>77</v>
      </c>
      <c r="C372" s="15">
        <v>0</v>
      </c>
      <c r="D372" s="17">
        <f t="shared" si="16"/>
        <v>0</v>
      </c>
      <c r="E372" s="6">
        <v>0</v>
      </c>
      <c r="F372" s="6">
        <v>0.05</v>
      </c>
      <c r="G372" s="9">
        <v>4</v>
      </c>
      <c r="H372" s="7">
        <v>2008</v>
      </c>
      <c r="I372" s="13">
        <v>23.87</v>
      </c>
      <c r="J372" s="2">
        <f t="shared" si="15"/>
        <v>23870000</v>
      </c>
      <c r="K372" s="4">
        <v>29.58</v>
      </c>
      <c r="L372" s="4">
        <v>205.03299999999999</v>
      </c>
      <c r="M372" s="12">
        <f t="shared" si="14"/>
        <v>205033000</v>
      </c>
      <c r="N372" s="4">
        <v>145.08000000000001</v>
      </c>
      <c r="O372" s="4">
        <v>145.08000000000001</v>
      </c>
      <c r="P372" s="4" t="s">
        <v>123</v>
      </c>
      <c r="Q372" s="4">
        <v>1</v>
      </c>
      <c r="R372" s="18" t="s">
        <v>111</v>
      </c>
      <c r="S372" s="8" t="s">
        <v>116</v>
      </c>
      <c r="T372" s="8" t="s">
        <v>119</v>
      </c>
      <c r="U372" s="8" t="s">
        <v>119</v>
      </c>
      <c r="V372" s="8" t="s">
        <v>118</v>
      </c>
      <c r="W372" s="8" t="s">
        <v>115</v>
      </c>
    </row>
    <row r="373" spans="1:23" x14ac:dyDescent="0.35">
      <c r="A373" s="5" t="s">
        <v>68</v>
      </c>
      <c r="B373" s="4">
        <v>78</v>
      </c>
      <c r="C373" s="15">
        <v>0</v>
      </c>
      <c r="D373" s="17">
        <f t="shared" si="16"/>
        <v>0</v>
      </c>
      <c r="E373" s="6">
        <v>0</v>
      </c>
      <c r="F373" s="6">
        <v>0.05</v>
      </c>
      <c r="G373" s="9">
        <v>4</v>
      </c>
      <c r="H373" s="7">
        <v>2008</v>
      </c>
      <c r="I373" s="13">
        <v>22.2</v>
      </c>
      <c r="J373" s="2">
        <f t="shared" si="15"/>
        <v>22200000</v>
      </c>
      <c r="K373" s="4">
        <v>30.34</v>
      </c>
      <c r="L373" s="4">
        <v>0.9</v>
      </c>
      <c r="M373" s="12">
        <f t="shared" si="14"/>
        <v>900000</v>
      </c>
      <c r="N373" s="4">
        <v>0.6</v>
      </c>
      <c r="O373" s="4">
        <v>0.6</v>
      </c>
      <c r="P373" s="4" t="s">
        <v>123</v>
      </c>
      <c r="Q373" s="4">
        <v>1</v>
      </c>
      <c r="R373" s="18" t="s">
        <v>117</v>
      </c>
      <c r="S373" s="8" t="s">
        <v>117</v>
      </c>
      <c r="T373" s="8" t="s">
        <v>115</v>
      </c>
      <c r="U373" s="8" t="s">
        <v>117</v>
      </c>
      <c r="V373" s="8" t="s">
        <v>115</v>
      </c>
      <c r="W373" s="8" t="s">
        <v>115</v>
      </c>
    </row>
    <row r="374" spans="1:23" x14ac:dyDescent="0.35">
      <c r="A374" s="5" t="s">
        <v>69</v>
      </c>
      <c r="B374" s="4">
        <v>79</v>
      </c>
      <c r="C374" s="15">
        <v>0</v>
      </c>
      <c r="D374" s="17">
        <f t="shared" si="16"/>
        <v>0</v>
      </c>
      <c r="E374" s="6">
        <v>0</v>
      </c>
      <c r="F374" s="6">
        <v>0.05</v>
      </c>
      <c r="G374" s="9">
        <v>4</v>
      </c>
      <c r="H374" s="7">
        <v>2008</v>
      </c>
      <c r="I374" s="13">
        <v>16.95</v>
      </c>
      <c r="J374" s="2">
        <f t="shared" si="15"/>
        <v>16950000</v>
      </c>
      <c r="K374" s="4">
        <v>34.380000000000003</v>
      </c>
      <c r="L374" s="4">
        <v>220.233</v>
      </c>
      <c r="M374" s="12">
        <f t="shared" si="14"/>
        <v>220233000</v>
      </c>
      <c r="N374" s="4">
        <v>235.9</v>
      </c>
      <c r="O374" s="4">
        <v>43</v>
      </c>
      <c r="P374" s="4" t="s">
        <v>123</v>
      </c>
      <c r="Q374" s="4">
        <v>1</v>
      </c>
      <c r="R374" s="18" t="s">
        <v>112</v>
      </c>
      <c r="S374" s="8" t="s">
        <v>112</v>
      </c>
      <c r="T374" s="8" t="s">
        <v>117</v>
      </c>
      <c r="U374" s="8" t="s">
        <v>117</v>
      </c>
      <c r="V374" s="8" t="s">
        <v>117</v>
      </c>
      <c r="W374" s="8" t="s">
        <v>117</v>
      </c>
    </row>
    <row r="375" spans="1:23" x14ac:dyDescent="0.35">
      <c r="A375" s="5" t="s">
        <v>101</v>
      </c>
      <c r="B375" s="4">
        <v>80</v>
      </c>
      <c r="C375" s="15">
        <v>0</v>
      </c>
      <c r="D375" s="17">
        <f t="shared" si="16"/>
        <v>0</v>
      </c>
      <c r="E375" s="6"/>
      <c r="F375" s="6"/>
      <c r="G375" s="9">
        <v>4</v>
      </c>
      <c r="H375" s="7"/>
      <c r="J375" s="2">
        <f t="shared" si="15"/>
        <v>0</v>
      </c>
      <c r="M375" s="12">
        <f t="shared" si="14"/>
        <v>0</v>
      </c>
      <c r="R375" s="18" t="s">
        <v>128</v>
      </c>
      <c r="S375" s="8"/>
      <c r="T375" s="8"/>
      <c r="U375" s="8"/>
      <c r="V375" s="8"/>
      <c r="W375" s="8"/>
    </row>
    <row r="376" spans="1:23" x14ac:dyDescent="0.35">
      <c r="A376" s="5" t="s">
        <v>70</v>
      </c>
      <c r="B376" s="4">
        <v>81</v>
      </c>
      <c r="C376" s="15">
        <v>0</v>
      </c>
      <c r="D376" s="17">
        <f t="shared" si="16"/>
        <v>0</v>
      </c>
      <c r="E376" s="6">
        <v>0</v>
      </c>
      <c r="F376" s="6">
        <v>0.05</v>
      </c>
      <c r="G376" s="9">
        <v>4</v>
      </c>
      <c r="H376" s="7">
        <v>2008</v>
      </c>
      <c r="I376" s="13">
        <v>24.39</v>
      </c>
      <c r="J376" s="2">
        <f t="shared" si="15"/>
        <v>24390000</v>
      </c>
      <c r="K376" s="4">
        <v>32.85</v>
      </c>
      <c r="L376" s="4">
        <v>108.343</v>
      </c>
      <c r="M376" s="12">
        <f t="shared" si="14"/>
        <v>108343000</v>
      </c>
      <c r="N376" s="4">
        <v>114.77</v>
      </c>
      <c r="O376" s="4">
        <v>114.77</v>
      </c>
      <c r="P376" s="4" t="s">
        <v>123</v>
      </c>
      <c r="Q376" s="4">
        <v>1</v>
      </c>
      <c r="R376" s="18" t="s">
        <v>113</v>
      </c>
      <c r="S376" s="8" t="s">
        <v>117</v>
      </c>
      <c r="T376" s="8" t="s">
        <v>115</v>
      </c>
      <c r="U376" s="8" t="s">
        <v>113</v>
      </c>
      <c r="V376" s="8" t="s">
        <v>115</v>
      </c>
      <c r="W376" s="8" t="s">
        <v>115</v>
      </c>
    </row>
    <row r="377" spans="1:23" x14ac:dyDescent="0.35">
      <c r="A377" s="5" t="s">
        <v>71</v>
      </c>
      <c r="B377" s="4">
        <v>82</v>
      </c>
      <c r="C377" s="15">
        <v>0</v>
      </c>
      <c r="D377" s="17">
        <f t="shared" si="16"/>
        <v>0</v>
      </c>
      <c r="E377" s="6">
        <v>0</v>
      </c>
      <c r="F377" s="6">
        <v>0.05</v>
      </c>
      <c r="G377" s="9">
        <v>4</v>
      </c>
      <c r="H377" s="7">
        <v>2008</v>
      </c>
      <c r="I377" s="13">
        <v>24.58</v>
      </c>
      <c r="J377" s="2">
        <f t="shared" si="15"/>
        <v>24580000</v>
      </c>
      <c r="K377" s="4">
        <v>31.85</v>
      </c>
      <c r="L377" s="4">
        <v>243.86699999999999</v>
      </c>
      <c r="M377" s="12">
        <f t="shared" si="14"/>
        <v>243867000</v>
      </c>
      <c r="N377" s="4">
        <v>180.6</v>
      </c>
      <c r="O377" s="4">
        <v>180.6</v>
      </c>
      <c r="P377" s="4" t="s">
        <v>123</v>
      </c>
      <c r="Q377" s="4">
        <v>1</v>
      </c>
      <c r="R377" s="18" t="s">
        <v>112</v>
      </c>
      <c r="S377" s="8" t="s">
        <v>114</v>
      </c>
      <c r="T377" s="8" t="s">
        <v>115</v>
      </c>
      <c r="U377" s="8" t="s">
        <v>115</v>
      </c>
      <c r="V377" s="8" t="s">
        <v>114</v>
      </c>
      <c r="W377" s="8" t="s">
        <v>114</v>
      </c>
    </row>
    <row r="378" spans="1:23" x14ac:dyDescent="0.35">
      <c r="A378" s="5" t="s">
        <v>72</v>
      </c>
      <c r="B378" s="4">
        <v>83</v>
      </c>
      <c r="C378" s="15">
        <v>0</v>
      </c>
      <c r="D378" s="17">
        <f t="shared" si="16"/>
        <v>0</v>
      </c>
      <c r="E378" s="6">
        <v>0</v>
      </c>
      <c r="F378" s="6">
        <v>0.05</v>
      </c>
      <c r="G378" s="9">
        <v>4</v>
      </c>
      <c r="H378" s="7">
        <v>2008</v>
      </c>
      <c r="I378" s="13">
        <v>22.12</v>
      </c>
      <c r="J378" s="2">
        <f t="shared" si="15"/>
        <v>22120000</v>
      </c>
      <c r="K378" s="4">
        <v>28.84</v>
      </c>
      <c r="L378" s="4">
        <v>75.58</v>
      </c>
      <c r="M378" s="12">
        <f t="shared" si="14"/>
        <v>75580000</v>
      </c>
      <c r="N378" s="4">
        <v>133.1</v>
      </c>
      <c r="O378" s="4">
        <v>133.1</v>
      </c>
      <c r="P378" s="4" t="s">
        <v>123</v>
      </c>
      <c r="Q378" s="4">
        <v>1</v>
      </c>
      <c r="R378" s="18" t="s">
        <v>113</v>
      </c>
      <c r="S378" s="8" t="s">
        <v>114</v>
      </c>
      <c r="T378" s="8" t="s">
        <v>112</v>
      </c>
      <c r="U378" s="8" t="s">
        <v>112</v>
      </c>
      <c r="V378" s="8" t="s">
        <v>115</v>
      </c>
      <c r="W378" s="8" t="s">
        <v>115</v>
      </c>
    </row>
    <row r="379" spans="1:23" x14ac:dyDescent="0.35">
      <c r="A379" s="5" t="s">
        <v>73</v>
      </c>
      <c r="B379" s="4">
        <v>84</v>
      </c>
      <c r="C379" s="15">
        <v>0</v>
      </c>
      <c r="D379" s="17">
        <f t="shared" si="16"/>
        <v>0</v>
      </c>
      <c r="E379" s="6">
        <v>0</v>
      </c>
      <c r="F379" s="6">
        <v>0.05</v>
      </c>
      <c r="G379" s="9">
        <v>4</v>
      </c>
      <c r="H379" s="7">
        <v>2008</v>
      </c>
      <c r="I379" s="13">
        <v>20.09</v>
      </c>
      <c r="J379" s="2">
        <f t="shared" si="15"/>
        <v>20090000</v>
      </c>
      <c r="K379" s="4">
        <v>34.35</v>
      </c>
      <c r="L379" s="4">
        <v>34.6</v>
      </c>
      <c r="M379" s="12">
        <f t="shared" si="14"/>
        <v>34600000</v>
      </c>
      <c r="N379" s="4">
        <v>59.6</v>
      </c>
      <c r="O379" s="4">
        <v>0</v>
      </c>
      <c r="P379" s="4" t="s">
        <v>123</v>
      </c>
      <c r="Q379" s="4">
        <v>1</v>
      </c>
      <c r="R379" s="18" t="s">
        <v>117</v>
      </c>
      <c r="S379" s="8" t="s">
        <v>117</v>
      </c>
      <c r="T379" s="8" t="s">
        <v>115</v>
      </c>
      <c r="U379" s="8" t="s">
        <v>115</v>
      </c>
      <c r="V379" s="8" t="s">
        <v>115</v>
      </c>
      <c r="W379" s="8" t="s">
        <v>117</v>
      </c>
    </row>
    <row r="380" spans="1:23" x14ac:dyDescent="0.35">
      <c r="A380" s="5" t="s">
        <v>74</v>
      </c>
      <c r="B380" s="4">
        <v>85</v>
      </c>
      <c r="C380" s="15">
        <v>0</v>
      </c>
      <c r="D380" s="17">
        <f t="shared" si="16"/>
        <v>0</v>
      </c>
      <c r="E380" s="6">
        <v>0</v>
      </c>
      <c r="F380" s="6">
        <v>0.05</v>
      </c>
      <c r="G380" s="9">
        <v>4</v>
      </c>
      <c r="H380" s="7">
        <v>2008</v>
      </c>
      <c r="I380" s="13">
        <v>24.68</v>
      </c>
      <c r="J380" s="2">
        <f t="shared" si="15"/>
        <v>24680000</v>
      </c>
      <c r="K380" s="4">
        <v>35.01</v>
      </c>
      <c r="L380" s="4">
        <v>124.663</v>
      </c>
      <c r="M380" s="12">
        <f t="shared" si="14"/>
        <v>124663000</v>
      </c>
      <c r="N380" s="4">
        <v>176.3</v>
      </c>
      <c r="O380" s="4">
        <v>176.3</v>
      </c>
      <c r="P380" s="4" t="s">
        <v>123</v>
      </c>
      <c r="Q380" s="4">
        <v>1</v>
      </c>
      <c r="R380" s="18" t="s">
        <v>113</v>
      </c>
      <c r="S380" s="8" t="s">
        <v>116</v>
      </c>
      <c r="T380" s="8" t="s">
        <v>114</v>
      </c>
      <c r="U380" s="8" t="s">
        <v>116</v>
      </c>
      <c r="V380" s="8" t="s">
        <v>116</v>
      </c>
      <c r="W380" s="8" t="s">
        <v>115</v>
      </c>
    </row>
    <row r="381" spans="1:23" x14ac:dyDescent="0.35">
      <c r="A381" s="5" t="s">
        <v>75</v>
      </c>
      <c r="B381" s="4">
        <v>86</v>
      </c>
      <c r="C381" s="15">
        <v>0</v>
      </c>
      <c r="D381" s="17">
        <f t="shared" si="16"/>
        <v>0</v>
      </c>
      <c r="E381" s="6">
        <v>0</v>
      </c>
      <c r="F381" s="6">
        <v>0.05</v>
      </c>
      <c r="G381" s="9">
        <v>4</v>
      </c>
      <c r="H381" s="7">
        <v>2008</v>
      </c>
      <c r="I381" s="13">
        <v>21.63</v>
      </c>
      <c r="J381" s="2">
        <f t="shared" si="15"/>
        <v>21630000</v>
      </c>
      <c r="K381" s="4">
        <v>34.39</v>
      </c>
      <c r="L381" s="4">
        <v>274.31700000000001</v>
      </c>
      <c r="M381" s="12">
        <f t="shared" si="14"/>
        <v>274317000</v>
      </c>
      <c r="N381" s="4">
        <v>212.35</v>
      </c>
      <c r="O381" s="4">
        <v>212.35</v>
      </c>
      <c r="P381" s="4" t="s">
        <v>123</v>
      </c>
      <c r="Q381" s="4">
        <v>1</v>
      </c>
      <c r="R381" s="18" t="s">
        <v>112</v>
      </c>
      <c r="S381" s="8" t="s">
        <v>116</v>
      </c>
      <c r="T381" s="8" t="s">
        <v>117</v>
      </c>
      <c r="U381" s="8" t="s">
        <v>115</v>
      </c>
      <c r="V381" s="8" t="s">
        <v>114</v>
      </c>
      <c r="W381" s="8" t="s">
        <v>117</v>
      </c>
    </row>
    <row r="382" spans="1:23" x14ac:dyDescent="0.35">
      <c r="A382" s="5" t="s">
        <v>76</v>
      </c>
      <c r="B382" s="4">
        <v>87</v>
      </c>
      <c r="C382" s="15">
        <v>0</v>
      </c>
      <c r="D382" s="17">
        <f t="shared" si="16"/>
        <v>0</v>
      </c>
      <c r="E382" s="6">
        <v>0</v>
      </c>
      <c r="F382" s="6">
        <v>0.05</v>
      </c>
      <c r="G382" s="9">
        <v>4</v>
      </c>
      <c r="H382" s="7">
        <v>2008</v>
      </c>
      <c r="I382" s="13">
        <v>21.16</v>
      </c>
      <c r="J382" s="2">
        <f t="shared" si="15"/>
        <v>21160000</v>
      </c>
      <c r="K382" s="4">
        <v>30.82</v>
      </c>
      <c r="L382" s="4">
        <v>42.3</v>
      </c>
      <c r="M382" s="12">
        <f t="shared" si="14"/>
        <v>42300000</v>
      </c>
      <c r="N382" s="4">
        <v>54.1</v>
      </c>
      <c r="O382" s="4">
        <v>54.1</v>
      </c>
      <c r="P382" s="4" t="s">
        <v>123</v>
      </c>
      <c r="Q382" s="4">
        <v>1</v>
      </c>
      <c r="R382" s="18" t="s">
        <v>117</v>
      </c>
      <c r="S382" s="8" t="s">
        <v>117</v>
      </c>
      <c r="T382" s="8" t="s">
        <v>117</v>
      </c>
      <c r="U382" s="8" t="s">
        <v>115</v>
      </c>
      <c r="V382" s="8" t="s">
        <v>115</v>
      </c>
      <c r="W382" s="8" t="s">
        <v>115</v>
      </c>
    </row>
    <row r="383" spans="1:23" x14ac:dyDescent="0.35">
      <c r="A383" s="5" t="s">
        <v>77</v>
      </c>
      <c r="B383" s="4">
        <v>88</v>
      </c>
      <c r="C383" s="15">
        <v>0</v>
      </c>
      <c r="D383" s="17">
        <f t="shared" si="16"/>
        <v>0</v>
      </c>
      <c r="E383" s="6">
        <v>0</v>
      </c>
      <c r="F383" s="6">
        <v>0.05</v>
      </c>
      <c r="G383" s="9">
        <v>4</v>
      </c>
      <c r="H383" s="7">
        <v>2008</v>
      </c>
      <c r="I383" s="13">
        <v>18.12</v>
      </c>
      <c r="J383" s="2">
        <f t="shared" si="15"/>
        <v>18120000</v>
      </c>
      <c r="K383" s="4">
        <v>37.11</v>
      </c>
      <c r="L383" s="4">
        <v>29.867000000000001</v>
      </c>
      <c r="M383" s="12">
        <f t="shared" si="14"/>
        <v>29867000</v>
      </c>
      <c r="N383" s="4">
        <v>45.9</v>
      </c>
      <c r="O383" s="4">
        <v>45.9</v>
      </c>
      <c r="P383" s="4" t="s">
        <v>123</v>
      </c>
      <c r="Q383" s="4">
        <v>1</v>
      </c>
      <c r="R383" s="18" t="s">
        <v>117</v>
      </c>
      <c r="S383" s="8" t="s">
        <v>117</v>
      </c>
      <c r="T383" s="8" t="s">
        <v>115</v>
      </c>
      <c r="U383" s="8" t="s">
        <v>115</v>
      </c>
      <c r="V383" s="8" t="s">
        <v>117</v>
      </c>
      <c r="W383" s="8" t="s">
        <v>115</v>
      </c>
    </row>
    <row r="384" spans="1:23" x14ac:dyDescent="0.35">
      <c r="A384" s="5" t="s">
        <v>78</v>
      </c>
      <c r="B384" s="4">
        <v>89</v>
      </c>
      <c r="C384" s="15">
        <v>0</v>
      </c>
      <c r="D384" s="17">
        <f t="shared" si="16"/>
        <v>0</v>
      </c>
      <c r="E384" s="6">
        <v>0</v>
      </c>
      <c r="F384" s="6">
        <v>0.05</v>
      </c>
      <c r="G384" s="9">
        <v>4</v>
      </c>
      <c r="H384" s="7">
        <v>2008</v>
      </c>
      <c r="I384" s="13">
        <v>21.14</v>
      </c>
      <c r="J384" s="2">
        <f t="shared" si="15"/>
        <v>21140000</v>
      </c>
      <c r="K384" s="4">
        <v>36.409999999999997</v>
      </c>
      <c r="L384" s="4">
        <v>102.8</v>
      </c>
      <c r="M384" s="12">
        <f t="shared" si="14"/>
        <v>102800000</v>
      </c>
      <c r="N384" s="4">
        <v>124.1</v>
      </c>
      <c r="O384" s="4">
        <v>124.1</v>
      </c>
      <c r="P384" s="4" t="s">
        <v>123</v>
      </c>
      <c r="Q384" s="4">
        <v>1</v>
      </c>
      <c r="R384" s="18" t="s">
        <v>114</v>
      </c>
      <c r="S384" s="8" t="s">
        <v>117</v>
      </c>
      <c r="T384" s="8" t="s">
        <v>115</v>
      </c>
      <c r="U384" s="8" t="s">
        <v>114</v>
      </c>
      <c r="V384" s="8" t="s">
        <v>115</v>
      </c>
      <c r="W384" s="8" t="s">
        <v>115</v>
      </c>
    </row>
    <row r="385" spans="1:23" x14ac:dyDescent="0.35">
      <c r="A385" s="5" t="s">
        <v>79</v>
      </c>
      <c r="B385" s="4">
        <v>90</v>
      </c>
      <c r="C385" s="15">
        <v>0</v>
      </c>
      <c r="D385" s="17">
        <f t="shared" si="16"/>
        <v>0</v>
      </c>
      <c r="E385" s="6">
        <v>0</v>
      </c>
      <c r="F385" s="6">
        <v>0.05</v>
      </c>
      <c r="G385" s="9">
        <v>4</v>
      </c>
      <c r="H385" s="7">
        <v>2008</v>
      </c>
      <c r="I385" s="13">
        <v>23.15</v>
      </c>
      <c r="J385" s="2">
        <f t="shared" si="15"/>
        <v>23150000</v>
      </c>
      <c r="K385" s="4">
        <v>34.549999999999997</v>
      </c>
      <c r="L385" s="4">
        <v>81.5</v>
      </c>
      <c r="M385" s="12">
        <f t="shared" si="14"/>
        <v>81500000</v>
      </c>
      <c r="N385" s="4">
        <v>107.41</v>
      </c>
      <c r="O385" s="4">
        <v>107.2</v>
      </c>
      <c r="P385" s="4" t="s">
        <v>123</v>
      </c>
      <c r="Q385" s="4">
        <v>1</v>
      </c>
      <c r="R385" s="18" t="s">
        <v>114</v>
      </c>
      <c r="S385" s="8" t="s">
        <v>114</v>
      </c>
      <c r="T385" s="8" t="s">
        <v>115</v>
      </c>
      <c r="U385" s="8" t="s">
        <v>117</v>
      </c>
      <c r="V385" s="8" t="s">
        <v>115</v>
      </c>
      <c r="W385" s="8" t="s">
        <v>117</v>
      </c>
    </row>
    <row r="386" spans="1:23" x14ac:dyDescent="0.35">
      <c r="A386" s="5" t="s">
        <v>80</v>
      </c>
      <c r="B386" s="4">
        <v>91</v>
      </c>
      <c r="C386" s="15">
        <v>0</v>
      </c>
      <c r="D386" s="17">
        <f t="shared" si="16"/>
        <v>0</v>
      </c>
      <c r="E386" s="6">
        <v>0</v>
      </c>
      <c r="F386" s="6">
        <v>0.05</v>
      </c>
      <c r="G386" s="9">
        <v>4</v>
      </c>
      <c r="H386" s="7">
        <v>2008</v>
      </c>
      <c r="I386" s="13">
        <v>22</v>
      </c>
      <c r="J386" s="2">
        <f t="shared" si="15"/>
        <v>22000000</v>
      </c>
      <c r="K386" s="4">
        <v>29.89</v>
      </c>
      <c r="L386" s="4">
        <v>131.803</v>
      </c>
      <c r="M386" s="12">
        <f t="shared" si="14"/>
        <v>131803000</v>
      </c>
      <c r="N386" s="4">
        <v>160.11000000000001</v>
      </c>
      <c r="O386" s="4">
        <v>160</v>
      </c>
      <c r="P386" s="4" t="s">
        <v>123</v>
      </c>
      <c r="Q386" s="4">
        <v>1</v>
      </c>
      <c r="R386" s="18" t="s">
        <v>113</v>
      </c>
      <c r="S386" s="8" t="s">
        <v>112</v>
      </c>
      <c r="T386" s="8" t="s">
        <v>114</v>
      </c>
      <c r="U386" s="8" t="s">
        <v>114</v>
      </c>
      <c r="V386" s="8" t="s">
        <v>114</v>
      </c>
      <c r="W386" s="8" t="s">
        <v>114</v>
      </c>
    </row>
    <row r="387" spans="1:23" x14ac:dyDescent="0.35">
      <c r="A387" s="5" t="s">
        <v>81</v>
      </c>
      <c r="B387" s="4">
        <v>92</v>
      </c>
      <c r="C387" s="15">
        <v>0</v>
      </c>
      <c r="D387" s="17">
        <f t="shared" si="16"/>
        <v>0</v>
      </c>
      <c r="E387" s="6">
        <v>0</v>
      </c>
      <c r="F387" s="6">
        <v>0.05</v>
      </c>
      <c r="G387" s="9">
        <v>4</v>
      </c>
      <c r="H387" s="7">
        <v>2008</v>
      </c>
      <c r="I387" s="13">
        <v>16.96</v>
      </c>
      <c r="J387" s="2">
        <f t="shared" si="15"/>
        <v>16960000</v>
      </c>
      <c r="K387" s="4">
        <v>37.369999999999997</v>
      </c>
      <c r="L387" s="4">
        <v>114.503</v>
      </c>
      <c r="M387" s="12">
        <f t="shared" si="14"/>
        <v>114503000</v>
      </c>
      <c r="N387" s="4">
        <v>71</v>
      </c>
      <c r="O387" s="4">
        <v>71</v>
      </c>
      <c r="P387" s="4" t="s">
        <v>123</v>
      </c>
      <c r="Q387" s="4">
        <v>1</v>
      </c>
      <c r="R387" s="18" t="s">
        <v>114</v>
      </c>
      <c r="S387" s="8" t="s">
        <v>117</v>
      </c>
      <c r="T387" s="8" t="s">
        <v>115</v>
      </c>
      <c r="U387" s="8" t="s">
        <v>115</v>
      </c>
      <c r="V387" s="8" t="s">
        <v>114</v>
      </c>
      <c r="W387" s="8" t="s">
        <v>115</v>
      </c>
    </row>
    <row r="388" spans="1:23" x14ac:dyDescent="0.35">
      <c r="A388" s="5" t="s">
        <v>82</v>
      </c>
      <c r="B388" s="4">
        <v>93</v>
      </c>
      <c r="C388" s="15">
        <v>0</v>
      </c>
      <c r="D388" s="17">
        <f t="shared" si="16"/>
        <v>0</v>
      </c>
      <c r="E388" s="6">
        <v>0</v>
      </c>
      <c r="F388" s="6">
        <v>0.05</v>
      </c>
      <c r="G388" s="9">
        <v>4</v>
      </c>
      <c r="H388" s="7">
        <v>2008</v>
      </c>
      <c r="I388" s="13">
        <v>21.85</v>
      </c>
      <c r="J388" s="2">
        <f t="shared" si="15"/>
        <v>21850000</v>
      </c>
      <c r="K388" s="4">
        <v>31.4</v>
      </c>
      <c r="L388" s="4">
        <v>684.66700000000003</v>
      </c>
      <c r="M388" s="12">
        <f t="shared" si="14"/>
        <v>684667000</v>
      </c>
      <c r="N388" s="4">
        <v>292</v>
      </c>
      <c r="O388" s="4">
        <v>291.2</v>
      </c>
      <c r="P388" s="4" t="s">
        <v>123</v>
      </c>
      <c r="Q388" s="4">
        <v>1</v>
      </c>
      <c r="R388" s="18" t="s">
        <v>111</v>
      </c>
      <c r="S388" s="8" t="s">
        <v>112</v>
      </c>
      <c r="T388" s="8" t="s">
        <v>112</v>
      </c>
      <c r="U388" s="8" t="s">
        <v>112</v>
      </c>
      <c r="V388" s="8" t="s">
        <v>112</v>
      </c>
      <c r="W388" s="8" t="s">
        <v>112</v>
      </c>
    </row>
    <row r="389" spans="1:23" x14ac:dyDescent="0.35">
      <c r="A389" s="5" t="s">
        <v>89</v>
      </c>
      <c r="B389" s="4">
        <v>94</v>
      </c>
      <c r="C389" s="15">
        <v>0</v>
      </c>
      <c r="D389" s="17">
        <f t="shared" si="16"/>
        <v>0</v>
      </c>
      <c r="E389" s="6"/>
      <c r="F389" s="6"/>
      <c r="G389" s="9">
        <v>4</v>
      </c>
      <c r="H389" s="7"/>
      <c r="J389" s="2">
        <f t="shared" si="15"/>
        <v>0</v>
      </c>
      <c r="M389" s="12">
        <f t="shared" ref="M389:M452" si="17">L389*1000000</f>
        <v>0</v>
      </c>
      <c r="R389" s="18" t="s">
        <v>129</v>
      </c>
      <c r="S389" s="8"/>
      <c r="T389" s="8"/>
      <c r="U389" s="8"/>
      <c r="V389" s="8"/>
      <c r="W389" s="8"/>
    </row>
    <row r="390" spans="1:23" x14ac:dyDescent="0.35">
      <c r="A390" s="5" t="s">
        <v>83</v>
      </c>
      <c r="B390" s="4">
        <v>95</v>
      </c>
      <c r="C390" s="15">
        <v>0</v>
      </c>
      <c r="D390" s="17">
        <f t="shared" si="16"/>
        <v>0</v>
      </c>
      <c r="E390" s="6">
        <v>0</v>
      </c>
      <c r="F390" s="6">
        <v>0.05</v>
      </c>
      <c r="G390" s="9">
        <v>4</v>
      </c>
      <c r="H390" s="7">
        <v>2008</v>
      </c>
      <c r="I390" s="13">
        <v>19.04</v>
      </c>
      <c r="J390" s="2">
        <f t="shared" ref="J390:J453" si="18">I390*1000000</f>
        <v>19040000</v>
      </c>
      <c r="K390" s="4">
        <v>30.48</v>
      </c>
      <c r="L390" s="4">
        <v>343</v>
      </c>
      <c r="M390" s="12">
        <f t="shared" si="17"/>
        <v>343000000</v>
      </c>
      <c r="N390" s="4">
        <v>426.4</v>
      </c>
      <c r="O390" s="4">
        <v>421.7</v>
      </c>
      <c r="P390" s="4" t="s">
        <v>123</v>
      </c>
      <c r="Q390" s="4">
        <v>1</v>
      </c>
      <c r="R390" s="18" t="s">
        <v>111</v>
      </c>
      <c r="S390" s="8" t="s">
        <v>114</v>
      </c>
      <c r="T390" s="8" t="s">
        <v>115</v>
      </c>
      <c r="U390" s="8" t="s">
        <v>115</v>
      </c>
      <c r="V390" s="8" t="s">
        <v>113</v>
      </c>
      <c r="W390" s="8" t="s">
        <v>113</v>
      </c>
    </row>
    <row r="391" spans="1:23" x14ac:dyDescent="0.35">
      <c r="A391" s="5" t="s">
        <v>84</v>
      </c>
      <c r="B391" s="4">
        <v>96</v>
      </c>
      <c r="C391" s="15">
        <v>0</v>
      </c>
      <c r="D391" s="17">
        <f t="shared" ref="D391:D454" si="19">C391*1000000</f>
        <v>0</v>
      </c>
      <c r="E391" s="6">
        <v>0</v>
      </c>
      <c r="F391" s="6">
        <v>0.05</v>
      </c>
      <c r="G391" s="9">
        <v>4</v>
      </c>
      <c r="H391" s="7">
        <v>2008</v>
      </c>
      <c r="I391" s="13">
        <v>17.899999999999999</v>
      </c>
      <c r="J391" s="2">
        <f t="shared" si="18"/>
        <v>17900000</v>
      </c>
      <c r="K391" s="4">
        <v>38.04</v>
      </c>
      <c r="L391" s="4">
        <v>168.14699999999999</v>
      </c>
      <c r="M391" s="12">
        <f t="shared" si="17"/>
        <v>168147000</v>
      </c>
      <c r="N391" s="4">
        <v>0.94</v>
      </c>
      <c r="O391" s="4">
        <v>0</v>
      </c>
      <c r="P391" s="4" t="s">
        <v>123</v>
      </c>
      <c r="Q391" s="4">
        <v>1</v>
      </c>
      <c r="R391" s="18" t="s">
        <v>114</v>
      </c>
      <c r="S391" s="8" t="s">
        <v>114</v>
      </c>
      <c r="T391" s="8" t="s">
        <v>115</v>
      </c>
      <c r="U391" s="8" t="s">
        <v>115</v>
      </c>
      <c r="V391" s="8" t="s">
        <v>117</v>
      </c>
      <c r="W391" s="8" t="s">
        <v>117</v>
      </c>
    </row>
    <row r="392" spans="1:23" x14ac:dyDescent="0.35">
      <c r="A392" s="5" t="s">
        <v>85</v>
      </c>
      <c r="B392" s="4">
        <v>97</v>
      </c>
      <c r="C392" s="15">
        <v>0</v>
      </c>
      <c r="D392" s="17">
        <f t="shared" si="19"/>
        <v>0</v>
      </c>
      <c r="E392" s="6">
        <v>0</v>
      </c>
      <c r="F392" s="6">
        <v>0.05</v>
      </c>
      <c r="G392" s="9">
        <v>4</v>
      </c>
      <c r="H392" s="7">
        <v>2008</v>
      </c>
      <c r="I392" s="13">
        <v>19.420000000000002</v>
      </c>
      <c r="J392" s="2">
        <f t="shared" si="18"/>
        <v>19420000</v>
      </c>
      <c r="K392" s="4">
        <v>34.29</v>
      </c>
      <c r="L392" s="4">
        <v>333.29700000000003</v>
      </c>
      <c r="M392" s="12">
        <f t="shared" si="17"/>
        <v>333297000</v>
      </c>
      <c r="N392" s="4">
        <v>394.28</v>
      </c>
      <c r="O392" s="4">
        <v>394.28</v>
      </c>
      <c r="P392" s="4" t="s">
        <v>123</v>
      </c>
      <c r="Q392" s="4">
        <v>1</v>
      </c>
      <c r="R392" s="18" t="s">
        <v>112</v>
      </c>
      <c r="S392" s="8" t="s">
        <v>117</v>
      </c>
      <c r="T392" s="8" t="s">
        <v>115</v>
      </c>
      <c r="U392" s="8" t="s">
        <v>115</v>
      </c>
      <c r="V392" s="8" t="s">
        <v>112</v>
      </c>
      <c r="W392" s="8" t="s">
        <v>115</v>
      </c>
    </row>
    <row r="393" spans="1:23" x14ac:dyDescent="0.35">
      <c r="A393" s="5" t="s">
        <v>93</v>
      </c>
      <c r="B393" s="4">
        <v>98</v>
      </c>
      <c r="C393" s="15">
        <v>0</v>
      </c>
      <c r="D393" s="17">
        <f t="shared" si="19"/>
        <v>0</v>
      </c>
      <c r="E393" s="6"/>
      <c r="F393" s="6"/>
      <c r="G393" s="9">
        <v>4</v>
      </c>
      <c r="H393" s="7"/>
      <c r="J393" s="2">
        <f t="shared" si="18"/>
        <v>0</v>
      </c>
      <c r="M393" s="12">
        <f t="shared" si="17"/>
        <v>0</v>
      </c>
      <c r="R393" s="18" t="s">
        <v>132</v>
      </c>
      <c r="S393" s="8"/>
      <c r="T393" s="8"/>
      <c r="U393" s="8"/>
      <c r="V393" s="8"/>
      <c r="W393" s="8"/>
    </row>
    <row r="394" spans="1:23" x14ac:dyDescent="0.35">
      <c r="A394" s="5" t="s">
        <v>90</v>
      </c>
      <c r="B394" s="4">
        <v>1</v>
      </c>
      <c r="C394" s="15">
        <v>0</v>
      </c>
      <c r="D394" s="17">
        <f t="shared" si="19"/>
        <v>0</v>
      </c>
      <c r="E394" s="6">
        <v>0</v>
      </c>
      <c r="F394" s="6">
        <v>0.05</v>
      </c>
      <c r="G394" s="9">
        <v>5</v>
      </c>
      <c r="H394" s="7">
        <v>2011</v>
      </c>
      <c r="I394" s="13">
        <v>41.06254088</v>
      </c>
      <c r="J394" s="2">
        <f t="shared" si="18"/>
        <v>41062540.880000003</v>
      </c>
      <c r="K394" s="4">
        <v>23.685240749999998</v>
      </c>
      <c r="M394" s="12">
        <f t="shared" si="17"/>
        <v>0</v>
      </c>
      <c r="Q394" s="4">
        <v>1</v>
      </c>
      <c r="R394" s="18" t="s">
        <v>125</v>
      </c>
    </row>
    <row r="395" spans="1:23" x14ac:dyDescent="0.35">
      <c r="A395" s="5" t="s">
        <v>91</v>
      </c>
      <c r="B395" s="4">
        <v>2</v>
      </c>
      <c r="C395" s="15">
        <v>0</v>
      </c>
      <c r="D395" s="17">
        <f t="shared" si="19"/>
        <v>0</v>
      </c>
      <c r="E395" s="6">
        <v>0</v>
      </c>
      <c r="F395" s="6">
        <v>0.05</v>
      </c>
      <c r="G395" s="9">
        <v>5</v>
      </c>
      <c r="H395" s="7">
        <v>2011</v>
      </c>
      <c r="I395" s="13">
        <v>45.001386580000002</v>
      </c>
      <c r="J395" s="2">
        <f t="shared" si="18"/>
        <v>45001386.579999998</v>
      </c>
      <c r="K395" s="4">
        <v>19.401134249999998</v>
      </c>
      <c r="M395" s="12">
        <f t="shared" si="17"/>
        <v>0</v>
      </c>
      <c r="Q395" s="4">
        <v>1</v>
      </c>
      <c r="R395" s="18" t="s">
        <v>126</v>
      </c>
    </row>
    <row r="396" spans="1:23" x14ac:dyDescent="0.35">
      <c r="A396" s="5" t="s">
        <v>4</v>
      </c>
      <c r="B396" s="4">
        <v>3</v>
      </c>
      <c r="C396" s="15">
        <v>0</v>
      </c>
      <c r="D396" s="17">
        <f t="shared" si="19"/>
        <v>0</v>
      </c>
      <c r="E396" s="6">
        <v>0</v>
      </c>
      <c r="F396" s="6">
        <v>0.05</v>
      </c>
      <c r="G396" s="9">
        <v>5</v>
      </c>
      <c r="H396" s="7">
        <v>2011</v>
      </c>
      <c r="I396" s="13">
        <v>22.199950269999999</v>
      </c>
      <c r="J396" s="2">
        <f t="shared" si="18"/>
        <v>22199950.27</v>
      </c>
      <c r="K396" s="4">
        <v>5.8115935299999997</v>
      </c>
      <c r="L396" s="4">
        <v>311</v>
      </c>
      <c r="M396" s="12">
        <f t="shared" si="17"/>
        <v>311000000</v>
      </c>
      <c r="N396" s="4">
        <v>311</v>
      </c>
      <c r="O396" s="4">
        <v>251.88499999999999</v>
      </c>
      <c r="P396" s="4" t="s">
        <v>123</v>
      </c>
      <c r="Q396" s="4">
        <v>1</v>
      </c>
      <c r="R396" s="18" t="s">
        <v>111</v>
      </c>
      <c r="S396" s="8" t="s">
        <v>112</v>
      </c>
      <c r="T396" s="8" t="s">
        <v>112</v>
      </c>
      <c r="U396" s="8" t="s">
        <v>112</v>
      </c>
      <c r="V396" s="8" t="s">
        <v>112</v>
      </c>
      <c r="W396" s="8" t="s">
        <v>112</v>
      </c>
    </row>
    <row r="397" spans="1:23" x14ac:dyDescent="0.35">
      <c r="A397" s="5" t="s">
        <v>5</v>
      </c>
      <c r="B397" s="4">
        <v>4</v>
      </c>
      <c r="C397" s="15">
        <v>0</v>
      </c>
      <c r="D397" s="17">
        <f t="shared" si="19"/>
        <v>0</v>
      </c>
      <c r="E397" s="6">
        <v>0</v>
      </c>
      <c r="F397" s="6">
        <v>0.05</v>
      </c>
      <c r="G397" s="9">
        <v>5</v>
      </c>
      <c r="H397" s="7">
        <v>2011</v>
      </c>
      <c r="I397" s="13">
        <v>22.150808219999998</v>
      </c>
      <c r="J397" s="2">
        <f t="shared" si="18"/>
        <v>22150808.219999999</v>
      </c>
      <c r="K397" s="4">
        <v>5.6069272799999998</v>
      </c>
      <c r="L397" s="4">
        <v>123.98</v>
      </c>
      <c r="M397" s="12">
        <f t="shared" si="17"/>
        <v>123980000</v>
      </c>
      <c r="N397" s="4">
        <v>123.98</v>
      </c>
      <c r="O397" s="4">
        <v>123.98</v>
      </c>
      <c r="P397" s="4" t="s">
        <v>123</v>
      </c>
      <c r="Q397" s="4">
        <v>1</v>
      </c>
      <c r="R397" s="18" t="s">
        <v>113</v>
      </c>
      <c r="S397" s="8" t="s">
        <v>114</v>
      </c>
      <c r="T397" s="8" t="s">
        <v>112</v>
      </c>
      <c r="U397" s="8" t="s">
        <v>115</v>
      </c>
      <c r="V397" s="8" t="s">
        <v>112</v>
      </c>
      <c r="W397" s="8" t="s">
        <v>115</v>
      </c>
    </row>
    <row r="398" spans="1:23" x14ac:dyDescent="0.35">
      <c r="A398" s="5" t="s">
        <v>6</v>
      </c>
      <c r="B398" s="4">
        <v>5</v>
      </c>
      <c r="C398" s="15">
        <v>0</v>
      </c>
      <c r="D398" s="17">
        <f t="shared" si="19"/>
        <v>0</v>
      </c>
      <c r="E398" s="6">
        <v>0</v>
      </c>
      <c r="F398" s="6">
        <v>0.05</v>
      </c>
      <c r="G398" s="9">
        <v>5</v>
      </c>
      <c r="H398" s="7">
        <v>2011</v>
      </c>
      <c r="I398" s="13">
        <v>23.618944710000001</v>
      </c>
      <c r="J398" s="2">
        <f t="shared" si="18"/>
        <v>23618944.710000001</v>
      </c>
      <c r="K398" s="4">
        <v>6.1001235200000004</v>
      </c>
      <c r="L398" s="4">
        <v>216.965</v>
      </c>
      <c r="M398" s="12">
        <f t="shared" si="17"/>
        <v>216965000</v>
      </c>
      <c r="N398" s="4">
        <v>216.965</v>
      </c>
      <c r="O398" s="4">
        <v>193.38499999999999</v>
      </c>
      <c r="P398" s="4" t="s">
        <v>123</v>
      </c>
      <c r="Q398" s="4">
        <v>1</v>
      </c>
      <c r="R398" s="18" t="s">
        <v>113</v>
      </c>
      <c r="S398" s="8" t="s">
        <v>116</v>
      </c>
      <c r="T398" s="8" t="s">
        <v>116</v>
      </c>
      <c r="U398" s="8" t="s">
        <v>116</v>
      </c>
      <c r="V398" s="8" t="s">
        <v>115</v>
      </c>
      <c r="W398" s="8" t="s">
        <v>114</v>
      </c>
    </row>
    <row r="399" spans="1:23" x14ac:dyDescent="0.35">
      <c r="A399" s="5" t="s">
        <v>7</v>
      </c>
      <c r="B399" s="4">
        <v>6</v>
      </c>
      <c r="C399" s="15">
        <v>0</v>
      </c>
      <c r="D399" s="17">
        <f t="shared" si="19"/>
        <v>0</v>
      </c>
      <c r="E399" s="6">
        <v>0</v>
      </c>
      <c r="F399" s="6">
        <v>0.05</v>
      </c>
      <c r="G399" s="9">
        <v>5</v>
      </c>
      <c r="H399" s="7">
        <v>2011</v>
      </c>
      <c r="I399" s="13">
        <v>21.74374457</v>
      </c>
      <c r="J399" s="2">
        <f t="shared" si="18"/>
        <v>21743744.57</v>
      </c>
      <c r="K399" s="4">
        <v>6.1747389999999998</v>
      </c>
      <c r="L399" s="4">
        <v>129.42500000000001</v>
      </c>
      <c r="M399" s="12">
        <f t="shared" si="17"/>
        <v>129425000.00000001</v>
      </c>
      <c r="N399" s="4">
        <v>129.42500000000001</v>
      </c>
      <c r="O399" s="4">
        <v>129.42500000000001</v>
      </c>
      <c r="P399" s="4" t="s">
        <v>123</v>
      </c>
      <c r="Q399" s="4">
        <v>1</v>
      </c>
      <c r="R399" s="18" t="s">
        <v>112</v>
      </c>
      <c r="S399" s="8" t="s">
        <v>112</v>
      </c>
      <c r="T399" s="8" t="s">
        <v>117</v>
      </c>
      <c r="U399" s="8" t="s">
        <v>117</v>
      </c>
      <c r="V399" s="8" t="s">
        <v>117</v>
      </c>
      <c r="W399" s="8" t="s">
        <v>117</v>
      </c>
    </row>
    <row r="400" spans="1:23" x14ac:dyDescent="0.35">
      <c r="A400" s="5" t="s">
        <v>8</v>
      </c>
      <c r="B400" s="4">
        <v>7</v>
      </c>
      <c r="C400" s="15">
        <v>0</v>
      </c>
      <c r="D400" s="17">
        <f t="shared" si="19"/>
        <v>0</v>
      </c>
      <c r="E400" s="6">
        <v>0</v>
      </c>
      <c r="F400" s="6">
        <v>0.05</v>
      </c>
      <c r="G400" s="9">
        <v>5</v>
      </c>
      <c r="H400" s="7">
        <v>2011</v>
      </c>
      <c r="I400" s="13">
        <v>17.160891459999998</v>
      </c>
      <c r="J400" s="2">
        <f t="shared" si="18"/>
        <v>17160891.459999997</v>
      </c>
      <c r="K400" s="4">
        <v>5.8673691699999999</v>
      </c>
      <c r="L400" s="4">
        <v>19</v>
      </c>
      <c r="M400" s="12">
        <f t="shared" si="17"/>
        <v>19000000</v>
      </c>
      <c r="N400" s="4">
        <v>19</v>
      </c>
      <c r="O400" s="4">
        <v>0</v>
      </c>
      <c r="P400" s="4" t="s">
        <v>123</v>
      </c>
      <c r="Q400" s="4">
        <v>1</v>
      </c>
      <c r="R400" s="18" t="s">
        <v>114</v>
      </c>
      <c r="S400" s="8" t="s">
        <v>117</v>
      </c>
      <c r="T400" s="8" t="s">
        <v>115</v>
      </c>
      <c r="U400" s="8" t="s">
        <v>115</v>
      </c>
      <c r="V400" s="8" t="s">
        <v>115</v>
      </c>
      <c r="W400" s="8" t="s">
        <v>114</v>
      </c>
    </row>
    <row r="401" spans="1:23" x14ac:dyDescent="0.35">
      <c r="A401" s="5" t="s">
        <v>9</v>
      </c>
      <c r="B401" s="4">
        <v>8</v>
      </c>
      <c r="C401" s="15">
        <v>0</v>
      </c>
      <c r="D401" s="17">
        <f t="shared" si="19"/>
        <v>0</v>
      </c>
      <c r="E401" s="6">
        <v>0</v>
      </c>
      <c r="F401" s="6">
        <v>0.05</v>
      </c>
      <c r="G401" s="9">
        <v>5</v>
      </c>
      <c r="H401" s="7">
        <v>2011</v>
      </c>
      <c r="I401" s="13">
        <v>23.303283889999999</v>
      </c>
      <c r="J401" s="2">
        <f t="shared" si="18"/>
        <v>23303283.890000001</v>
      </c>
      <c r="K401" s="4">
        <v>5.5450809000000003</v>
      </c>
      <c r="L401" s="4">
        <v>229.6</v>
      </c>
      <c r="M401" s="12">
        <f t="shared" si="17"/>
        <v>229600000</v>
      </c>
      <c r="N401" s="4">
        <v>229.6</v>
      </c>
      <c r="O401" s="4">
        <v>229.6</v>
      </c>
      <c r="P401" s="4" t="s">
        <v>123</v>
      </c>
      <c r="Q401" s="4">
        <v>1</v>
      </c>
      <c r="R401" s="18" t="s">
        <v>111</v>
      </c>
      <c r="S401" s="8" t="s">
        <v>114</v>
      </c>
      <c r="T401" s="8" t="s">
        <v>113</v>
      </c>
      <c r="U401" s="8" t="s">
        <v>115</v>
      </c>
      <c r="V401" s="8" t="s">
        <v>113</v>
      </c>
      <c r="W401" s="8" t="s">
        <v>115</v>
      </c>
    </row>
    <row r="402" spans="1:23" x14ac:dyDescent="0.35">
      <c r="A402" s="5" t="s">
        <v>10</v>
      </c>
      <c r="B402" s="4">
        <v>9</v>
      </c>
      <c r="C402" s="15">
        <v>0</v>
      </c>
      <c r="D402" s="17">
        <f t="shared" si="19"/>
        <v>0</v>
      </c>
      <c r="E402" s="6">
        <v>0</v>
      </c>
      <c r="F402" s="6">
        <v>0.05</v>
      </c>
      <c r="G402" s="9">
        <v>5</v>
      </c>
      <c r="H402" s="7">
        <v>2011</v>
      </c>
      <c r="I402" s="13">
        <v>19.19739788</v>
      </c>
      <c r="J402" s="2">
        <f t="shared" si="18"/>
        <v>19197397.879999999</v>
      </c>
      <c r="K402" s="4">
        <v>5.8444237699999997</v>
      </c>
      <c r="L402" s="4">
        <v>85.72</v>
      </c>
      <c r="M402" s="12">
        <f t="shared" si="17"/>
        <v>85720000</v>
      </c>
      <c r="N402" s="4">
        <v>85.72</v>
      </c>
      <c r="O402" s="4">
        <v>85.72</v>
      </c>
      <c r="P402" s="4" t="s">
        <v>123</v>
      </c>
      <c r="Q402" s="4">
        <v>1</v>
      </c>
      <c r="R402" s="18" t="s">
        <v>114</v>
      </c>
      <c r="S402" s="8" t="s">
        <v>117</v>
      </c>
      <c r="T402" s="8" t="s">
        <v>115</v>
      </c>
      <c r="U402" s="8" t="s">
        <v>115</v>
      </c>
      <c r="V402" s="8" t="s">
        <v>114</v>
      </c>
      <c r="W402" s="8" t="s">
        <v>115</v>
      </c>
    </row>
    <row r="403" spans="1:23" x14ac:dyDescent="0.35">
      <c r="A403" s="5" t="s">
        <v>11</v>
      </c>
      <c r="B403" s="4">
        <v>10</v>
      </c>
      <c r="C403" s="15">
        <v>0</v>
      </c>
      <c r="D403" s="17">
        <f t="shared" si="19"/>
        <v>0</v>
      </c>
      <c r="E403" s="6">
        <v>0</v>
      </c>
      <c r="F403" s="6">
        <v>0.05</v>
      </c>
      <c r="G403" s="9">
        <v>5</v>
      </c>
      <c r="H403" s="7">
        <v>2011</v>
      </c>
      <c r="I403" s="13">
        <v>18.590434210000002</v>
      </c>
      <c r="J403" s="2">
        <f t="shared" si="18"/>
        <v>18590434.210000001</v>
      </c>
      <c r="K403" s="4">
        <v>6.0515809100000002</v>
      </c>
      <c r="L403" s="4">
        <v>118.595</v>
      </c>
      <c r="M403" s="12">
        <f t="shared" si="17"/>
        <v>118595000</v>
      </c>
      <c r="N403" s="4">
        <v>118.595</v>
      </c>
      <c r="O403" s="4">
        <v>-4.9999999999954525E-3</v>
      </c>
      <c r="P403" s="4" t="s">
        <v>123</v>
      </c>
      <c r="Q403" s="4">
        <v>1</v>
      </c>
      <c r="R403" s="18" t="s">
        <v>117</v>
      </c>
      <c r="S403" s="8" t="s">
        <v>117</v>
      </c>
      <c r="T403" s="8" t="s">
        <v>115</v>
      </c>
      <c r="U403" s="8" t="s">
        <v>115</v>
      </c>
      <c r="V403" s="8" t="s">
        <v>115</v>
      </c>
      <c r="W403" s="8" t="s">
        <v>117</v>
      </c>
    </row>
    <row r="404" spans="1:23" x14ac:dyDescent="0.35">
      <c r="A404" s="5" t="s">
        <v>12</v>
      </c>
      <c r="B404" s="4">
        <v>11</v>
      </c>
      <c r="C404" s="15">
        <v>0</v>
      </c>
      <c r="D404" s="17">
        <f t="shared" si="19"/>
        <v>0</v>
      </c>
      <c r="E404" s="6">
        <v>0</v>
      </c>
      <c r="F404" s="6">
        <v>0.05</v>
      </c>
      <c r="G404" s="9">
        <v>5</v>
      </c>
      <c r="H404" s="7">
        <v>2011</v>
      </c>
      <c r="I404" s="13">
        <v>22.433787479999999</v>
      </c>
      <c r="J404" s="2">
        <f t="shared" si="18"/>
        <v>22433787.48</v>
      </c>
      <c r="K404" s="4">
        <v>5.4474371699999997</v>
      </c>
      <c r="M404" s="12">
        <f t="shared" si="17"/>
        <v>0</v>
      </c>
      <c r="P404" s="4" t="s">
        <v>123</v>
      </c>
      <c r="Q404" s="4">
        <v>1</v>
      </c>
      <c r="R404" s="18" t="s">
        <v>117</v>
      </c>
      <c r="S404" s="8" t="s">
        <v>117</v>
      </c>
      <c r="T404" s="8" t="s">
        <v>117</v>
      </c>
      <c r="U404" s="8" t="s">
        <v>115</v>
      </c>
      <c r="V404" s="8" t="s">
        <v>115</v>
      </c>
      <c r="W404" s="8" t="s">
        <v>115</v>
      </c>
    </row>
    <row r="405" spans="1:23" x14ac:dyDescent="0.35">
      <c r="A405" s="5" t="s">
        <v>98</v>
      </c>
      <c r="B405" s="4">
        <v>12</v>
      </c>
      <c r="C405" s="15">
        <v>0</v>
      </c>
      <c r="D405" s="17">
        <f t="shared" si="19"/>
        <v>0</v>
      </c>
      <c r="E405" s="6">
        <v>0</v>
      </c>
      <c r="F405" s="6">
        <v>0.05</v>
      </c>
      <c r="G405" s="9">
        <v>5</v>
      </c>
      <c r="H405" s="7">
        <v>2011</v>
      </c>
      <c r="I405" s="13">
        <v>16.728922659999999</v>
      </c>
      <c r="J405" s="2">
        <f t="shared" si="18"/>
        <v>16728922.659999998</v>
      </c>
      <c r="K405" s="4">
        <v>6.7337590499999997</v>
      </c>
      <c r="M405" s="12">
        <f t="shared" si="17"/>
        <v>0</v>
      </c>
      <c r="P405" s="4" t="s">
        <v>123</v>
      </c>
      <c r="Q405" s="4">
        <v>1</v>
      </c>
      <c r="R405" s="18" t="s">
        <v>128</v>
      </c>
      <c r="S405" s="8" t="s">
        <v>115</v>
      </c>
      <c r="T405" s="8" t="s">
        <v>115</v>
      </c>
      <c r="U405" s="8" t="s">
        <v>115</v>
      </c>
      <c r="V405" s="8" t="s">
        <v>115</v>
      </c>
      <c r="W405" s="8" t="s">
        <v>115</v>
      </c>
    </row>
    <row r="406" spans="1:23" x14ac:dyDescent="0.35">
      <c r="A406" s="5" t="s">
        <v>13</v>
      </c>
      <c r="B406" s="4">
        <v>13</v>
      </c>
      <c r="C406" s="15">
        <v>0</v>
      </c>
      <c r="D406" s="17">
        <f t="shared" si="19"/>
        <v>0</v>
      </c>
      <c r="E406" s="6">
        <v>0</v>
      </c>
      <c r="F406" s="6">
        <v>0.05</v>
      </c>
      <c r="G406" s="9">
        <v>5</v>
      </c>
      <c r="H406" s="7">
        <v>2011</v>
      </c>
      <c r="I406" s="13">
        <v>26.239809579999999</v>
      </c>
      <c r="J406" s="2">
        <f t="shared" si="18"/>
        <v>26239809.579999998</v>
      </c>
      <c r="K406" s="4">
        <v>7.4993431599999996</v>
      </c>
      <c r="L406" s="4">
        <v>131.61500000000001</v>
      </c>
      <c r="M406" s="12">
        <f t="shared" si="17"/>
        <v>131615000.00000001</v>
      </c>
      <c r="N406" s="4">
        <v>131.61500000000001</v>
      </c>
      <c r="O406" s="4">
        <v>131.61500000000001</v>
      </c>
      <c r="P406" s="4" t="s">
        <v>123</v>
      </c>
      <c r="Q406" s="4">
        <v>1</v>
      </c>
      <c r="R406" s="18" t="s">
        <v>111</v>
      </c>
      <c r="S406" s="8" t="s">
        <v>117</v>
      </c>
      <c r="T406" s="8" t="s">
        <v>115</v>
      </c>
      <c r="U406" s="8" t="s">
        <v>115</v>
      </c>
      <c r="V406" s="8" t="s">
        <v>111</v>
      </c>
      <c r="W406" s="8" t="s">
        <v>115</v>
      </c>
    </row>
    <row r="407" spans="1:23" x14ac:dyDescent="0.35">
      <c r="A407" s="5" t="s">
        <v>14</v>
      </c>
      <c r="B407" s="4">
        <v>14</v>
      </c>
      <c r="C407" s="15">
        <v>0</v>
      </c>
      <c r="D407" s="17">
        <f t="shared" si="19"/>
        <v>0</v>
      </c>
      <c r="E407" s="6">
        <v>0</v>
      </c>
      <c r="F407" s="6">
        <v>0.05</v>
      </c>
      <c r="G407" s="9">
        <v>5</v>
      </c>
      <c r="H407" s="7">
        <v>2011</v>
      </c>
      <c r="I407" s="13">
        <v>20.091331400000001</v>
      </c>
      <c r="J407" s="2">
        <f t="shared" si="18"/>
        <v>20091331.400000002</v>
      </c>
      <c r="K407" s="4">
        <v>7.4239045399999997</v>
      </c>
      <c r="L407" s="4">
        <v>293.14</v>
      </c>
      <c r="M407" s="12">
        <f t="shared" si="17"/>
        <v>293140000</v>
      </c>
      <c r="N407" s="4">
        <v>293.14</v>
      </c>
      <c r="O407" s="4">
        <v>0</v>
      </c>
      <c r="P407" s="4" t="s">
        <v>123</v>
      </c>
      <c r="Q407" s="4">
        <v>1</v>
      </c>
      <c r="R407" s="18" t="s">
        <v>113</v>
      </c>
      <c r="S407" s="8" t="s">
        <v>117</v>
      </c>
      <c r="T407" s="8" t="s">
        <v>115</v>
      </c>
      <c r="U407" s="8" t="s">
        <v>115</v>
      </c>
      <c r="V407" s="8" t="s">
        <v>115</v>
      </c>
      <c r="W407" s="8" t="s">
        <v>113</v>
      </c>
    </row>
    <row r="408" spans="1:23" x14ac:dyDescent="0.35">
      <c r="A408" s="5" t="s">
        <v>15</v>
      </c>
      <c r="B408" s="4">
        <v>15</v>
      </c>
      <c r="C408" s="15">
        <v>0</v>
      </c>
      <c r="D408" s="17">
        <f t="shared" si="19"/>
        <v>0</v>
      </c>
      <c r="E408" s="6">
        <v>0</v>
      </c>
      <c r="F408" s="6">
        <v>0.05</v>
      </c>
      <c r="G408" s="9">
        <v>5</v>
      </c>
      <c r="H408" s="7">
        <v>2011</v>
      </c>
      <c r="I408" s="13">
        <v>15.86679346</v>
      </c>
      <c r="J408" s="2">
        <f t="shared" si="18"/>
        <v>15866793.460000001</v>
      </c>
      <c r="K408" s="4">
        <v>6.2397974700000001</v>
      </c>
      <c r="L408" s="4">
        <v>208.5</v>
      </c>
      <c r="M408" s="12">
        <f t="shared" si="17"/>
        <v>208500000</v>
      </c>
      <c r="N408" s="4">
        <v>208.5</v>
      </c>
      <c r="O408" s="4">
        <v>0</v>
      </c>
      <c r="P408" s="4" t="s">
        <v>123</v>
      </c>
      <c r="Q408" s="4">
        <v>1</v>
      </c>
      <c r="R408" s="18" t="s">
        <v>112</v>
      </c>
      <c r="S408" s="8" t="s">
        <v>117</v>
      </c>
      <c r="T408" s="8" t="s">
        <v>115</v>
      </c>
      <c r="U408" s="8" t="s">
        <v>115</v>
      </c>
      <c r="V408" s="8" t="s">
        <v>115</v>
      </c>
      <c r="W408" s="8" t="s">
        <v>112</v>
      </c>
    </row>
    <row r="409" spans="1:23" x14ac:dyDescent="0.35">
      <c r="A409" s="5" t="s">
        <v>16</v>
      </c>
      <c r="B409" s="4">
        <v>16</v>
      </c>
      <c r="C409" s="15">
        <v>0</v>
      </c>
      <c r="D409" s="17">
        <f t="shared" si="19"/>
        <v>0</v>
      </c>
      <c r="E409" s="6">
        <v>0</v>
      </c>
      <c r="F409" s="6">
        <v>0.05</v>
      </c>
      <c r="G409" s="9">
        <v>5</v>
      </c>
      <c r="H409" s="7">
        <v>2011</v>
      </c>
      <c r="I409" s="13">
        <v>23.500668610000002</v>
      </c>
      <c r="J409" s="2">
        <f t="shared" si="18"/>
        <v>23500668.610000003</v>
      </c>
      <c r="K409" s="4">
        <v>5.81737459</v>
      </c>
      <c r="L409" s="4">
        <v>126.53</v>
      </c>
      <c r="M409" s="12">
        <f t="shared" si="17"/>
        <v>126530000</v>
      </c>
      <c r="N409" s="4">
        <v>126.53</v>
      </c>
      <c r="O409" s="4">
        <v>126.53</v>
      </c>
      <c r="P409" s="4" t="s">
        <v>123</v>
      </c>
      <c r="Q409" s="4">
        <v>1</v>
      </c>
      <c r="R409" s="18" t="s">
        <v>113</v>
      </c>
      <c r="S409" s="8" t="s">
        <v>112</v>
      </c>
      <c r="T409" s="8" t="s">
        <v>114</v>
      </c>
      <c r="U409" s="8" t="s">
        <v>114</v>
      </c>
      <c r="V409" s="8" t="s">
        <v>114</v>
      </c>
      <c r="W409" s="8" t="s">
        <v>114</v>
      </c>
    </row>
    <row r="410" spans="1:23" x14ac:dyDescent="0.35">
      <c r="A410" s="5" t="s">
        <v>17</v>
      </c>
      <c r="B410" s="4">
        <v>17</v>
      </c>
      <c r="C410" s="15">
        <v>0</v>
      </c>
      <c r="D410" s="17">
        <f t="shared" si="19"/>
        <v>0</v>
      </c>
      <c r="E410" s="6">
        <v>0</v>
      </c>
      <c r="F410" s="6">
        <v>0.05</v>
      </c>
      <c r="G410" s="9">
        <v>5</v>
      </c>
      <c r="H410" s="7">
        <v>2011</v>
      </c>
      <c r="I410" s="13">
        <v>20.889388459999999</v>
      </c>
      <c r="J410" s="2">
        <f t="shared" si="18"/>
        <v>20889388.460000001</v>
      </c>
      <c r="K410" s="4">
        <v>7.5509160800000004</v>
      </c>
      <c r="L410" s="4">
        <v>0.22500000000000001</v>
      </c>
      <c r="M410" s="12">
        <f t="shared" si="17"/>
        <v>225000</v>
      </c>
      <c r="N410" s="4">
        <v>0.22500000000000001</v>
      </c>
      <c r="O410" s="4">
        <v>0.22500000000000001</v>
      </c>
      <c r="P410" s="4" t="s">
        <v>123</v>
      </c>
      <c r="Q410" s="4">
        <v>1</v>
      </c>
      <c r="R410" s="18" t="s">
        <v>117</v>
      </c>
      <c r="S410" s="8" t="s">
        <v>117</v>
      </c>
      <c r="T410" s="8" t="s">
        <v>115</v>
      </c>
      <c r="U410" s="8" t="s">
        <v>115</v>
      </c>
      <c r="V410" s="8" t="s">
        <v>117</v>
      </c>
      <c r="W410" s="8" t="s">
        <v>115</v>
      </c>
    </row>
    <row r="411" spans="1:23" x14ac:dyDescent="0.35">
      <c r="A411" s="5" t="s">
        <v>18</v>
      </c>
      <c r="B411" s="4">
        <v>18</v>
      </c>
      <c r="C411" s="15">
        <v>0</v>
      </c>
      <c r="D411" s="17">
        <f t="shared" si="19"/>
        <v>0</v>
      </c>
      <c r="E411" s="6">
        <v>0</v>
      </c>
      <c r="F411" s="6">
        <v>0.05</v>
      </c>
      <c r="G411" s="9">
        <v>5</v>
      </c>
      <c r="H411" s="7">
        <v>2011</v>
      </c>
      <c r="I411" s="13">
        <v>23.840289739999999</v>
      </c>
      <c r="J411" s="2">
        <f t="shared" si="18"/>
        <v>23840289.739999998</v>
      </c>
      <c r="K411" s="4">
        <v>6.9393605000000003</v>
      </c>
      <c r="L411" s="4">
        <v>64.385000000000005</v>
      </c>
      <c r="M411" s="12">
        <f t="shared" si="17"/>
        <v>64385000.000000007</v>
      </c>
      <c r="N411" s="4">
        <v>64.385000000000005</v>
      </c>
      <c r="O411" s="4">
        <v>64.385000000000005</v>
      </c>
      <c r="P411" s="4" t="s">
        <v>123</v>
      </c>
      <c r="Q411" s="4">
        <v>1</v>
      </c>
      <c r="R411" s="18" t="s">
        <v>114</v>
      </c>
      <c r="S411" s="8" t="s">
        <v>114</v>
      </c>
      <c r="T411" s="8" t="s">
        <v>117</v>
      </c>
      <c r="U411" s="8" t="s">
        <v>117</v>
      </c>
      <c r="V411" s="8" t="s">
        <v>115</v>
      </c>
      <c r="W411" s="8" t="s">
        <v>115</v>
      </c>
    </row>
    <row r="412" spans="1:23" x14ac:dyDescent="0.35">
      <c r="A412" s="5" t="s">
        <v>19</v>
      </c>
      <c r="B412" s="4">
        <v>19</v>
      </c>
      <c r="C412" s="15">
        <v>0</v>
      </c>
      <c r="D412" s="17">
        <f t="shared" si="19"/>
        <v>0</v>
      </c>
      <c r="E412" s="6">
        <v>0</v>
      </c>
      <c r="F412" s="6">
        <v>0.05</v>
      </c>
      <c r="G412" s="9">
        <v>5</v>
      </c>
      <c r="H412" s="7">
        <v>2011</v>
      </c>
      <c r="I412" s="13">
        <v>24.20732095</v>
      </c>
      <c r="J412" s="2">
        <f t="shared" si="18"/>
        <v>24207320.949999999</v>
      </c>
      <c r="K412" s="4">
        <v>6.5616703000000003</v>
      </c>
      <c r="L412" s="4">
        <v>73.504999999999995</v>
      </c>
      <c r="M412" s="12">
        <f t="shared" si="17"/>
        <v>73505000</v>
      </c>
      <c r="N412" s="4">
        <v>73.504999999999995</v>
      </c>
      <c r="O412" s="4">
        <v>73.504999999999995</v>
      </c>
      <c r="P412" s="4" t="s">
        <v>123</v>
      </c>
      <c r="Q412" s="4">
        <v>1</v>
      </c>
      <c r="R412" s="18" t="s">
        <v>114</v>
      </c>
      <c r="S412" s="8" t="s">
        <v>114</v>
      </c>
      <c r="T412" s="8" t="s">
        <v>117</v>
      </c>
      <c r="U412" s="8" t="s">
        <v>115</v>
      </c>
      <c r="V412" s="8" t="s">
        <v>117</v>
      </c>
      <c r="W412" s="8" t="s">
        <v>115</v>
      </c>
    </row>
    <row r="413" spans="1:23" x14ac:dyDescent="0.35">
      <c r="A413" s="5" t="s">
        <v>20</v>
      </c>
      <c r="B413" s="4">
        <v>20</v>
      </c>
      <c r="C413" s="15">
        <v>0</v>
      </c>
      <c r="D413" s="17">
        <f t="shared" si="19"/>
        <v>0</v>
      </c>
      <c r="E413" s="6">
        <v>0</v>
      </c>
      <c r="F413" s="6">
        <v>0.05</v>
      </c>
      <c r="G413" s="9">
        <v>5</v>
      </c>
      <c r="H413" s="7">
        <v>2011</v>
      </c>
      <c r="I413" s="13">
        <v>21.190668930000001</v>
      </c>
      <c r="J413" s="2">
        <f t="shared" si="18"/>
        <v>21190668.93</v>
      </c>
      <c r="K413" s="4">
        <v>7.2125709100000002</v>
      </c>
      <c r="L413" s="4">
        <v>31</v>
      </c>
      <c r="M413" s="12">
        <f t="shared" si="17"/>
        <v>31000000</v>
      </c>
      <c r="N413" s="4">
        <v>31</v>
      </c>
      <c r="O413" s="4">
        <v>31</v>
      </c>
      <c r="P413" s="4" t="s">
        <v>123</v>
      </c>
      <c r="Q413" s="4">
        <v>1</v>
      </c>
      <c r="R413" s="18" t="s">
        <v>117</v>
      </c>
      <c r="S413" s="8" t="s">
        <v>117</v>
      </c>
      <c r="T413" s="8" t="s">
        <v>115</v>
      </c>
      <c r="U413" s="8" t="s">
        <v>117</v>
      </c>
      <c r="V413" s="8" t="s">
        <v>115</v>
      </c>
      <c r="W413" s="8" t="s">
        <v>115</v>
      </c>
    </row>
    <row r="414" spans="1:23" x14ac:dyDescent="0.35">
      <c r="A414" s="5" t="s">
        <v>21</v>
      </c>
      <c r="B414" s="4">
        <v>21</v>
      </c>
      <c r="C414" s="15">
        <v>0</v>
      </c>
      <c r="D414" s="17">
        <f t="shared" si="19"/>
        <v>0</v>
      </c>
      <c r="E414" s="6">
        <v>0</v>
      </c>
      <c r="F414" s="6">
        <v>0.05</v>
      </c>
      <c r="G414" s="9">
        <v>5</v>
      </c>
      <c r="H414" s="7">
        <v>2011</v>
      </c>
      <c r="I414" s="13">
        <v>23.977422260000001</v>
      </c>
      <c r="J414" s="2">
        <f t="shared" si="18"/>
        <v>23977422.260000002</v>
      </c>
      <c r="K414" s="4">
        <v>6.3631588199999998</v>
      </c>
      <c r="L414" s="4">
        <v>141.69999999999999</v>
      </c>
      <c r="M414" s="12">
        <f t="shared" si="17"/>
        <v>141700000</v>
      </c>
      <c r="N414" s="4">
        <v>141.69999999999999</v>
      </c>
      <c r="O414" s="4">
        <v>141.69999999999999</v>
      </c>
      <c r="P414" s="4" t="s">
        <v>123</v>
      </c>
      <c r="Q414" s="4">
        <v>1</v>
      </c>
      <c r="R414" s="18" t="s">
        <v>112</v>
      </c>
      <c r="S414" s="8" t="s">
        <v>116</v>
      </c>
      <c r="T414" s="8" t="s">
        <v>114</v>
      </c>
      <c r="U414" s="8" t="s">
        <v>117</v>
      </c>
      <c r="V414" s="8" t="s">
        <v>117</v>
      </c>
      <c r="W414" s="8" t="s">
        <v>115</v>
      </c>
    </row>
    <row r="415" spans="1:23" x14ac:dyDescent="0.35">
      <c r="A415" s="5" t="s">
        <v>22</v>
      </c>
      <c r="B415" s="4">
        <v>22</v>
      </c>
      <c r="C415" s="15">
        <v>0</v>
      </c>
      <c r="D415" s="17">
        <f t="shared" si="19"/>
        <v>0</v>
      </c>
      <c r="E415" s="6">
        <v>0</v>
      </c>
      <c r="F415" s="6">
        <v>0.05</v>
      </c>
      <c r="G415" s="9">
        <v>5</v>
      </c>
      <c r="H415" s="7">
        <v>2011</v>
      </c>
      <c r="I415" s="13">
        <v>25.657730770000001</v>
      </c>
      <c r="J415" s="2">
        <f t="shared" si="18"/>
        <v>25657730.77</v>
      </c>
      <c r="K415" s="4">
        <v>6.8041610700000001</v>
      </c>
      <c r="L415" s="4">
        <v>276.02</v>
      </c>
      <c r="M415" s="12">
        <f t="shared" si="17"/>
        <v>276020000</v>
      </c>
      <c r="N415" s="4">
        <v>276.02</v>
      </c>
      <c r="O415" s="4">
        <v>250.48999999999998</v>
      </c>
      <c r="P415" s="4" t="s">
        <v>123</v>
      </c>
      <c r="Q415" s="4">
        <v>1</v>
      </c>
      <c r="R415" s="18" t="s">
        <v>111</v>
      </c>
      <c r="S415" s="8" t="s">
        <v>116</v>
      </c>
      <c r="T415" s="8" t="s">
        <v>115</v>
      </c>
      <c r="U415" s="8" t="s">
        <v>118</v>
      </c>
      <c r="V415" s="8" t="s">
        <v>119</v>
      </c>
      <c r="W415" s="8" t="s">
        <v>119</v>
      </c>
    </row>
    <row r="416" spans="1:23" x14ac:dyDescent="0.35">
      <c r="A416" s="5" t="s">
        <v>23</v>
      </c>
      <c r="B416" s="4">
        <v>23</v>
      </c>
      <c r="C416" s="15">
        <v>0</v>
      </c>
      <c r="D416" s="17">
        <f t="shared" si="19"/>
        <v>0</v>
      </c>
      <c r="E416" s="6">
        <v>0</v>
      </c>
      <c r="F416" s="6">
        <v>0.05</v>
      </c>
      <c r="G416" s="9">
        <v>5</v>
      </c>
      <c r="H416" s="7">
        <v>2011</v>
      </c>
      <c r="I416" s="13">
        <v>22.390834900000002</v>
      </c>
      <c r="J416" s="2">
        <f t="shared" si="18"/>
        <v>22390834.900000002</v>
      </c>
      <c r="K416" s="4">
        <v>7.7812820699999996</v>
      </c>
      <c r="L416" s="4">
        <v>109.685</v>
      </c>
      <c r="M416" s="12">
        <f t="shared" si="17"/>
        <v>109685000</v>
      </c>
      <c r="N416" s="4">
        <v>109.685</v>
      </c>
      <c r="O416" s="4">
        <v>109.685</v>
      </c>
      <c r="P416" s="4" t="s">
        <v>123</v>
      </c>
      <c r="Q416" s="4">
        <v>1</v>
      </c>
      <c r="R416" s="18" t="s">
        <v>112</v>
      </c>
      <c r="S416" s="8" t="s">
        <v>114</v>
      </c>
      <c r="T416" s="8" t="s">
        <v>114</v>
      </c>
      <c r="U416" s="8" t="s">
        <v>115</v>
      </c>
      <c r="V416" s="8" t="s">
        <v>114</v>
      </c>
      <c r="W416" s="8" t="s">
        <v>115</v>
      </c>
    </row>
    <row r="417" spans="1:23" x14ac:dyDescent="0.35">
      <c r="A417" s="5" t="s">
        <v>24</v>
      </c>
      <c r="B417" s="4">
        <v>24</v>
      </c>
      <c r="C417" s="15">
        <v>0</v>
      </c>
      <c r="D417" s="17">
        <f t="shared" si="19"/>
        <v>0</v>
      </c>
      <c r="E417" s="6">
        <v>0</v>
      </c>
      <c r="F417" s="6">
        <v>0.05</v>
      </c>
      <c r="G417" s="9">
        <v>5</v>
      </c>
      <c r="H417" s="7">
        <v>2011</v>
      </c>
      <c r="I417" s="13">
        <v>27.188429920000001</v>
      </c>
      <c r="J417" s="2">
        <f t="shared" si="18"/>
        <v>27188429.920000002</v>
      </c>
      <c r="K417" s="4">
        <v>8.0968958099999995</v>
      </c>
      <c r="L417" s="4">
        <v>313.92</v>
      </c>
      <c r="M417" s="12">
        <f t="shared" si="17"/>
        <v>313920000</v>
      </c>
      <c r="N417" s="4">
        <v>313.92</v>
      </c>
      <c r="O417" s="4">
        <v>311.95500000000004</v>
      </c>
      <c r="P417" s="4" t="s">
        <v>123</v>
      </c>
      <c r="Q417" s="4">
        <v>1</v>
      </c>
      <c r="R417" s="18" t="s">
        <v>120</v>
      </c>
      <c r="S417" s="8" t="s">
        <v>112</v>
      </c>
      <c r="T417" s="8" t="s">
        <v>111</v>
      </c>
      <c r="U417" s="8" t="s">
        <v>121</v>
      </c>
      <c r="V417" s="8" t="s">
        <v>122</v>
      </c>
      <c r="W417" s="8" t="s">
        <v>121</v>
      </c>
    </row>
    <row r="418" spans="1:23" x14ac:dyDescent="0.35">
      <c r="A418" s="5" t="s">
        <v>86</v>
      </c>
      <c r="B418" s="4">
        <v>25</v>
      </c>
      <c r="C418" s="15">
        <v>0</v>
      </c>
      <c r="D418" s="17">
        <f t="shared" si="19"/>
        <v>0</v>
      </c>
      <c r="E418" s="6">
        <v>0</v>
      </c>
      <c r="F418" s="6">
        <v>0.05</v>
      </c>
      <c r="G418" s="9">
        <v>5</v>
      </c>
      <c r="H418" s="7">
        <v>2011</v>
      </c>
      <c r="I418" s="13">
        <v>14.204799059999999</v>
      </c>
      <c r="J418" s="2">
        <f t="shared" si="18"/>
        <v>14204799.059999999</v>
      </c>
      <c r="K418" s="4">
        <v>6.0096645400000002</v>
      </c>
      <c r="M418" s="12">
        <f t="shared" si="17"/>
        <v>0</v>
      </c>
      <c r="Q418" s="4">
        <v>1</v>
      </c>
      <c r="R418" s="18" t="s">
        <v>127</v>
      </c>
    </row>
    <row r="419" spans="1:23" x14ac:dyDescent="0.35">
      <c r="A419" s="5" t="s">
        <v>25</v>
      </c>
      <c r="B419" s="4">
        <v>26</v>
      </c>
      <c r="C419" s="15">
        <v>0</v>
      </c>
      <c r="D419" s="17">
        <f t="shared" si="19"/>
        <v>0</v>
      </c>
      <c r="E419" s="6">
        <v>0</v>
      </c>
      <c r="F419" s="6">
        <v>0.05</v>
      </c>
      <c r="G419" s="9">
        <v>5</v>
      </c>
      <c r="H419" s="7">
        <v>2011</v>
      </c>
      <c r="I419" s="13">
        <v>25.81623724</v>
      </c>
      <c r="J419" s="2">
        <f t="shared" si="18"/>
        <v>25816237.239999998</v>
      </c>
      <c r="K419" s="4">
        <v>7.0532548400000001</v>
      </c>
      <c r="L419" s="4">
        <v>122.01</v>
      </c>
      <c r="M419" s="12">
        <f t="shared" si="17"/>
        <v>122010000</v>
      </c>
      <c r="N419" s="4">
        <v>122.01</v>
      </c>
      <c r="O419" s="4">
        <v>105</v>
      </c>
      <c r="P419" s="4" t="s">
        <v>123</v>
      </c>
      <c r="Q419" s="4">
        <v>1</v>
      </c>
      <c r="R419" s="18" t="s">
        <v>112</v>
      </c>
      <c r="S419" s="8" t="s">
        <v>112</v>
      </c>
      <c r="T419" s="8" t="s">
        <v>117</v>
      </c>
      <c r="U419" s="8" t="s">
        <v>117</v>
      </c>
      <c r="V419" s="8" t="s">
        <v>117</v>
      </c>
      <c r="W419" s="8" t="s">
        <v>117</v>
      </c>
    </row>
    <row r="420" spans="1:23" x14ac:dyDescent="0.35">
      <c r="A420" s="5" t="s">
        <v>26</v>
      </c>
      <c r="B420" s="4">
        <v>27</v>
      </c>
      <c r="C420" s="15">
        <v>0</v>
      </c>
      <c r="D420" s="17">
        <f t="shared" si="19"/>
        <v>0</v>
      </c>
      <c r="E420" s="6">
        <v>0</v>
      </c>
      <c r="F420" s="6">
        <v>0.05</v>
      </c>
      <c r="G420" s="9">
        <v>5</v>
      </c>
      <c r="H420" s="7">
        <v>2011</v>
      </c>
      <c r="I420" s="13">
        <v>22.523575919999999</v>
      </c>
      <c r="J420" s="2">
        <f t="shared" si="18"/>
        <v>22523575.919999998</v>
      </c>
      <c r="K420" s="4">
        <v>8.3028846999999999</v>
      </c>
      <c r="L420" s="4">
        <v>64</v>
      </c>
      <c r="M420" s="12">
        <f t="shared" si="17"/>
        <v>64000000</v>
      </c>
      <c r="N420" s="4">
        <v>64</v>
      </c>
      <c r="O420" s="4">
        <v>64</v>
      </c>
      <c r="P420" s="4" t="s">
        <v>123</v>
      </c>
      <c r="Q420" s="4">
        <v>1</v>
      </c>
      <c r="R420" s="18" t="s">
        <v>114</v>
      </c>
      <c r="S420" s="8" t="s">
        <v>117</v>
      </c>
      <c r="T420" s="8" t="s">
        <v>114</v>
      </c>
      <c r="U420" s="8" t="s">
        <v>115</v>
      </c>
      <c r="V420" s="8" t="s">
        <v>115</v>
      </c>
      <c r="W420" s="8" t="s">
        <v>115</v>
      </c>
    </row>
    <row r="421" spans="1:23" x14ac:dyDescent="0.35">
      <c r="A421" s="5" t="s">
        <v>27</v>
      </c>
      <c r="B421" s="4">
        <v>28</v>
      </c>
      <c r="C421" s="15">
        <v>0</v>
      </c>
      <c r="D421" s="17">
        <f t="shared" si="19"/>
        <v>0</v>
      </c>
      <c r="E421" s="6">
        <v>0</v>
      </c>
      <c r="F421" s="6">
        <v>0.05</v>
      </c>
      <c r="G421" s="9">
        <v>5</v>
      </c>
      <c r="H421" s="7">
        <v>2011</v>
      </c>
      <c r="I421" s="13">
        <v>25.116814479999999</v>
      </c>
      <c r="J421" s="2">
        <f t="shared" si="18"/>
        <v>25116814.48</v>
      </c>
      <c r="K421" s="4">
        <v>7.0911175000000002</v>
      </c>
      <c r="L421" s="4">
        <v>298.72449999999998</v>
      </c>
      <c r="M421" s="12">
        <f t="shared" si="17"/>
        <v>298724500</v>
      </c>
      <c r="N421" s="4">
        <v>298.72449999999998</v>
      </c>
      <c r="O421" s="4">
        <v>279.40449999999998</v>
      </c>
      <c r="P421" s="4" t="s">
        <v>123</v>
      </c>
      <c r="Q421" s="4">
        <v>1</v>
      </c>
      <c r="R421" s="18" t="s">
        <v>120</v>
      </c>
      <c r="S421" s="8" t="s">
        <v>112</v>
      </c>
      <c r="T421" s="8" t="s">
        <v>111</v>
      </c>
      <c r="U421" s="8" t="s">
        <v>121</v>
      </c>
      <c r="V421" s="8" t="s">
        <v>122</v>
      </c>
      <c r="W421" s="8" t="s">
        <v>121</v>
      </c>
    </row>
    <row r="422" spans="1:23" x14ac:dyDescent="0.35">
      <c r="A422" s="5" t="s">
        <v>28</v>
      </c>
      <c r="B422" s="4">
        <v>29</v>
      </c>
      <c r="C422" s="15">
        <v>0</v>
      </c>
      <c r="D422" s="17">
        <f t="shared" si="19"/>
        <v>0</v>
      </c>
      <c r="E422" s="6">
        <v>0</v>
      </c>
      <c r="F422" s="6">
        <v>0.05</v>
      </c>
      <c r="G422" s="9">
        <v>5</v>
      </c>
      <c r="H422" s="7">
        <v>2011</v>
      </c>
      <c r="I422" s="13">
        <v>20.344620970000001</v>
      </c>
      <c r="J422" s="2">
        <f t="shared" si="18"/>
        <v>20344620.970000003</v>
      </c>
      <c r="K422" s="4">
        <v>8.4778386399999999</v>
      </c>
      <c r="L422" s="4">
        <v>66.5</v>
      </c>
      <c r="M422" s="12">
        <f t="shared" si="17"/>
        <v>66500000</v>
      </c>
      <c r="N422" s="4">
        <v>66.5</v>
      </c>
      <c r="O422" s="4">
        <v>66.5</v>
      </c>
      <c r="P422" s="4" t="s">
        <v>123</v>
      </c>
      <c r="Q422" s="4">
        <v>1</v>
      </c>
      <c r="R422" s="18" t="s">
        <v>117</v>
      </c>
      <c r="S422" s="8" t="s">
        <v>117</v>
      </c>
      <c r="T422" s="8" t="s">
        <v>115</v>
      </c>
      <c r="U422" s="8" t="s">
        <v>115</v>
      </c>
      <c r="V422" s="8" t="s">
        <v>117</v>
      </c>
      <c r="W422" s="8" t="s">
        <v>115</v>
      </c>
    </row>
    <row r="423" spans="1:23" x14ac:dyDescent="0.35">
      <c r="A423" s="5" t="s">
        <v>29</v>
      </c>
      <c r="B423" s="4">
        <v>30</v>
      </c>
      <c r="C423" s="15">
        <v>0</v>
      </c>
      <c r="D423" s="17">
        <f t="shared" si="19"/>
        <v>0</v>
      </c>
      <c r="E423" s="6">
        <v>0</v>
      </c>
      <c r="F423" s="6">
        <v>0.05</v>
      </c>
      <c r="G423" s="9">
        <v>5</v>
      </c>
      <c r="H423" s="7">
        <v>2011</v>
      </c>
      <c r="I423" s="13">
        <v>23.55043568</v>
      </c>
      <c r="J423" s="2">
        <f t="shared" si="18"/>
        <v>23550435.68</v>
      </c>
      <c r="K423" s="4">
        <v>8.9838689600000006</v>
      </c>
      <c r="L423" s="4">
        <v>126</v>
      </c>
      <c r="M423" s="12">
        <f t="shared" si="17"/>
        <v>126000000</v>
      </c>
      <c r="N423" s="4">
        <v>126</v>
      </c>
      <c r="O423" s="4">
        <v>126</v>
      </c>
      <c r="P423" s="4" t="s">
        <v>123</v>
      </c>
      <c r="Q423" s="4">
        <v>1</v>
      </c>
      <c r="R423" s="18" t="s">
        <v>117</v>
      </c>
      <c r="S423" s="8" t="s">
        <v>117</v>
      </c>
      <c r="T423" s="8" t="s">
        <v>117</v>
      </c>
      <c r="U423" s="8" t="s">
        <v>115</v>
      </c>
      <c r="V423" s="8" t="s">
        <v>115</v>
      </c>
      <c r="W423" s="8" t="s">
        <v>115</v>
      </c>
    </row>
    <row r="424" spans="1:23" x14ac:dyDescent="0.35">
      <c r="A424" s="5" t="s">
        <v>30</v>
      </c>
      <c r="B424" s="4">
        <v>31</v>
      </c>
      <c r="C424" s="15">
        <v>0</v>
      </c>
      <c r="D424" s="17">
        <f t="shared" si="19"/>
        <v>0</v>
      </c>
      <c r="E424" s="6">
        <v>0</v>
      </c>
      <c r="F424" s="6">
        <v>0.05</v>
      </c>
      <c r="G424" s="9">
        <v>5</v>
      </c>
      <c r="H424" s="7">
        <v>2011</v>
      </c>
      <c r="I424" s="13">
        <v>26.99957732</v>
      </c>
      <c r="J424" s="2">
        <f t="shared" si="18"/>
        <v>26999577.32</v>
      </c>
      <c r="K424" s="4">
        <v>10.99378705</v>
      </c>
      <c r="L424" s="4">
        <v>102.55</v>
      </c>
      <c r="M424" s="12">
        <f t="shared" si="17"/>
        <v>102550000</v>
      </c>
      <c r="N424" s="4">
        <v>102.55</v>
      </c>
      <c r="O424" s="4">
        <v>102</v>
      </c>
      <c r="P424" s="4" t="s">
        <v>123</v>
      </c>
      <c r="Q424" s="4">
        <v>1</v>
      </c>
      <c r="R424" s="18" t="s">
        <v>112</v>
      </c>
      <c r="S424" s="8" t="s">
        <v>114</v>
      </c>
      <c r="T424" s="8" t="s">
        <v>115</v>
      </c>
      <c r="U424" s="8" t="s">
        <v>114</v>
      </c>
      <c r="V424" s="8" t="s">
        <v>115</v>
      </c>
      <c r="W424" s="8" t="s">
        <v>114</v>
      </c>
    </row>
    <row r="425" spans="1:23" x14ac:dyDescent="0.35">
      <c r="A425" s="5" t="s">
        <v>99</v>
      </c>
      <c r="B425" s="4">
        <v>32</v>
      </c>
      <c r="C425" s="15">
        <v>0</v>
      </c>
      <c r="D425" s="17">
        <f t="shared" si="19"/>
        <v>0</v>
      </c>
      <c r="E425" s="6">
        <v>0</v>
      </c>
      <c r="F425" s="6">
        <v>0.05</v>
      </c>
      <c r="G425" s="9">
        <v>5</v>
      </c>
      <c r="H425" s="7">
        <v>2011</v>
      </c>
      <c r="I425" s="13">
        <v>22.993248980000001</v>
      </c>
      <c r="J425" s="2">
        <f t="shared" si="18"/>
        <v>22993248.98</v>
      </c>
      <c r="K425" s="4">
        <v>11.537103650000001</v>
      </c>
      <c r="M425" s="12">
        <f t="shared" si="17"/>
        <v>0</v>
      </c>
      <c r="Q425" s="4">
        <v>1</v>
      </c>
      <c r="R425" s="18" t="s">
        <v>128</v>
      </c>
      <c r="S425" s="8" t="s">
        <v>115</v>
      </c>
      <c r="T425" s="8" t="s">
        <v>115</v>
      </c>
      <c r="U425" s="8" t="s">
        <v>115</v>
      </c>
      <c r="V425" s="8" t="s">
        <v>115</v>
      </c>
      <c r="W425" s="8" t="s">
        <v>115</v>
      </c>
    </row>
    <row r="426" spans="1:23" x14ac:dyDescent="0.35">
      <c r="A426" s="5" t="s">
        <v>31</v>
      </c>
      <c r="B426" s="4">
        <v>33</v>
      </c>
      <c r="C426" s="15">
        <v>0</v>
      </c>
      <c r="D426" s="17">
        <f t="shared" si="19"/>
        <v>0</v>
      </c>
      <c r="E426" s="6">
        <v>0</v>
      </c>
      <c r="F426" s="6">
        <v>0.05</v>
      </c>
      <c r="G426" s="9">
        <v>5</v>
      </c>
      <c r="H426" s="7">
        <v>2011</v>
      </c>
      <c r="I426" s="13">
        <v>26.08649209</v>
      </c>
      <c r="J426" s="2">
        <f t="shared" si="18"/>
        <v>26086492.09</v>
      </c>
      <c r="K426" s="4">
        <v>10.91089964</v>
      </c>
      <c r="L426" s="4">
        <v>200.5</v>
      </c>
      <c r="M426" s="12">
        <f t="shared" si="17"/>
        <v>200500000</v>
      </c>
      <c r="N426" s="4">
        <v>200.5</v>
      </c>
      <c r="O426" s="4">
        <v>200.5</v>
      </c>
      <c r="P426" s="4" t="s">
        <v>123</v>
      </c>
      <c r="Q426" s="4">
        <v>1</v>
      </c>
      <c r="R426" s="18" t="s">
        <v>114</v>
      </c>
      <c r="S426" s="8" t="s">
        <v>114</v>
      </c>
      <c r="T426" s="8" t="s">
        <v>115</v>
      </c>
      <c r="U426" s="8" t="s">
        <v>115</v>
      </c>
      <c r="V426" s="8" t="s">
        <v>117</v>
      </c>
      <c r="W426" s="8" t="s">
        <v>117</v>
      </c>
    </row>
    <row r="427" spans="1:23" x14ac:dyDescent="0.35">
      <c r="A427" s="5" t="s">
        <v>32</v>
      </c>
      <c r="B427" s="4">
        <v>34</v>
      </c>
      <c r="C427" s="15">
        <v>0</v>
      </c>
      <c r="D427" s="17">
        <f t="shared" si="19"/>
        <v>0</v>
      </c>
      <c r="E427" s="6">
        <v>0</v>
      </c>
      <c r="F427" s="6">
        <v>0.05</v>
      </c>
      <c r="G427" s="9">
        <v>5</v>
      </c>
      <c r="H427" s="7">
        <v>2011</v>
      </c>
      <c r="I427" s="13">
        <v>29.728529340000001</v>
      </c>
      <c r="J427" s="2">
        <f t="shared" si="18"/>
        <v>29728529.34</v>
      </c>
      <c r="K427" s="4">
        <v>11.33576512</v>
      </c>
      <c r="L427" s="4">
        <v>196.64</v>
      </c>
      <c r="M427" s="12">
        <f t="shared" si="17"/>
        <v>196640000</v>
      </c>
      <c r="N427" s="4">
        <v>196.64</v>
      </c>
      <c r="O427" s="4">
        <v>196.64</v>
      </c>
      <c r="P427" s="4" t="s">
        <v>123</v>
      </c>
      <c r="Q427" s="4">
        <v>1</v>
      </c>
      <c r="R427" s="18" t="s">
        <v>112</v>
      </c>
      <c r="S427" s="8" t="s">
        <v>117</v>
      </c>
      <c r="T427" s="8" t="s">
        <v>115</v>
      </c>
      <c r="U427" s="8" t="s">
        <v>112</v>
      </c>
      <c r="V427" s="8" t="s">
        <v>115</v>
      </c>
      <c r="W427" s="8" t="s">
        <v>115</v>
      </c>
    </row>
    <row r="428" spans="1:23" x14ac:dyDescent="0.35">
      <c r="A428" s="5" t="s">
        <v>33</v>
      </c>
      <c r="B428" s="4">
        <v>35</v>
      </c>
      <c r="C428" s="15">
        <v>0</v>
      </c>
      <c r="D428" s="17">
        <f t="shared" si="19"/>
        <v>0</v>
      </c>
      <c r="E428" s="6">
        <v>0</v>
      </c>
      <c r="F428" s="6">
        <v>0.05</v>
      </c>
      <c r="G428" s="9">
        <v>5</v>
      </c>
      <c r="H428" s="7">
        <v>2011</v>
      </c>
      <c r="I428" s="13">
        <v>30.517894009999999</v>
      </c>
      <c r="J428" s="2">
        <f t="shared" si="18"/>
        <v>30517894.009999998</v>
      </c>
      <c r="K428" s="4">
        <v>10.728858710000001</v>
      </c>
      <c r="L428" s="4">
        <v>277.83</v>
      </c>
      <c r="M428" s="12">
        <f t="shared" si="17"/>
        <v>277830000</v>
      </c>
      <c r="N428" s="4">
        <v>277.83</v>
      </c>
      <c r="O428" s="4">
        <v>277.83</v>
      </c>
      <c r="P428" s="4" t="s">
        <v>123</v>
      </c>
      <c r="Q428" s="4">
        <v>1</v>
      </c>
      <c r="R428" s="18" t="s">
        <v>111</v>
      </c>
      <c r="S428" s="8" t="s">
        <v>114</v>
      </c>
      <c r="T428" s="8" t="s">
        <v>113</v>
      </c>
      <c r="U428" s="8" t="s">
        <v>113</v>
      </c>
      <c r="V428" s="8" t="s">
        <v>115</v>
      </c>
      <c r="W428" s="8" t="s">
        <v>115</v>
      </c>
    </row>
    <row r="429" spans="1:23" x14ac:dyDescent="0.35">
      <c r="A429" s="5" t="s">
        <v>88</v>
      </c>
      <c r="B429" s="4">
        <v>36</v>
      </c>
      <c r="C429" s="15">
        <v>0</v>
      </c>
      <c r="D429" s="17">
        <f t="shared" si="19"/>
        <v>0</v>
      </c>
      <c r="E429" s="6">
        <v>0</v>
      </c>
      <c r="F429" s="6">
        <v>0.05</v>
      </c>
      <c r="G429" s="9">
        <v>5</v>
      </c>
      <c r="H429" s="7">
        <v>2011</v>
      </c>
      <c r="I429" s="13">
        <v>29.849587629999998</v>
      </c>
      <c r="J429" s="2">
        <f t="shared" si="18"/>
        <v>29849587.629999999</v>
      </c>
      <c r="K429" s="4">
        <v>11.958910230000001</v>
      </c>
      <c r="M429" s="12">
        <f t="shared" si="17"/>
        <v>0</v>
      </c>
      <c r="Q429" s="4">
        <v>1</v>
      </c>
      <c r="R429" s="19" t="s">
        <v>129</v>
      </c>
      <c r="S429" s="8" t="s">
        <v>130</v>
      </c>
      <c r="T429" s="8" t="s">
        <v>130</v>
      </c>
      <c r="U429" s="8" t="s">
        <v>130</v>
      </c>
      <c r="V429" s="8" t="s">
        <v>130</v>
      </c>
      <c r="W429" s="8" t="s">
        <v>130</v>
      </c>
    </row>
    <row r="430" spans="1:23" x14ac:dyDescent="0.35">
      <c r="A430" s="5" t="s">
        <v>34</v>
      </c>
      <c r="B430" s="4">
        <v>37</v>
      </c>
      <c r="C430" s="15">
        <v>0</v>
      </c>
      <c r="D430" s="17">
        <f t="shared" si="19"/>
        <v>0</v>
      </c>
      <c r="E430" s="6">
        <v>0</v>
      </c>
      <c r="F430" s="6">
        <v>0.05</v>
      </c>
      <c r="G430" s="9">
        <v>5</v>
      </c>
      <c r="H430" s="7">
        <v>2011</v>
      </c>
      <c r="I430" s="13">
        <v>24.909184580000002</v>
      </c>
      <c r="J430" s="2">
        <f t="shared" si="18"/>
        <v>24909184.580000002</v>
      </c>
      <c r="K430" s="4">
        <v>8.20193291</v>
      </c>
      <c r="L430" s="4">
        <v>207.77500000000001</v>
      </c>
      <c r="M430" s="12">
        <f t="shared" si="17"/>
        <v>207775000</v>
      </c>
      <c r="N430" s="4">
        <v>207.77500000000001</v>
      </c>
      <c r="O430" s="4">
        <v>207.77500000000001</v>
      </c>
      <c r="P430" s="4" t="s">
        <v>123</v>
      </c>
      <c r="Q430" s="4">
        <v>1</v>
      </c>
      <c r="R430" s="18" t="s">
        <v>113</v>
      </c>
      <c r="S430" s="8" t="s">
        <v>117</v>
      </c>
      <c r="T430" s="8" t="s">
        <v>115</v>
      </c>
      <c r="U430" s="8" t="s">
        <v>115</v>
      </c>
      <c r="V430" s="8" t="s">
        <v>113</v>
      </c>
      <c r="W430" s="8" t="s">
        <v>115</v>
      </c>
    </row>
    <row r="431" spans="1:23" x14ac:dyDescent="0.35">
      <c r="A431" s="5" t="s">
        <v>35</v>
      </c>
      <c r="B431" s="4">
        <v>38</v>
      </c>
      <c r="C431" s="15">
        <v>0</v>
      </c>
      <c r="D431" s="17">
        <f t="shared" si="19"/>
        <v>0</v>
      </c>
      <c r="E431" s="6">
        <v>0</v>
      </c>
      <c r="F431" s="6">
        <v>0.05</v>
      </c>
      <c r="G431" s="9">
        <v>5</v>
      </c>
      <c r="H431" s="7">
        <v>2011</v>
      </c>
      <c r="I431" s="13">
        <v>20.75646626</v>
      </c>
      <c r="J431" s="2">
        <f t="shared" si="18"/>
        <v>20756466.260000002</v>
      </c>
      <c r="K431" s="4">
        <v>12.45763898</v>
      </c>
      <c r="L431" s="4">
        <v>71</v>
      </c>
      <c r="M431" s="12">
        <f t="shared" si="17"/>
        <v>71000000</v>
      </c>
      <c r="N431" s="4">
        <v>71</v>
      </c>
      <c r="O431" s="4">
        <v>71</v>
      </c>
      <c r="P431" s="4" t="s">
        <v>123</v>
      </c>
      <c r="Q431" s="4">
        <v>1</v>
      </c>
      <c r="R431" s="18" t="s">
        <v>117</v>
      </c>
      <c r="S431" s="8" t="s">
        <v>117</v>
      </c>
      <c r="T431" s="8" t="s">
        <v>115</v>
      </c>
      <c r="U431" s="8" t="s">
        <v>117</v>
      </c>
      <c r="V431" s="8" t="s">
        <v>115</v>
      </c>
      <c r="W431" s="8" t="s">
        <v>115</v>
      </c>
    </row>
    <row r="432" spans="1:23" x14ac:dyDescent="0.35">
      <c r="A432" s="5" t="s">
        <v>36</v>
      </c>
      <c r="B432" s="4">
        <v>39</v>
      </c>
      <c r="C432" s="15">
        <v>0</v>
      </c>
      <c r="D432" s="17">
        <f t="shared" si="19"/>
        <v>0</v>
      </c>
      <c r="E432" s="6">
        <v>0</v>
      </c>
      <c r="F432" s="6">
        <v>0.05</v>
      </c>
      <c r="G432" s="9">
        <v>5</v>
      </c>
      <c r="H432" s="7">
        <v>2011</v>
      </c>
      <c r="I432" s="13">
        <v>25.16092987</v>
      </c>
      <c r="J432" s="2">
        <f t="shared" si="18"/>
        <v>25160929.870000001</v>
      </c>
      <c r="K432" s="4">
        <v>9.0815383199999999</v>
      </c>
      <c r="L432" s="4">
        <v>91.305000000000007</v>
      </c>
      <c r="M432" s="12">
        <f t="shared" si="17"/>
        <v>91305000</v>
      </c>
      <c r="N432" s="4">
        <v>91.305000000000007</v>
      </c>
      <c r="O432" s="4">
        <v>90.925000000000011</v>
      </c>
      <c r="P432" s="4" t="s">
        <v>123</v>
      </c>
      <c r="Q432" s="4">
        <v>1</v>
      </c>
      <c r="R432" s="18" t="s">
        <v>113</v>
      </c>
      <c r="S432" s="8" t="s">
        <v>112</v>
      </c>
      <c r="T432" s="8" t="s">
        <v>114</v>
      </c>
      <c r="U432" s="8" t="s">
        <v>114</v>
      </c>
      <c r="V432" s="8" t="s">
        <v>114</v>
      </c>
      <c r="W432" s="8" t="s">
        <v>114</v>
      </c>
    </row>
    <row r="433" spans="1:23" x14ac:dyDescent="0.35">
      <c r="A433" s="5" t="s">
        <v>37</v>
      </c>
      <c r="B433" s="4">
        <v>40</v>
      </c>
      <c r="C433" s="15">
        <v>0</v>
      </c>
      <c r="D433" s="17">
        <f t="shared" si="19"/>
        <v>0</v>
      </c>
      <c r="E433" s="6">
        <v>0</v>
      </c>
      <c r="F433" s="6">
        <v>0.05</v>
      </c>
      <c r="G433" s="9">
        <v>5</v>
      </c>
      <c r="H433" s="7">
        <v>2011</v>
      </c>
      <c r="I433" s="13">
        <v>22.048534790000001</v>
      </c>
      <c r="J433" s="2">
        <f t="shared" si="18"/>
        <v>22048534.790000003</v>
      </c>
      <c r="K433" s="4">
        <v>10.684062239999999</v>
      </c>
      <c r="L433" s="4">
        <v>90</v>
      </c>
      <c r="M433" s="12">
        <f t="shared" si="17"/>
        <v>90000000</v>
      </c>
      <c r="N433" s="4">
        <v>90</v>
      </c>
      <c r="O433" s="4">
        <v>0</v>
      </c>
      <c r="P433" s="4" t="s">
        <v>123</v>
      </c>
      <c r="Q433" s="4">
        <v>1</v>
      </c>
      <c r="R433" s="18" t="s">
        <v>117</v>
      </c>
      <c r="S433" s="8" t="s">
        <v>117</v>
      </c>
      <c r="T433" s="8" t="s">
        <v>115</v>
      </c>
      <c r="U433" s="8" t="s">
        <v>115</v>
      </c>
      <c r="V433" s="8" t="s">
        <v>115</v>
      </c>
      <c r="W433" s="8" t="s">
        <v>117</v>
      </c>
    </row>
    <row r="434" spans="1:23" x14ac:dyDescent="0.35">
      <c r="A434" s="5" t="s">
        <v>38</v>
      </c>
      <c r="B434" s="4">
        <v>41</v>
      </c>
      <c r="C434" s="15">
        <v>0</v>
      </c>
      <c r="D434" s="17">
        <f t="shared" si="19"/>
        <v>0</v>
      </c>
      <c r="E434" s="6">
        <v>0</v>
      </c>
      <c r="F434" s="6">
        <v>0.05</v>
      </c>
      <c r="G434" s="9">
        <v>5</v>
      </c>
      <c r="H434" s="7">
        <v>2011</v>
      </c>
      <c r="I434" s="13">
        <v>26.317268989999999</v>
      </c>
      <c r="J434" s="2">
        <f t="shared" si="18"/>
        <v>26317268.989999998</v>
      </c>
      <c r="K434" s="4">
        <v>11.63440228</v>
      </c>
      <c r="L434" s="4">
        <v>125.095</v>
      </c>
      <c r="M434" s="12">
        <f t="shared" si="17"/>
        <v>125095000</v>
      </c>
      <c r="N434" s="4">
        <v>125.095</v>
      </c>
      <c r="O434" s="4">
        <v>120.495</v>
      </c>
      <c r="P434" s="4" t="s">
        <v>123</v>
      </c>
      <c r="Q434" s="4">
        <v>1</v>
      </c>
      <c r="R434" s="18" t="s">
        <v>112</v>
      </c>
      <c r="S434" s="8" t="s">
        <v>116</v>
      </c>
      <c r="T434" s="8" t="s">
        <v>115</v>
      </c>
      <c r="U434" s="8" t="s">
        <v>114</v>
      </c>
      <c r="V434" s="8" t="s">
        <v>117</v>
      </c>
      <c r="W434" s="8" t="s">
        <v>117</v>
      </c>
    </row>
    <row r="435" spans="1:23" x14ac:dyDescent="0.35">
      <c r="A435" s="5" t="s">
        <v>39</v>
      </c>
      <c r="B435" s="4">
        <v>42</v>
      </c>
      <c r="C435" s="15">
        <v>0</v>
      </c>
      <c r="D435" s="17">
        <f t="shared" si="19"/>
        <v>0</v>
      </c>
      <c r="E435" s="6">
        <v>0</v>
      </c>
      <c r="F435" s="6">
        <v>0.05</v>
      </c>
      <c r="G435" s="9">
        <v>5</v>
      </c>
      <c r="H435" s="7">
        <v>2011</v>
      </c>
      <c r="I435" s="13">
        <v>26.009855529999999</v>
      </c>
      <c r="J435" s="2">
        <f t="shared" si="18"/>
        <v>26009855.530000001</v>
      </c>
      <c r="K435" s="4">
        <v>12.8296411</v>
      </c>
      <c r="L435" s="4">
        <v>171.85</v>
      </c>
      <c r="M435" s="12">
        <f t="shared" si="17"/>
        <v>171850000</v>
      </c>
      <c r="N435" s="4">
        <v>171.85</v>
      </c>
      <c r="O435" s="4">
        <v>171.5</v>
      </c>
      <c r="P435" s="4" t="s">
        <v>123</v>
      </c>
      <c r="Q435" s="4">
        <v>1</v>
      </c>
      <c r="R435" s="18" t="s">
        <v>113</v>
      </c>
      <c r="S435" s="8" t="s">
        <v>114</v>
      </c>
      <c r="T435" s="8" t="s">
        <v>115</v>
      </c>
      <c r="U435" s="8" t="s">
        <v>112</v>
      </c>
      <c r="V435" s="8" t="s">
        <v>115</v>
      </c>
      <c r="W435" s="8" t="s">
        <v>112</v>
      </c>
    </row>
    <row r="436" spans="1:23" x14ac:dyDescent="0.35">
      <c r="A436" s="5" t="s">
        <v>40</v>
      </c>
      <c r="B436" s="4">
        <v>43</v>
      </c>
      <c r="C436" s="15">
        <v>0</v>
      </c>
      <c r="D436" s="17">
        <f t="shared" si="19"/>
        <v>0</v>
      </c>
      <c r="E436" s="6">
        <v>0</v>
      </c>
      <c r="F436" s="6">
        <v>0.05</v>
      </c>
      <c r="G436" s="9">
        <v>5</v>
      </c>
      <c r="H436" s="7">
        <v>2011</v>
      </c>
      <c r="I436" s="13">
        <v>28.185873650000001</v>
      </c>
      <c r="J436" s="2">
        <f t="shared" si="18"/>
        <v>28185873.650000002</v>
      </c>
      <c r="K436" s="4">
        <v>12.83290029</v>
      </c>
      <c r="L436" s="4">
        <v>149.815</v>
      </c>
      <c r="M436" s="12">
        <f t="shared" si="17"/>
        <v>149815000</v>
      </c>
      <c r="N436" s="4">
        <v>149.815</v>
      </c>
      <c r="O436" s="4">
        <v>112.38499999999999</v>
      </c>
      <c r="P436" s="4" t="s">
        <v>123</v>
      </c>
      <c r="Q436" s="4">
        <v>1</v>
      </c>
      <c r="R436" s="18" t="s">
        <v>111</v>
      </c>
      <c r="S436" s="8" t="s">
        <v>112</v>
      </c>
      <c r="T436" s="8" t="s">
        <v>112</v>
      </c>
      <c r="U436" s="8" t="s">
        <v>112</v>
      </c>
      <c r="V436" s="8" t="s">
        <v>112</v>
      </c>
      <c r="W436" s="8" t="s">
        <v>112</v>
      </c>
    </row>
    <row r="437" spans="1:23" x14ac:dyDescent="0.35">
      <c r="A437" s="5" t="s">
        <v>41</v>
      </c>
      <c r="B437" s="4">
        <v>44</v>
      </c>
      <c r="C437" s="15">
        <v>0</v>
      </c>
      <c r="D437" s="17">
        <f t="shared" si="19"/>
        <v>0</v>
      </c>
      <c r="E437" s="6">
        <v>0</v>
      </c>
      <c r="F437" s="6">
        <v>0.05</v>
      </c>
      <c r="G437" s="9">
        <v>5</v>
      </c>
      <c r="H437" s="7">
        <v>2011</v>
      </c>
      <c r="I437" s="13">
        <v>20.200000030000002</v>
      </c>
      <c r="J437" s="2">
        <f t="shared" si="18"/>
        <v>20200000.030000001</v>
      </c>
      <c r="K437" s="4">
        <v>13.03165555</v>
      </c>
      <c r="L437" s="4">
        <v>157.65</v>
      </c>
      <c r="M437" s="12">
        <f t="shared" si="17"/>
        <v>157650000</v>
      </c>
      <c r="N437" s="4">
        <v>157.65</v>
      </c>
      <c r="O437" s="4">
        <v>157.65</v>
      </c>
      <c r="P437" s="4" t="s">
        <v>123</v>
      </c>
      <c r="Q437" s="4">
        <v>1</v>
      </c>
      <c r="R437" s="18" t="s">
        <v>114</v>
      </c>
      <c r="S437" s="8" t="s">
        <v>117</v>
      </c>
      <c r="T437" s="8" t="s">
        <v>115</v>
      </c>
      <c r="U437" s="8" t="s">
        <v>114</v>
      </c>
      <c r="V437" s="8" t="s">
        <v>115</v>
      </c>
      <c r="W437" s="8" t="s">
        <v>115</v>
      </c>
    </row>
    <row r="438" spans="1:23" x14ac:dyDescent="0.35">
      <c r="A438" s="5" t="s">
        <v>42</v>
      </c>
      <c r="B438" s="4">
        <v>45</v>
      </c>
      <c r="C438" s="15">
        <v>0</v>
      </c>
      <c r="D438" s="17">
        <f t="shared" si="19"/>
        <v>0</v>
      </c>
      <c r="E438" s="6">
        <v>0</v>
      </c>
      <c r="F438" s="6">
        <v>0.05</v>
      </c>
      <c r="G438" s="9">
        <v>5</v>
      </c>
      <c r="H438" s="7">
        <v>2011</v>
      </c>
      <c r="I438" s="13">
        <v>27.226631650000002</v>
      </c>
      <c r="J438" s="2">
        <f t="shared" si="18"/>
        <v>27226631.650000002</v>
      </c>
      <c r="K438" s="4">
        <v>11.886137720000001</v>
      </c>
      <c r="L438" s="4">
        <v>148.02500000000001</v>
      </c>
      <c r="M438" s="12">
        <f t="shared" si="17"/>
        <v>148025000</v>
      </c>
      <c r="N438" s="4">
        <v>148.02500000000001</v>
      </c>
      <c r="O438" s="4">
        <v>147.995</v>
      </c>
      <c r="P438" s="4" t="s">
        <v>123</v>
      </c>
      <c r="Q438" s="4">
        <v>1</v>
      </c>
      <c r="R438" s="18" t="s">
        <v>114</v>
      </c>
      <c r="S438" s="8" t="s">
        <v>114</v>
      </c>
      <c r="T438" s="8" t="s">
        <v>115</v>
      </c>
      <c r="U438" s="8" t="s">
        <v>117</v>
      </c>
      <c r="V438" s="8" t="s">
        <v>115</v>
      </c>
      <c r="W438" s="8" t="s">
        <v>117</v>
      </c>
    </row>
    <row r="439" spans="1:23" x14ac:dyDescent="0.35">
      <c r="A439" s="5" t="s">
        <v>43</v>
      </c>
      <c r="B439" s="4">
        <v>46</v>
      </c>
      <c r="C439" s="15">
        <v>0</v>
      </c>
      <c r="D439" s="17">
        <f t="shared" si="19"/>
        <v>0</v>
      </c>
      <c r="E439" s="6">
        <v>0</v>
      </c>
      <c r="F439" s="6">
        <v>0.05</v>
      </c>
      <c r="G439" s="9">
        <v>5</v>
      </c>
      <c r="H439" s="7">
        <v>2011</v>
      </c>
      <c r="I439" s="13">
        <v>28.96260526</v>
      </c>
      <c r="J439" s="2">
        <f t="shared" si="18"/>
        <v>28962605.260000002</v>
      </c>
      <c r="K439" s="4">
        <v>12.108703849999999</v>
      </c>
      <c r="L439" s="4">
        <v>190.60499999999999</v>
      </c>
      <c r="M439" s="12">
        <f t="shared" si="17"/>
        <v>190605000</v>
      </c>
      <c r="N439" s="4">
        <v>190.60499999999999</v>
      </c>
      <c r="O439" s="4">
        <v>190.565</v>
      </c>
      <c r="P439" s="4" t="s">
        <v>123</v>
      </c>
      <c r="Q439" s="4">
        <v>1</v>
      </c>
      <c r="R439" s="18" t="s">
        <v>113</v>
      </c>
      <c r="S439" s="8" t="s">
        <v>116</v>
      </c>
      <c r="T439" s="8" t="s">
        <v>115</v>
      </c>
      <c r="U439" s="8" t="s">
        <v>114</v>
      </c>
      <c r="V439" s="8" t="s">
        <v>116</v>
      </c>
      <c r="W439" s="8" t="s">
        <v>116</v>
      </c>
    </row>
    <row r="440" spans="1:23" x14ac:dyDescent="0.35">
      <c r="A440" s="5" t="s">
        <v>44</v>
      </c>
      <c r="B440" s="4">
        <v>47</v>
      </c>
      <c r="C440" s="15">
        <v>0</v>
      </c>
      <c r="D440" s="17">
        <f t="shared" si="19"/>
        <v>0</v>
      </c>
      <c r="E440" s="6">
        <v>0</v>
      </c>
      <c r="F440" s="6">
        <v>0.05</v>
      </c>
      <c r="G440" s="9">
        <v>5</v>
      </c>
      <c r="H440" s="7">
        <v>2011</v>
      </c>
      <c r="I440" s="13">
        <v>22.42229158</v>
      </c>
      <c r="J440" s="2">
        <f t="shared" si="18"/>
        <v>22422291.579999998</v>
      </c>
      <c r="K440" s="4">
        <v>12.365928889999999</v>
      </c>
      <c r="L440" s="4">
        <v>285.09899999999999</v>
      </c>
      <c r="M440" s="12">
        <f t="shared" si="17"/>
        <v>285099000</v>
      </c>
      <c r="N440" s="4">
        <v>285.09899999999999</v>
      </c>
      <c r="O440" s="4">
        <v>270.16399999999999</v>
      </c>
      <c r="P440" s="4" t="s">
        <v>123</v>
      </c>
      <c r="Q440" s="4">
        <v>1</v>
      </c>
      <c r="R440" s="18" t="s">
        <v>111</v>
      </c>
      <c r="S440" s="8" t="s">
        <v>116</v>
      </c>
      <c r="T440" s="8" t="s">
        <v>119</v>
      </c>
      <c r="U440" s="8" t="s">
        <v>115</v>
      </c>
      <c r="V440" s="8" t="s">
        <v>119</v>
      </c>
      <c r="W440" s="8" t="s">
        <v>118</v>
      </c>
    </row>
    <row r="441" spans="1:23" x14ac:dyDescent="0.35">
      <c r="A441" s="5" t="s">
        <v>94</v>
      </c>
      <c r="B441" s="4">
        <v>48</v>
      </c>
      <c r="C441" s="15">
        <v>0</v>
      </c>
      <c r="D441" s="17">
        <f t="shared" si="19"/>
        <v>0</v>
      </c>
      <c r="E441" s="6">
        <v>0</v>
      </c>
      <c r="F441" s="6">
        <v>0.05</v>
      </c>
      <c r="G441" s="9">
        <v>5</v>
      </c>
      <c r="H441" s="7">
        <v>2011</v>
      </c>
      <c r="I441" s="13">
        <v>18.531062049999999</v>
      </c>
      <c r="J441" s="2">
        <f t="shared" si="18"/>
        <v>18531062.050000001</v>
      </c>
      <c r="K441" s="4">
        <v>8.0195611699999994</v>
      </c>
      <c r="M441" s="12">
        <f t="shared" si="17"/>
        <v>0</v>
      </c>
      <c r="Q441" s="4">
        <v>1</v>
      </c>
      <c r="R441" s="18" t="s">
        <v>131</v>
      </c>
      <c r="S441" s="8" t="s">
        <v>130</v>
      </c>
      <c r="T441" s="8" t="s">
        <v>130</v>
      </c>
      <c r="U441" s="8" t="s">
        <v>130</v>
      </c>
      <c r="V441" s="8" t="s">
        <v>130</v>
      </c>
      <c r="W441" s="8" t="s">
        <v>130</v>
      </c>
    </row>
    <row r="442" spans="1:23" x14ac:dyDescent="0.35">
      <c r="A442" s="5" t="s">
        <v>95</v>
      </c>
      <c r="B442" s="4">
        <v>49</v>
      </c>
      <c r="C442" s="15">
        <v>0</v>
      </c>
      <c r="D442" s="17">
        <f t="shared" si="19"/>
        <v>0</v>
      </c>
      <c r="E442" s="6">
        <v>0</v>
      </c>
      <c r="F442" s="6">
        <v>0.05</v>
      </c>
      <c r="G442" s="9">
        <v>5</v>
      </c>
      <c r="H442" s="7">
        <v>2011</v>
      </c>
      <c r="I442" s="13">
        <v>23.576765439999999</v>
      </c>
      <c r="J442" s="2">
        <f t="shared" si="18"/>
        <v>23576765.439999998</v>
      </c>
      <c r="K442" s="4">
        <v>8.8106059999999999</v>
      </c>
      <c r="M442" s="12">
        <f t="shared" si="17"/>
        <v>0</v>
      </c>
      <c r="Q442" s="4">
        <v>1</v>
      </c>
      <c r="R442" s="18" t="s">
        <v>131</v>
      </c>
    </row>
    <row r="443" spans="1:23" x14ac:dyDescent="0.35">
      <c r="A443" s="5" t="s">
        <v>45</v>
      </c>
      <c r="B443" s="4">
        <v>50</v>
      </c>
      <c r="C443" s="15">
        <v>0</v>
      </c>
      <c r="D443" s="17">
        <f t="shared" si="19"/>
        <v>0</v>
      </c>
      <c r="E443" s="6">
        <v>0</v>
      </c>
      <c r="F443" s="6">
        <v>0.05</v>
      </c>
      <c r="G443" s="9">
        <v>5</v>
      </c>
      <c r="H443" s="7">
        <v>2011</v>
      </c>
      <c r="I443" s="13">
        <v>23.033522529999999</v>
      </c>
      <c r="J443" s="2">
        <f t="shared" si="18"/>
        <v>23033522.529999997</v>
      </c>
      <c r="K443" s="4">
        <v>13.04604411</v>
      </c>
      <c r="L443" s="4">
        <v>67</v>
      </c>
      <c r="M443" s="12">
        <f t="shared" si="17"/>
        <v>67000000</v>
      </c>
      <c r="N443" s="4">
        <v>67</v>
      </c>
      <c r="O443" s="4">
        <v>67</v>
      </c>
      <c r="P443" s="4" t="s">
        <v>123</v>
      </c>
      <c r="Q443" s="4">
        <v>1</v>
      </c>
      <c r="R443" s="18" t="s">
        <v>117</v>
      </c>
      <c r="S443" s="8" t="s">
        <v>117</v>
      </c>
      <c r="T443" s="8" t="s">
        <v>115</v>
      </c>
      <c r="U443" s="8" t="s">
        <v>115</v>
      </c>
      <c r="V443" s="8" t="s">
        <v>117</v>
      </c>
      <c r="W443" s="8" t="s">
        <v>115</v>
      </c>
    </row>
    <row r="444" spans="1:23" x14ac:dyDescent="0.35">
      <c r="A444" s="5" t="s">
        <v>46</v>
      </c>
      <c r="B444" s="4">
        <v>51</v>
      </c>
      <c r="C444" s="15">
        <v>0</v>
      </c>
      <c r="D444" s="17">
        <f t="shared" si="19"/>
        <v>0</v>
      </c>
      <c r="E444" s="6">
        <v>0</v>
      </c>
      <c r="F444" s="6">
        <v>0.05</v>
      </c>
      <c r="G444" s="9">
        <v>5</v>
      </c>
      <c r="H444" s="7">
        <v>2011</v>
      </c>
      <c r="I444" s="13">
        <v>20.270707139999999</v>
      </c>
      <c r="J444" s="2">
        <f t="shared" si="18"/>
        <v>20270707.140000001</v>
      </c>
      <c r="K444" s="4">
        <v>12.88699508</v>
      </c>
      <c r="L444" s="4">
        <v>110.505</v>
      </c>
      <c r="M444" s="12">
        <f t="shared" si="17"/>
        <v>110505000</v>
      </c>
      <c r="N444" s="4">
        <v>110.505</v>
      </c>
      <c r="O444" s="4">
        <v>110.505</v>
      </c>
      <c r="P444" s="4" t="s">
        <v>123</v>
      </c>
      <c r="Q444" s="4">
        <v>1</v>
      </c>
      <c r="R444" s="18" t="s">
        <v>114</v>
      </c>
      <c r="S444" s="8" t="s">
        <v>114</v>
      </c>
      <c r="T444" s="8" t="s">
        <v>117</v>
      </c>
      <c r="U444" s="8" t="s">
        <v>115</v>
      </c>
      <c r="V444" s="8" t="s">
        <v>117</v>
      </c>
      <c r="W444" s="8" t="s">
        <v>115</v>
      </c>
    </row>
    <row r="445" spans="1:23" x14ac:dyDescent="0.35">
      <c r="A445" s="5" t="s">
        <v>47</v>
      </c>
      <c r="B445" s="4">
        <v>52</v>
      </c>
      <c r="C445" s="15">
        <v>0</v>
      </c>
      <c r="D445" s="17">
        <f t="shared" si="19"/>
        <v>0</v>
      </c>
      <c r="E445" s="6">
        <v>0</v>
      </c>
      <c r="F445" s="6">
        <v>0.05</v>
      </c>
      <c r="G445" s="9">
        <v>5</v>
      </c>
      <c r="H445" s="7">
        <v>2011</v>
      </c>
      <c r="I445" s="13">
        <v>22.300662819999999</v>
      </c>
      <c r="J445" s="2">
        <f t="shared" si="18"/>
        <v>22300662.82</v>
      </c>
      <c r="K445" s="4">
        <v>13.24903488</v>
      </c>
      <c r="L445" s="4">
        <v>99.385000000000005</v>
      </c>
      <c r="M445" s="12">
        <f t="shared" si="17"/>
        <v>99385000</v>
      </c>
      <c r="N445" s="4">
        <v>99.385000000000005</v>
      </c>
      <c r="O445" s="4">
        <v>96.545000000000002</v>
      </c>
      <c r="P445" s="4" t="s">
        <v>123</v>
      </c>
      <c r="Q445" s="4">
        <v>1</v>
      </c>
      <c r="R445" s="18" t="s">
        <v>112</v>
      </c>
      <c r="S445" s="8" t="s">
        <v>116</v>
      </c>
      <c r="T445" s="8" t="s">
        <v>117</v>
      </c>
      <c r="U445" s="8" t="s">
        <v>117</v>
      </c>
      <c r="V445" s="8" t="s">
        <v>115</v>
      </c>
      <c r="W445" s="8" t="s">
        <v>114</v>
      </c>
    </row>
    <row r="446" spans="1:23" x14ac:dyDescent="0.35">
      <c r="A446" s="5" t="s">
        <v>48</v>
      </c>
      <c r="B446" s="4">
        <v>53</v>
      </c>
      <c r="C446" s="15">
        <v>0</v>
      </c>
      <c r="D446" s="17">
        <f t="shared" si="19"/>
        <v>0</v>
      </c>
      <c r="E446" s="6">
        <v>0</v>
      </c>
      <c r="F446" s="6">
        <v>0.05</v>
      </c>
      <c r="G446" s="9">
        <v>5</v>
      </c>
      <c r="H446" s="7">
        <v>2011</v>
      </c>
      <c r="I446" s="13">
        <v>22.390887079999999</v>
      </c>
      <c r="J446" s="2">
        <f t="shared" si="18"/>
        <v>22390887.079999998</v>
      </c>
      <c r="K446" s="4">
        <v>15.814338920000001</v>
      </c>
      <c r="L446" s="4">
        <v>296.15499999999997</v>
      </c>
      <c r="M446" s="12">
        <f t="shared" si="17"/>
        <v>296155000</v>
      </c>
      <c r="N446" s="4">
        <v>296.15499999999997</v>
      </c>
      <c r="O446" s="4">
        <v>296.15499999999997</v>
      </c>
      <c r="P446" s="4" t="s">
        <v>123</v>
      </c>
      <c r="Q446" s="4">
        <v>1</v>
      </c>
      <c r="R446" s="18" t="s">
        <v>113</v>
      </c>
      <c r="S446" s="8" t="s">
        <v>117</v>
      </c>
      <c r="T446" s="8" t="s">
        <v>113</v>
      </c>
      <c r="U446" s="8" t="s">
        <v>115</v>
      </c>
      <c r="V446" s="8" t="s">
        <v>115</v>
      </c>
      <c r="W446" s="8" t="s">
        <v>115</v>
      </c>
    </row>
    <row r="447" spans="1:23" x14ac:dyDescent="0.35">
      <c r="A447" s="5" t="s">
        <v>49</v>
      </c>
      <c r="B447" s="4">
        <v>54</v>
      </c>
      <c r="C447" s="15">
        <v>0</v>
      </c>
      <c r="D447" s="17">
        <f t="shared" si="19"/>
        <v>0</v>
      </c>
      <c r="E447" s="6">
        <v>0</v>
      </c>
      <c r="F447" s="6">
        <v>0.05</v>
      </c>
      <c r="G447" s="9">
        <v>5</v>
      </c>
      <c r="H447" s="7">
        <v>2011</v>
      </c>
      <c r="I447" s="13">
        <v>26.31169435</v>
      </c>
      <c r="J447" s="2">
        <f t="shared" si="18"/>
        <v>26311694.350000001</v>
      </c>
      <c r="K447" s="4">
        <v>14.26561594</v>
      </c>
      <c r="L447" s="4">
        <v>240.94499999999999</v>
      </c>
      <c r="M447" s="12">
        <f t="shared" si="17"/>
        <v>240945000</v>
      </c>
      <c r="N447" s="4">
        <v>240.94499999999999</v>
      </c>
      <c r="O447" s="4">
        <v>213.44499999999999</v>
      </c>
      <c r="P447" s="4" t="s">
        <v>123</v>
      </c>
      <c r="Q447" s="4">
        <v>1</v>
      </c>
      <c r="R447" s="18" t="s">
        <v>113</v>
      </c>
      <c r="S447" s="8" t="s">
        <v>116</v>
      </c>
      <c r="T447" s="8" t="s">
        <v>116</v>
      </c>
      <c r="U447" s="8" t="s">
        <v>115</v>
      </c>
      <c r="V447" s="8" t="s">
        <v>114</v>
      </c>
      <c r="W447" s="8" t="s">
        <v>116</v>
      </c>
    </row>
    <row r="448" spans="1:23" x14ac:dyDescent="0.35">
      <c r="A448" s="5" t="s">
        <v>50</v>
      </c>
      <c r="B448" s="4">
        <v>55</v>
      </c>
      <c r="C448" s="15">
        <v>0</v>
      </c>
      <c r="D448" s="17">
        <f t="shared" si="19"/>
        <v>0</v>
      </c>
      <c r="E448" s="6">
        <v>0</v>
      </c>
      <c r="F448" s="6">
        <v>0.05</v>
      </c>
      <c r="G448" s="9">
        <v>5</v>
      </c>
      <c r="H448" s="7">
        <v>2011</v>
      </c>
      <c r="I448" s="13">
        <v>27.79217169</v>
      </c>
      <c r="J448" s="2">
        <f t="shared" si="18"/>
        <v>27792171.690000001</v>
      </c>
      <c r="K448" s="4">
        <v>13.785079720000001</v>
      </c>
      <c r="L448" s="4">
        <v>103.5</v>
      </c>
      <c r="M448" s="12">
        <f t="shared" si="17"/>
        <v>103500000</v>
      </c>
      <c r="N448" s="4">
        <v>103.5</v>
      </c>
      <c r="O448" s="4">
        <v>103.5</v>
      </c>
      <c r="P448" s="4" t="s">
        <v>123</v>
      </c>
      <c r="Q448" s="4">
        <v>1</v>
      </c>
      <c r="R448" s="18" t="s">
        <v>117</v>
      </c>
      <c r="S448" s="8" t="s">
        <v>117</v>
      </c>
      <c r="T448" s="8" t="s">
        <v>117</v>
      </c>
      <c r="U448" s="8" t="s">
        <v>115</v>
      </c>
      <c r="V448" s="8" t="s">
        <v>115</v>
      </c>
      <c r="W448" s="8" t="s">
        <v>115</v>
      </c>
    </row>
    <row r="449" spans="1:23" x14ac:dyDescent="0.35">
      <c r="A449" s="5" t="s">
        <v>51</v>
      </c>
      <c r="B449" s="4">
        <v>56</v>
      </c>
      <c r="C449" s="15">
        <v>0</v>
      </c>
      <c r="D449" s="17">
        <f t="shared" si="19"/>
        <v>0</v>
      </c>
      <c r="E449" s="6">
        <v>0</v>
      </c>
      <c r="F449" s="6">
        <v>0.05</v>
      </c>
      <c r="G449" s="9">
        <v>5</v>
      </c>
      <c r="H449" s="7">
        <v>2011</v>
      </c>
      <c r="I449" s="13">
        <v>23.722728549999999</v>
      </c>
      <c r="J449" s="2">
        <f t="shared" si="18"/>
        <v>23722728.550000001</v>
      </c>
      <c r="K449" s="4">
        <v>14.56859231</v>
      </c>
      <c r="L449" s="4">
        <v>164.46</v>
      </c>
      <c r="M449" s="12">
        <f t="shared" si="17"/>
        <v>164460000</v>
      </c>
      <c r="N449" s="4">
        <v>164.46</v>
      </c>
      <c r="O449" s="4">
        <v>161.46</v>
      </c>
      <c r="P449" s="4" t="s">
        <v>123</v>
      </c>
      <c r="Q449" s="4">
        <v>1</v>
      </c>
      <c r="R449" s="18" t="s">
        <v>113</v>
      </c>
      <c r="S449" s="8" t="s">
        <v>112</v>
      </c>
      <c r="T449" s="8" t="s">
        <v>114</v>
      </c>
      <c r="U449" s="8" t="s">
        <v>114</v>
      </c>
      <c r="V449" s="8" t="s">
        <v>114</v>
      </c>
      <c r="W449" s="8" t="s">
        <v>114</v>
      </c>
    </row>
    <row r="450" spans="1:23" x14ac:dyDescent="0.35">
      <c r="A450" s="5" t="s">
        <v>52</v>
      </c>
      <c r="B450" s="4">
        <v>57</v>
      </c>
      <c r="C450" s="15">
        <v>0</v>
      </c>
      <c r="D450" s="17">
        <f t="shared" si="19"/>
        <v>0</v>
      </c>
      <c r="E450" s="6">
        <v>0</v>
      </c>
      <c r="F450" s="6">
        <v>0.05</v>
      </c>
      <c r="G450" s="9">
        <v>5</v>
      </c>
      <c r="H450" s="7">
        <v>2011</v>
      </c>
      <c r="I450" s="13">
        <v>23.754001649999999</v>
      </c>
      <c r="J450" s="2">
        <f t="shared" si="18"/>
        <v>23754001.649999999</v>
      </c>
      <c r="K450" s="4">
        <v>13.08633208</v>
      </c>
      <c r="L450" s="4">
        <v>411.92500000000001</v>
      </c>
      <c r="M450" s="12">
        <f t="shared" si="17"/>
        <v>411925000</v>
      </c>
      <c r="N450" s="4">
        <v>411.92500000000001</v>
      </c>
      <c r="O450" s="4">
        <v>411.92500000000001</v>
      </c>
      <c r="P450" s="4" t="s">
        <v>123</v>
      </c>
      <c r="Q450" s="4">
        <v>1</v>
      </c>
      <c r="R450" s="18" t="s">
        <v>114</v>
      </c>
      <c r="S450" s="8" t="s">
        <v>117</v>
      </c>
      <c r="T450" s="8" t="s">
        <v>114</v>
      </c>
      <c r="U450" s="8" t="s">
        <v>115</v>
      </c>
      <c r="V450" s="8" t="s">
        <v>115</v>
      </c>
      <c r="W450" s="8" t="s">
        <v>115</v>
      </c>
    </row>
    <row r="451" spans="1:23" x14ac:dyDescent="0.35">
      <c r="A451" s="5" t="s">
        <v>53</v>
      </c>
      <c r="B451" s="4">
        <v>58</v>
      </c>
      <c r="C451" s="15">
        <v>0</v>
      </c>
      <c r="D451" s="17">
        <f t="shared" si="19"/>
        <v>0</v>
      </c>
      <c r="E451" s="6">
        <v>0</v>
      </c>
      <c r="F451" s="6">
        <v>0.05</v>
      </c>
      <c r="G451" s="9">
        <v>5</v>
      </c>
      <c r="H451" s="7">
        <v>2011</v>
      </c>
      <c r="I451" s="13">
        <v>26.978604659999998</v>
      </c>
      <c r="J451" s="2">
        <f t="shared" si="18"/>
        <v>26978604.66</v>
      </c>
      <c r="K451" s="4">
        <v>12.246557470000001</v>
      </c>
      <c r="L451" s="4">
        <v>281.13</v>
      </c>
      <c r="M451" s="12">
        <f t="shared" si="17"/>
        <v>281130000</v>
      </c>
      <c r="N451" s="4">
        <v>281.13</v>
      </c>
      <c r="O451" s="4">
        <v>281.13</v>
      </c>
      <c r="P451" s="4" t="s">
        <v>123</v>
      </c>
      <c r="Q451" s="4">
        <v>1</v>
      </c>
      <c r="R451" s="18" t="s">
        <v>111</v>
      </c>
      <c r="S451" s="8" t="s">
        <v>117</v>
      </c>
      <c r="T451" s="8" t="s">
        <v>111</v>
      </c>
      <c r="U451" s="8" t="s">
        <v>115</v>
      </c>
      <c r="V451" s="8" t="s">
        <v>115</v>
      </c>
      <c r="W451" s="8" t="s">
        <v>115</v>
      </c>
    </row>
    <row r="452" spans="1:23" x14ac:dyDescent="0.35">
      <c r="A452" s="5" t="s">
        <v>100</v>
      </c>
      <c r="B452" s="4">
        <v>59</v>
      </c>
      <c r="C452" s="15">
        <v>0</v>
      </c>
      <c r="D452" s="17">
        <f t="shared" si="19"/>
        <v>0</v>
      </c>
      <c r="E452" s="6">
        <v>0</v>
      </c>
      <c r="F452" s="6">
        <v>0.05</v>
      </c>
      <c r="G452" s="9">
        <v>5</v>
      </c>
      <c r="H452" s="7">
        <v>2011</v>
      </c>
      <c r="I452" s="13">
        <v>21.15879408</v>
      </c>
      <c r="J452" s="2">
        <f t="shared" si="18"/>
        <v>21158794.079999998</v>
      </c>
      <c r="K452" s="4">
        <v>12.303544280000001</v>
      </c>
      <c r="M452" s="12">
        <f t="shared" si="17"/>
        <v>0</v>
      </c>
      <c r="Q452" s="4">
        <v>1</v>
      </c>
      <c r="R452" s="19" t="s">
        <v>128</v>
      </c>
      <c r="S452" s="8" t="s">
        <v>115</v>
      </c>
      <c r="T452" s="8" t="s">
        <v>115</v>
      </c>
      <c r="U452" s="8" t="s">
        <v>115</v>
      </c>
      <c r="V452" s="8" t="s">
        <v>115</v>
      </c>
      <c r="W452" s="8" t="s">
        <v>115</v>
      </c>
    </row>
    <row r="453" spans="1:23" x14ac:dyDescent="0.35">
      <c r="A453" s="5" t="s">
        <v>54</v>
      </c>
      <c r="B453" s="4">
        <v>60</v>
      </c>
      <c r="C453" s="15">
        <v>0</v>
      </c>
      <c r="D453" s="17">
        <f t="shared" si="19"/>
        <v>0</v>
      </c>
      <c r="E453" s="6">
        <v>0</v>
      </c>
      <c r="F453" s="6">
        <v>0.05</v>
      </c>
      <c r="G453" s="9">
        <v>5</v>
      </c>
      <c r="H453" s="7">
        <v>2011</v>
      </c>
      <c r="I453" s="13">
        <v>27.169219269999999</v>
      </c>
      <c r="J453" s="2">
        <f t="shared" si="18"/>
        <v>27169219.27</v>
      </c>
      <c r="K453" s="4">
        <v>12.48380661</v>
      </c>
      <c r="L453" s="4">
        <v>245.125</v>
      </c>
      <c r="M453" s="12">
        <f t="shared" ref="M453:M516" si="20">L453*1000000</f>
        <v>245125000</v>
      </c>
      <c r="N453" s="4">
        <v>245.125</v>
      </c>
      <c r="O453" s="4">
        <v>245.125</v>
      </c>
      <c r="P453" s="4" t="s">
        <v>123</v>
      </c>
      <c r="Q453" s="4">
        <v>1</v>
      </c>
      <c r="R453" s="18" t="s">
        <v>112</v>
      </c>
      <c r="S453" s="8" t="s">
        <v>114</v>
      </c>
      <c r="T453" s="8" t="s">
        <v>114</v>
      </c>
      <c r="U453" s="8" t="s">
        <v>114</v>
      </c>
      <c r="V453" s="8" t="s">
        <v>115</v>
      </c>
      <c r="W453" s="8" t="s">
        <v>115</v>
      </c>
    </row>
    <row r="454" spans="1:23" x14ac:dyDescent="0.35">
      <c r="A454" s="5" t="s">
        <v>55</v>
      </c>
      <c r="B454" s="4">
        <v>61</v>
      </c>
      <c r="C454" s="15">
        <v>0</v>
      </c>
      <c r="D454" s="17">
        <f t="shared" si="19"/>
        <v>0</v>
      </c>
      <c r="E454" s="6">
        <v>0</v>
      </c>
      <c r="F454" s="6">
        <v>0.05</v>
      </c>
      <c r="G454" s="9">
        <v>5</v>
      </c>
      <c r="H454" s="7">
        <v>2011</v>
      </c>
      <c r="I454" s="13">
        <v>29.568161509999999</v>
      </c>
      <c r="J454" s="2">
        <f t="shared" ref="J454:J517" si="21">I454*1000000</f>
        <v>29568161.509999998</v>
      </c>
      <c r="K454" s="4">
        <v>14.037996529999999</v>
      </c>
      <c r="L454" s="4">
        <v>14</v>
      </c>
      <c r="M454" s="12">
        <f t="shared" si="20"/>
        <v>14000000</v>
      </c>
      <c r="N454" s="4">
        <v>14</v>
      </c>
      <c r="O454" s="4">
        <v>0</v>
      </c>
      <c r="P454" s="4" t="s">
        <v>123</v>
      </c>
      <c r="Q454" s="4">
        <v>1</v>
      </c>
      <c r="R454" s="18" t="s">
        <v>117</v>
      </c>
      <c r="S454" s="8" t="s">
        <v>117</v>
      </c>
      <c r="T454" s="8" t="s">
        <v>115</v>
      </c>
      <c r="U454" s="8" t="s">
        <v>115</v>
      </c>
      <c r="V454" s="8" t="s">
        <v>115</v>
      </c>
      <c r="W454" s="8" t="s">
        <v>117</v>
      </c>
    </row>
    <row r="455" spans="1:23" x14ac:dyDescent="0.35">
      <c r="A455" s="5" t="s">
        <v>56</v>
      </c>
      <c r="B455" s="4">
        <v>62</v>
      </c>
      <c r="C455" s="15">
        <v>0</v>
      </c>
      <c r="D455" s="17">
        <f t="shared" ref="D455:D518" si="22">C455*1000000</f>
        <v>0</v>
      </c>
      <c r="E455" s="6">
        <v>0</v>
      </c>
      <c r="F455" s="6">
        <v>0.05</v>
      </c>
      <c r="G455" s="9">
        <v>5</v>
      </c>
      <c r="H455" s="7">
        <v>2011</v>
      </c>
      <c r="I455" s="13">
        <v>26.639138849999998</v>
      </c>
      <c r="J455" s="2">
        <f t="shared" si="21"/>
        <v>26639138.849999998</v>
      </c>
      <c r="K455" s="4">
        <v>18.76930952</v>
      </c>
      <c r="L455" s="4">
        <v>221.62</v>
      </c>
      <c r="M455" s="12">
        <f t="shared" si="20"/>
        <v>221620000</v>
      </c>
      <c r="N455" s="4">
        <v>221.62</v>
      </c>
      <c r="O455" s="4">
        <v>221.62</v>
      </c>
      <c r="P455" s="4" t="s">
        <v>123</v>
      </c>
      <c r="Q455" s="4">
        <v>1</v>
      </c>
      <c r="R455" s="18" t="s">
        <v>112</v>
      </c>
      <c r="S455" s="8" t="s">
        <v>117</v>
      </c>
      <c r="T455" s="8" t="s">
        <v>112</v>
      </c>
      <c r="U455" s="8" t="s">
        <v>115</v>
      </c>
      <c r="V455" s="8" t="s">
        <v>115</v>
      </c>
      <c r="W455" s="8" t="s">
        <v>115</v>
      </c>
    </row>
    <row r="456" spans="1:23" x14ac:dyDescent="0.35">
      <c r="A456" s="5" t="s">
        <v>57</v>
      </c>
      <c r="B456" s="4">
        <v>63</v>
      </c>
      <c r="C456" s="15">
        <v>0</v>
      </c>
      <c r="D456" s="17">
        <f t="shared" si="22"/>
        <v>0</v>
      </c>
      <c r="E456" s="6">
        <v>0</v>
      </c>
      <c r="F456" s="6">
        <v>0.05</v>
      </c>
      <c r="G456" s="9">
        <v>5</v>
      </c>
      <c r="H456" s="7">
        <v>2011</v>
      </c>
      <c r="I456" s="13">
        <v>26.808860599999999</v>
      </c>
      <c r="J456" s="2">
        <f t="shared" si="21"/>
        <v>26808860.599999998</v>
      </c>
      <c r="K456" s="4">
        <v>17.18623161</v>
      </c>
      <c r="L456" s="4">
        <v>364.07</v>
      </c>
      <c r="M456" s="12">
        <f t="shared" si="20"/>
        <v>364070000</v>
      </c>
      <c r="N456" s="4">
        <v>364.07</v>
      </c>
      <c r="O456" s="4">
        <v>327.56</v>
      </c>
      <c r="P456" s="4" t="s">
        <v>123</v>
      </c>
      <c r="Q456" s="4">
        <v>1</v>
      </c>
      <c r="R456" s="18" t="s">
        <v>120</v>
      </c>
      <c r="S456" s="8" t="s">
        <v>112</v>
      </c>
      <c r="T456" s="8" t="s">
        <v>111</v>
      </c>
      <c r="U456" s="8" t="s">
        <v>121</v>
      </c>
      <c r="V456" s="8" t="s">
        <v>122</v>
      </c>
      <c r="W456" s="8" t="s">
        <v>121</v>
      </c>
    </row>
    <row r="457" spans="1:23" x14ac:dyDescent="0.35">
      <c r="A457" s="5" t="s">
        <v>92</v>
      </c>
      <c r="B457" s="4">
        <v>64</v>
      </c>
      <c r="C457" s="15">
        <v>0</v>
      </c>
      <c r="D457" s="17">
        <f t="shared" si="22"/>
        <v>0</v>
      </c>
      <c r="E457" s="6">
        <v>0</v>
      </c>
      <c r="F457" s="6">
        <v>0.05</v>
      </c>
      <c r="G457" s="9">
        <v>5</v>
      </c>
      <c r="H457" s="7">
        <v>2011</v>
      </c>
      <c r="I457" s="13">
        <v>24.432779050000001</v>
      </c>
      <c r="J457" s="2">
        <f t="shared" si="21"/>
        <v>24432779.050000001</v>
      </c>
      <c r="K457" s="4">
        <v>18.708782200000002</v>
      </c>
      <c r="M457" s="12">
        <f t="shared" si="20"/>
        <v>0</v>
      </c>
      <c r="Q457" s="4">
        <v>1</v>
      </c>
      <c r="R457" s="19" t="s">
        <v>132</v>
      </c>
      <c r="S457" s="8" t="s">
        <v>130</v>
      </c>
      <c r="T457" s="8" t="s">
        <v>130</v>
      </c>
      <c r="U457" s="8" t="s">
        <v>130</v>
      </c>
      <c r="V457" s="8" t="s">
        <v>130</v>
      </c>
      <c r="W457" s="8" t="s">
        <v>130</v>
      </c>
    </row>
    <row r="458" spans="1:23" x14ac:dyDescent="0.35">
      <c r="A458" s="5" t="s">
        <v>58</v>
      </c>
      <c r="B458" s="4">
        <v>65</v>
      </c>
      <c r="C458" s="15">
        <v>0</v>
      </c>
      <c r="D458" s="17">
        <f t="shared" si="22"/>
        <v>0</v>
      </c>
      <c r="E458" s="6">
        <v>0</v>
      </c>
      <c r="F458" s="6">
        <v>0.05</v>
      </c>
      <c r="G458" s="9">
        <v>5</v>
      </c>
      <c r="H458" s="7">
        <v>2011</v>
      </c>
      <c r="I458" s="13">
        <v>23.632054140000001</v>
      </c>
      <c r="J458" s="2">
        <f t="shared" si="21"/>
        <v>23632054.140000001</v>
      </c>
      <c r="K458" s="4">
        <v>18.575971129999999</v>
      </c>
      <c r="L458" s="4">
        <v>110.39</v>
      </c>
      <c r="M458" s="12">
        <f t="shared" si="20"/>
        <v>110390000</v>
      </c>
      <c r="N458" s="4">
        <v>110.39</v>
      </c>
      <c r="O458" s="4">
        <v>90.34</v>
      </c>
      <c r="P458" s="4" t="s">
        <v>123</v>
      </c>
      <c r="Q458" s="4">
        <v>1</v>
      </c>
      <c r="R458" s="18" t="s">
        <v>111</v>
      </c>
      <c r="S458" s="8" t="s">
        <v>114</v>
      </c>
      <c r="T458" s="8" t="s">
        <v>115</v>
      </c>
      <c r="U458" s="8" t="s">
        <v>113</v>
      </c>
      <c r="V458" s="8" t="s">
        <v>115</v>
      </c>
      <c r="W458" s="8" t="s">
        <v>113</v>
      </c>
    </row>
    <row r="459" spans="1:23" x14ac:dyDescent="0.35">
      <c r="A459" s="5" t="s">
        <v>59</v>
      </c>
      <c r="B459" s="4">
        <v>66</v>
      </c>
      <c r="C459" s="15">
        <v>0</v>
      </c>
      <c r="D459" s="17">
        <f t="shared" si="22"/>
        <v>0</v>
      </c>
      <c r="E459" s="6">
        <v>0</v>
      </c>
      <c r="F459" s="6">
        <v>0.05</v>
      </c>
      <c r="G459" s="9">
        <v>5</v>
      </c>
      <c r="H459" s="7">
        <v>2011</v>
      </c>
      <c r="I459" s="13">
        <v>20.870473230000002</v>
      </c>
      <c r="J459" s="2">
        <f t="shared" si="21"/>
        <v>20870473.23</v>
      </c>
      <c r="K459" s="4">
        <v>18.184145690000001</v>
      </c>
      <c r="L459" s="4">
        <v>23.39</v>
      </c>
      <c r="M459" s="12">
        <f t="shared" si="20"/>
        <v>23390000</v>
      </c>
      <c r="N459" s="4">
        <v>23.39</v>
      </c>
      <c r="O459" s="4">
        <v>23.39</v>
      </c>
      <c r="P459" s="4" t="s">
        <v>123</v>
      </c>
      <c r="Q459" s="4">
        <v>1</v>
      </c>
      <c r="R459" s="18" t="s">
        <v>117</v>
      </c>
      <c r="S459" s="8" t="s">
        <v>117</v>
      </c>
      <c r="T459" s="8" t="s">
        <v>115</v>
      </c>
      <c r="U459" s="8" t="s">
        <v>117</v>
      </c>
      <c r="V459" s="8" t="s">
        <v>115</v>
      </c>
      <c r="W459" s="8" t="s">
        <v>115</v>
      </c>
    </row>
    <row r="460" spans="1:23" x14ac:dyDescent="0.35">
      <c r="A460" s="5" t="s">
        <v>96</v>
      </c>
      <c r="B460" s="4">
        <v>67</v>
      </c>
      <c r="C460" s="15">
        <v>0</v>
      </c>
      <c r="D460" s="17">
        <f t="shared" si="22"/>
        <v>0</v>
      </c>
      <c r="E460" s="6">
        <v>0</v>
      </c>
      <c r="F460" s="6">
        <v>0.05</v>
      </c>
      <c r="G460" s="9">
        <v>5</v>
      </c>
      <c r="H460" s="7">
        <v>2011</v>
      </c>
      <c r="I460" s="13">
        <v>23.371275669999999</v>
      </c>
      <c r="J460" s="2">
        <f t="shared" si="21"/>
        <v>23371275.669999998</v>
      </c>
      <c r="K460" s="4">
        <v>16.151269670000001</v>
      </c>
      <c r="M460" s="12">
        <f t="shared" si="20"/>
        <v>0</v>
      </c>
      <c r="Q460" s="4">
        <v>1</v>
      </c>
      <c r="R460" s="18" t="s">
        <v>131</v>
      </c>
      <c r="S460" s="8" t="s">
        <v>130</v>
      </c>
      <c r="T460" s="8" t="s">
        <v>130</v>
      </c>
      <c r="U460" s="8" t="s">
        <v>130</v>
      </c>
      <c r="V460" s="8" t="s">
        <v>130</v>
      </c>
      <c r="W460" s="8" t="s">
        <v>130</v>
      </c>
    </row>
    <row r="461" spans="1:23" x14ac:dyDescent="0.35">
      <c r="A461" s="5" t="s">
        <v>97</v>
      </c>
      <c r="B461" s="4">
        <v>68</v>
      </c>
      <c r="C461" s="15">
        <v>0</v>
      </c>
      <c r="D461" s="17">
        <f t="shared" si="22"/>
        <v>0</v>
      </c>
      <c r="E461" s="6">
        <v>0</v>
      </c>
      <c r="F461" s="6">
        <v>0.05</v>
      </c>
      <c r="G461" s="9">
        <v>5</v>
      </c>
      <c r="H461" s="7">
        <v>2011</v>
      </c>
      <c r="I461" s="13">
        <v>23.046201570000001</v>
      </c>
      <c r="J461" s="2">
        <f t="shared" si="21"/>
        <v>23046201.57</v>
      </c>
      <c r="K461" s="4">
        <v>16.201030020000001</v>
      </c>
      <c r="M461" s="12">
        <f t="shared" si="20"/>
        <v>0</v>
      </c>
      <c r="Q461" s="4">
        <v>1</v>
      </c>
      <c r="R461" s="18" t="s">
        <v>131</v>
      </c>
    </row>
    <row r="462" spans="1:23" x14ac:dyDescent="0.35">
      <c r="A462" s="5" t="s">
        <v>60</v>
      </c>
      <c r="B462" s="4">
        <v>69</v>
      </c>
      <c r="C462" s="15">
        <v>0</v>
      </c>
      <c r="D462" s="17">
        <f t="shared" si="22"/>
        <v>0</v>
      </c>
      <c r="E462" s="6">
        <v>0</v>
      </c>
      <c r="F462" s="6">
        <v>0.05</v>
      </c>
      <c r="G462" s="9">
        <v>5</v>
      </c>
      <c r="H462" s="7">
        <v>2011</v>
      </c>
      <c r="I462" s="13">
        <v>23.975858500000001</v>
      </c>
      <c r="J462" s="2">
        <f t="shared" si="21"/>
        <v>23975858.5</v>
      </c>
      <c r="K462" s="4">
        <v>16.387612820000001</v>
      </c>
      <c r="L462" s="4">
        <v>110.215</v>
      </c>
      <c r="M462" s="12">
        <f t="shared" si="20"/>
        <v>110215000</v>
      </c>
      <c r="N462" s="4">
        <v>110.215</v>
      </c>
      <c r="O462" s="4">
        <v>110.215</v>
      </c>
      <c r="P462" s="4" t="s">
        <v>123</v>
      </c>
      <c r="Q462" s="4">
        <v>1</v>
      </c>
      <c r="R462" s="18" t="s">
        <v>114</v>
      </c>
      <c r="S462" s="8" t="s">
        <v>114</v>
      </c>
      <c r="T462" s="8" t="s">
        <v>117</v>
      </c>
      <c r="U462" s="8" t="s">
        <v>117</v>
      </c>
      <c r="V462" s="8" t="s">
        <v>115</v>
      </c>
      <c r="W462" s="8" t="s">
        <v>115</v>
      </c>
    </row>
    <row r="463" spans="1:23" x14ac:dyDescent="0.35">
      <c r="A463" s="5" t="s">
        <v>61</v>
      </c>
      <c r="B463" s="4">
        <v>70</v>
      </c>
      <c r="C463" s="15">
        <v>0</v>
      </c>
      <c r="D463" s="17">
        <f t="shared" si="22"/>
        <v>0</v>
      </c>
      <c r="E463" s="6">
        <v>0</v>
      </c>
      <c r="F463" s="6">
        <v>0.05</v>
      </c>
      <c r="G463" s="9">
        <v>5</v>
      </c>
      <c r="H463" s="7">
        <v>2011</v>
      </c>
      <c r="I463" s="13">
        <v>24.092477689999999</v>
      </c>
      <c r="J463" s="2">
        <f t="shared" si="21"/>
        <v>24092477.689999998</v>
      </c>
      <c r="K463" s="4">
        <v>14.468116759999999</v>
      </c>
      <c r="L463" s="4">
        <v>213.11</v>
      </c>
      <c r="M463" s="12">
        <f t="shared" si="20"/>
        <v>213110000</v>
      </c>
      <c r="N463" s="4">
        <v>213.11</v>
      </c>
      <c r="O463" s="4">
        <v>193.25</v>
      </c>
      <c r="P463" s="4" t="s">
        <v>123</v>
      </c>
      <c r="Q463" s="4">
        <v>1</v>
      </c>
      <c r="R463" s="18" t="s">
        <v>113</v>
      </c>
      <c r="S463" s="8" t="s">
        <v>114</v>
      </c>
      <c r="T463" s="8" t="s">
        <v>115</v>
      </c>
      <c r="U463" s="8" t="s">
        <v>115</v>
      </c>
      <c r="V463" s="8" t="s">
        <v>112</v>
      </c>
      <c r="W463" s="8" t="s">
        <v>112</v>
      </c>
    </row>
    <row r="464" spans="1:23" x14ac:dyDescent="0.35">
      <c r="A464" s="5" t="s">
        <v>62</v>
      </c>
      <c r="B464" s="4">
        <v>71</v>
      </c>
      <c r="C464" s="15">
        <v>0</v>
      </c>
      <c r="D464" s="17">
        <f t="shared" si="22"/>
        <v>0</v>
      </c>
      <c r="E464" s="6">
        <v>0</v>
      </c>
      <c r="F464" s="6">
        <v>0.05</v>
      </c>
      <c r="G464" s="9">
        <v>5</v>
      </c>
      <c r="H464" s="7">
        <v>2011</v>
      </c>
      <c r="I464" s="13">
        <v>22.146659410000002</v>
      </c>
      <c r="J464" s="2">
        <f t="shared" si="21"/>
        <v>22146659.41</v>
      </c>
      <c r="K464" s="4">
        <v>14.707440139999999</v>
      </c>
      <c r="L464" s="4">
        <v>320.48</v>
      </c>
      <c r="M464" s="12">
        <f t="shared" si="20"/>
        <v>320480000</v>
      </c>
      <c r="N464" s="4">
        <v>320.48</v>
      </c>
      <c r="O464" s="4">
        <v>0</v>
      </c>
      <c r="P464" s="4" t="s">
        <v>123</v>
      </c>
      <c r="Q464" s="4">
        <v>1</v>
      </c>
      <c r="R464" s="18" t="s">
        <v>114</v>
      </c>
      <c r="S464" s="8" t="s">
        <v>117</v>
      </c>
      <c r="T464" s="8" t="s">
        <v>115</v>
      </c>
      <c r="U464" s="8" t="s">
        <v>115</v>
      </c>
      <c r="V464" s="8" t="s">
        <v>115</v>
      </c>
      <c r="W464" s="8" t="s">
        <v>114</v>
      </c>
    </row>
    <row r="465" spans="1:23" x14ac:dyDescent="0.35">
      <c r="A465" s="5" t="s">
        <v>63</v>
      </c>
      <c r="B465" s="4">
        <v>72</v>
      </c>
      <c r="C465" s="15">
        <v>0</v>
      </c>
      <c r="D465" s="17">
        <f t="shared" si="22"/>
        <v>0</v>
      </c>
      <c r="E465" s="6">
        <v>0</v>
      </c>
      <c r="F465" s="6">
        <v>0.05</v>
      </c>
      <c r="G465" s="9">
        <v>5</v>
      </c>
      <c r="H465" s="7">
        <v>2011</v>
      </c>
      <c r="I465" s="13">
        <v>29.252648919999999</v>
      </c>
      <c r="J465" s="2">
        <f t="shared" si="21"/>
        <v>29252648.919999998</v>
      </c>
      <c r="K465" s="4">
        <v>13.365871909999999</v>
      </c>
      <c r="L465" s="4">
        <v>208.98500000000001</v>
      </c>
      <c r="M465" s="12">
        <f t="shared" si="20"/>
        <v>208985000</v>
      </c>
      <c r="N465" s="4">
        <v>208.98500000000001</v>
      </c>
      <c r="O465" s="4">
        <v>198.29500000000002</v>
      </c>
      <c r="P465" s="4" t="s">
        <v>123</v>
      </c>
      <c r="Q465" s="4">
        <v>1</v>
      </c>
      <c r="R465" s="18" t="s">
        <v>111</v>
      </c>
      <c r="S465" s="8" t="s">
        <v>112</v>
      </c>
      <c r="T465" s="8" t="s">
        <v>112</v>
      </c>
      <c r="U465" s="8" t="s">
        <v>112</v>
      </c>
      <c r="V465" s="8" t="s">
        <v>112</v>
      </c>
      <c r="W465" s="8" t="s">
        <v>112</v>
      </c>
    </row>
    <row r="466" spans="1:23" x14ac:dyDescent="0.35">
      <c r="A466" s="5" t="s">
        <v>64</v>
      </c>
      <c r="B466" s="4">
        <v>73</v>
      </c>
      <c r="C466" s="15">
        <v>0</v>
      </c>
      <c r="D466" s="17">
        <f t="shared" si="22"/>
        <v>0</v>
      </c>
      <c r="E466" s="6">
        <v>0</v>
      </c>
      <c r="F466" s="6">
        <v>0.05</v>
      </c>
      <c r="G466" s="9">
        <v>5</v>
      </c>
      <c r="H466" s="7">
        <v>2011</v>
      </c>
      <c r="I466" s="13">
        <v>30.155070510000002</v>
      </c>
      <c r="J466" s="2">
        <f t="shared" si="21"/>
        <v>30155070.510000002</v>
      </c>
      <c r="K466" s="4">
        <v>12.93913603</v>
      </c>
      <c r="L466" s="4">
        <v>194</v>
      </c>
      <c r="M466" s="12">
        <f t="shared" si="20"/>
        <v>194000000</v>
      </c>
      <c r="N466" s="4">
        <v>194</v>
      </c>
      <c r="O466" s="4">
        <v>146</v>
      </c>
      <c r="P466" s="4" t="s">
        <v>123</v>
      </c>
      <c r="Q466" s="4">
        <v>1</v>
      </c>
      <c r="R466" s="18" t="s">
        <v>112</v>
      </c>
      <c r="S466" s="8" t="s">
        <v>112</v>
      </c>
      <c r="T466" s="8" t="s">
        <v>117</v>
      </c>
      <c r="U466" s="8" t="s">
        <v>117</v>
      </c>
      <c r="V466" s="8" t="s">
        <v>117</v>
      </c>
      <c r="W466" s="8" t="s">
        <v>117</v>
      </c>
    </row>
    <row r="467" spans="1:23" x14ac:dyDescent="0.35">
      <c r="A467" s="5" t="s">
        <v>65</v>
      </c>
      <c r="B467" s="4">
        <v>74</v>
      </c>
      <c r="C467" s="15">
        <v>0</v>
      </c>
      <c r="D467" s="17">
        <f t="shared" si="22"/>
        <v>0</v>
      </c>
      <c r="E467" s="6">
        <v>0</v>
      </c>
      <c r="F467" s="6">
        <v>0.05</v>
      </c>
      <c r="G467" s="9">
        <v>5</v>
      </c>
      <c r="H467" s="7">
        <v>2011</v>
      </c>
      <c r="I467" s="13">
        <v>30.883148949999999</v>
      </c>
      <c r="J467" s="2">
        <f t="shared" si="21"/>
        <v>30883148.949999999</v>
      </c>
      <c r="K467" s="4">
        <v>15.219856500000001</v>
      </c>
      <c r="L467" s="4">
        <v>372.09500000000003</v>
      </c>
      <c r="M467" s="12">
        <f t="shared" si="20"/>
        <v>372095000</v>
      </c>
      <c r="N467" s="4">
        <v>372.09500000000003</v>
      </c>
      <c r="O467" s="4">
        <v>355.09500000000003</v>
      </c>
      <c r="P467" s="4" t="s">
        <v>123</v>
      </c>
      <c r="Q467" s="4">
        <v>1</v>
      </c>
      <c r="R467" s="18" t="s">
        <v>111</v>
      </c>
      <c r="S467" s="8" t="s">
        <v>116</v>
      </c>
      <c r="T467" s="8" t="s">
        <v>118</v>
      </c>
      <c r="U467" s="8" t="s">
        <v>119</v>
      </c>
      <c r="V467" s="8" t="s">
        <v>115</v>
      </c>
      <c r="W467" s="8" t="s">
        <v>119</v>
      </c>
    </row>
    <row r="468" spans="1:23" x14ac:dyDescent="0.35">
      <c r="A468" s="5" t="s">
        <v>87</v>
      </c>
      <c r="B468" s="4">
        <v>75</v>
      </c>
      <c r="C468" s="15">
        <v>0</v>
      </c>
      <c r="D468" s="17">
        <f t="shared" si="22"/>
        <v>0</v>
      </c>
      <c r="E468" s="6">
        <v>0</v>
      </c>
      <c r="F468" s="6">
        <v>0.05</v>
      </c>
      <c r="G468" s="9">
        <v>5</v>
      </c>
      <c r="H468" s="7">
        <v>2011</v>
      </c>
      <c r="I468" s="13">
        <v>20.362764859999999</v>
      </c>
      <c r="J468" s="2">
        <f t="shared" si="21"/>
        <v>20362764.859999999</v>
      </c>
      <c r="K468" s="4">
        <v>15.529907939999999</v>
      </c>
      <c r="M468" s="12">
        <f t="shared" si="20"/>
        <v>0</v>
      </c>
      <c r="Q468" s="4">
        <v>1</v>
      </c>
      <c r="R468" s="12" t="s">
        <v>133</v>
      </c>
    </row>
    <row r="469" spans="1:23" x14ac:dyDescent="0.35">
      <c r="A469" s="5" t="s">
        <v>66</v>
      </c>
      <c r="B469" s="4">
        <v>76</v>
      </c>
      <c r="C469" s="15">
        <v>0</v>
      </c>
      <c r="D469" s="17">
        <f t="shared" si="22"/>
        <v>0</v>
      </c>
      <c r="E469" s="6">
        <v>0</v>
      </c>
      <c r="F469" s="6">
        <v>0.05</v>
      </c>
      <c r="G469" s="9">
        <v>5</v>
      </c>
      <c r="H469" s="7">
        <v>2011</v>
      </c>
      <c r="I469" s="13">
        <v>26.49411508</v>
      </c>
      <c r="J469" s="2">
        <f t="shared" si="21"/>
        <v>26494115.080000002</v>
      </c>
      <c r="K469" s="4">
        <v>31.477570530000001</v>
      </c>
      <c r="L469" s="4">
        <v>345.02</v>
      </c>
      <c r="M469" s="12">
        <f t="shared" si="20"/>
        <v>345020000</v>
      </c>
      <c r="N469" s="4">
        <v>345.02</v>
      </c>
      <c r="O469" s="4">
        <v>293.36</v>
      </c>
      <c r="P469" s="4" t="s">
        <v>123</v>
      </c>
      <c r="Q469" s="4">
        <v>1</v>
      </c>
      <c r="R469" s="18" t="s">
        <v>120</v>
      </c>
      <c r="S469" s="8" t="s">
        <v>112</v>
      </c>
      <c r="T469" s="8" t="s">
        <v>111</v>
      </c>
      <c r="U469" s="8" t="s">
        <v>121</v>
      </c>
      <c r="V469" s="8" t="s">
        <v>122</v>
      </c>
      <c r="W469" s="8" t="s">
        <v>121</v>
      </c>
    </row>
    <row r="470" spans="1:23" x14ac:dyDescent="0.35">
      <c r="A470" s="5" t="s">
        <v>67</v>
      </c>
      <c r="B470" s="4">
        <v>77</v>
      </c>
      <c r="C470" s="15">
        <v>0</v>
      </c>
      <c r="D470" s="17">
        <f t="shared" si="22"/>
        <v>0</v>
      </c>
      <c r="E470" s="6">
        <v>0</v>
      </c>
      <c r="F470" s="6">
        <v>0.05</v>
      </c>
      <c r="G470" s="9">
        <v>5</v>
      </c>
      <c r="H470" s="7">
        <v>2011</v>
      </c>
      <c r="I470" s="13">
        <v>26.137967539999998</v>
      </c>
      <c r="J470" s="2">
        <f t="shared" si="21"/>
        <v>26137967.539999999</v>
      </c>
      <c r="K470" s="4">
        <v>29.636721609999999</v>
      </c>
      <c r="L470" s="4">
        <v>215.66</v>
      </c>
      <c r="M470" s="12">
        <f t="shared" si="20"/>
        <v>215660000</v>
      </c>
      <c r="N470" s="4">
        <v>215.66</v>
      </c>
      <c r="O470" s="4">
        <v>215.66</v>
      </c>
      <c r="P470" s="4" t="s">
        <v>123</v>
      </c>
      <c r="Q470" s="4">
        <v>1</v>
      </c>
      <c r="R470" s="18" t="s">
        <v>111</v>
      </c>
      <c r="S470" s="8" t="s">
        <v>116</v>
      </c>
      <c r="T470" s="8" t="s">
        <v>119</v>
      </c>
      <c r="U470" s="8" t="s">
        <v>119</v>
      </c>
      <c r="V470" s="8" t="s">
        <v>118</v>
      </c>
      <c r="W470" s="8" t="s">
        <v>115</v>
      </c>
    </row>
    <row r="471" spans="1:23" x14ac:dyDescent="0.35">
      <c r="A471" s="5" t="s">
        <v>68</v>
      </c>
      <c r="B471" s="4">
        <v>78</v>
      </c>
      <c r="C471" s="15">
        <v>0</v>
      </c>
      <c r="D471" s="17">
        <f t="shared" si="22"/>
        <v>0</v>
      </c>
      <c r="E471" s="6">
        <v>0</v>
      </c>
      <c r="F471" s="6">
        <v>0.05</v>
      </c>
      <c r="G471" s="9">
        <v>5</v>
      </c>
      <c r="H471" s="7">
        <v>2011</v>
      </c>
      <c r="I471" s="13">
        <v>23.53755134</v>
      </c>
      <c r="J471" s="2">
        <f t="shared" si="21"/>
        <v>23537551.34</v>
      </c>
      <c r="K471" s="4">
        <v>30.2393961</v>
      </c>
      <c r="M471" s="12">
        <f t="shared" si="20"/>
        <v>0</v>
      </c>
      <c r="Q471" s="4">
        <v>1</v>
      </c>
      <c r="R471" s="18" t="s">
        <v>134</v>
      </c>
      <c r="S471" s="8" t="s">
        <v>117</v>
      </c>
      <c r="T471" s="8" t="s">
        <v>115</v>
      </c>
      <c r="U471" s="8" t="s">
        <v>117</v>
      </c>
      <c r="V471" s="8" t="s">
        <v>115</v>
      </c>
      <c r="W471" s="8" t="s">
        <v>115</v>
      </c>
    </row>
    <row r="472" spans="1:23" x14ac:dyDescent="0.35">
      <c r="A472" s="5" t="s">
        <v>69</v>
      </c>
      <c r="B472" s="4">
        <v>79</v>
      </c>
      <c r="C472" s="15">
        <v>0</v>
      </c>
      <c r="D472" s="17">
        <f t="shared" si="22"/>
        <v>0</v>
      </c>
      <c r="E472" s="6">
        <v>0</v>
      </c>
      <c r="F472" s="6">
        <v>0.05</v>
      </c>
      <c r="G472" s="9">
        <v>5</v>
      </c>
      <c r="H472" s="7">
        <v>2011</v>
      </c>
      <c r="I472" s="13">
        <v>21.65297288</v>
      </c>
      <c r="J472" s="2">
        <f t="shared" si="21"/>
        <v>21652972.879999999</v>
      </c>
      <c r="K472" s="4">
        <v>28.05969954</v>
      </c>
      <c r="L472" s="4">
        <v>217.64</v>
      </c>
      <c r="M472" s="12">
        <f t="shared" si="20"/>
        <v>217640000</v>
      </c>
      <c r="N472" s="4">
        <v>217.64</v>
      </c>
      <c r="O472" s="4">
        <v>217.64</v>
      </c>
      <c r="P472" s="4" t="s">
        <v>123</v>
      </c>
      <c r="Q472" s="4">
        <v>1</v>
      </c>
      <c r="R472" s="18" t="s">
        <v>112</v>
      </c>
      <c r="S472" s="8" t="s">
        <v>112</v>
      </c>
      <c r="T472" s="8" t="s">
        <v>117</v>
      </c>
      <c r="U472" s="8" t="s">
        <v>117</v>
      </c>
      <c r="V472" s="8" t="s">
        <v>117</v>
      </c>
      <c r="W472" s="8" t="s">
        <v>117</v>
      </c>
    </row>
    <row r="473" spans="1:23" x14ac:dyDescent="0.35">
      <c r="A473" s="5" t="s">
        <v>101</v>
      </c>
      <c r="B473" s="4">
        <v>80</v>
      </c>
      <c r="C473" s="15">
        <v>0</v>
      </c>
      <c r="D473" s="17">
        <f t="shared" si="22"/>
        <v>0</v>
      </c>
      <c r="E473" s="6">
        <v>0</v>
      </c>
      <c r="F473" s="6">
        <v>0.05</v>
      </c>
      <c r="G473" s="9">
        <v>5</v>
      </c>
      <c r="H473" s="7">
        <v>2011</v>
      </c>
      <c r="I473" s="13">
        <v>17.458829900000001</v>
      </c>
      <c r="J473" s="2">
        <f t="shared" si="21"/>
        <v>17458829.900000002</v>
      </c>
      <c r="K473" s="4">
        <v>33.910620209999998</v>
      </c>
      <c r="M473" s="12">
        <f t="shared" si="20"/>
        <v>0</v>
      </c>
      <c r="P473" s="4" t="s">
        <v>123</v>
      </c>
      <c r="Q473" s="4">
        <v>1</v>
      </c>
      <c r="R473" s="19">
        <v>0</v>
      </c>
      <c r="S473" s="8" t="s">
        <v>115</v>
      </c>
      <c r="T473" s="8" t="s">
        <v>115</v>
      </c>
      <c r="U473" s="8" t="s">
        <v>115</v>
      </c>
      <c r="V473" s="8" t="s">
        <v>115</v>
      </c>
      <c r="W473" s="8" t="s">
        <v>115</v>
      </c>
    </row>
    <row r="474" spans="1:23" x14ac:dyDescent="0.35">
      <c r="A474" s="5" t="s">
        <v>70</v>
      </c>
      <c r="B474" s="4">
        <v>81</v>
      </c>
      <c r="C474" s="15">
        <v>0</v>
      </c>
      <c r="D474" s="17">
        <f t="shared" si="22"/>
        <v>0</v>
      </c>
      <c r="E474" s="6">
        <v>0</v>
      </c>
      <c r="F474" s="6">
        <v>0.05</v>
      </c>
      <c r="G474" s="9">
        <v>5</v>
      </c>
      <c r="H474" s="7">
        <v>2011</v>
      </c>
      <c r="I474" s="13">
        <v>22.874496050000001</v>
      </c>
      <c r="J474" s="2">
        <f t="shared" si="21"/>
        <v>22874496.050000001</v>
      </c>
      <c r="K474" s="4">
        <v>32.754344940000003</v>
      </c>
      <c r="L474" s="4">
        <v>79.459999999999994</v>
      </c>
      <c r="M474" s="12">
        <f t="shared" si="20"/>
        <v>79460000</v>
      </c>
      <c r="N474" s="4">
        <v>79.459999999999994</v>
      </c>
      <c r="O474" s="4">
        <v>79.459999999999994</v>
      </c>
      <c r="P474" s="4" t="s">
        <v>123</v>
      </c>
      <c r="Q474" s="4">
        <v>1</v>
      </c>
      <c r="R474" s="18" t="s">
        <v>113</v>
      </c>
      <c r="S474" s="8" t="s">
        <v>117</v>
      </c>
      <c r="T474" s="8" t="s">
        <v>115</v>
      </c>
      <c r="U474" s="8" t="s">
        <v>113</v>
      </c>
      <c r="V474" s="8" t="s">
        <v>115</v>
      </c>
      <c r="W474" s="8" t="s">
        <v>115</v>
      </c>
    </row>
    <row r="475" spans="1:23" x14ac:dyDescent="0.35">
      <c r="A475" s="5" t="s">
        <v>71</v>
      </c>
      <c r="B475" s="4">
        <v>82</v>
      </c>
      <c r="C475" s="15">
        <v>0</v>
      </c>
      <c r="D475" s="17">
        <f t="shared" si="22"/>
        <v>0</v>
      </c>
      <c r="E475" s="6">
        <v>0</v>
      </c>
      <c r="F475" s="6">
        <v>0.05</v>
      </c>
      <c r="G475" s="9">
        <v>5</v>
      </c>
      <c r="H475" s="7">
        <v>2011</v>
      </c>
      <c r="I475" s="13">
        <v>24.240091799999998</v>
      </c>
      <c r="J475" s="2">
        <f t="shared" si="21"/>
        <v>24240091.799999997</v>
      </c>
      <c r="K475" s="4">
        <v>31.726856229999999</v>
      </c>
      <c r="L475" s="4">
        <v>127.89</v>
      </c>
      <c r="M475" s="12">
        <f t="shared" si="20"/>
        <v>127890000</v>
      </c>
      <c r="N475" s="4">
        <v>127.89</v>
      </c>
      <c r="O475" s="4">
        <v>62</v>
      </c>
      <c r="P475" s="4" t="s">
        <v>123</v>
      </c>
      <c r="Q475" s="4">
        <v>1</v>
      </c>
      <c r="R475" s="18" t="s">
        <v>112</v>
      </c>
      <c r="S475" s="8" t="s">
        <v>114</v>
      </c>
      <c r="T475" s="8" t="s">
        <v>115</v>
      </c>
      <c r="U475" s="8" t="s">
        <v>115</v>
      </c>
      <c r="V475" s="8" t="s">
        <v>114</v>
      </c>
      <c r="W475" s="8" t="s">
        <v>114</v>
      </c>
    </row>
    <row r="476" spans="1:23" x14ac:dyDescent="0.35">
      <c r="A476" s="5" t="s">
        <v>72</v>
      </c>
      <c r="B476" s="4">
        <v>83</v>
      </c>
      <c r="C476" s="15">
        <v>0</v>
      </c>
      <c r="D476" s="17">
        <f t="shared" si="22"/>
        <v>0</v>
      </c>
      <c r="E476" s="6">
        <v>0</v>
      </c>
      <c r="F476" s="6">
        <v>0.05</v>
      </c>
      <c r="G476" s="9">
        <v>5</v>
      </c>
      <c r="H476" s="7">
        <v>2011</v>
      </c>
      <c r="I476" s="13">
        <v>23.560137439999998</v>
      </c>
      <c r="J476" s="2">
        <f t="shared" si="21"/>
        <v>23560137.439999998</v>
      </c>
      <c r="K476" s="4">
        <v>28.652305599999998</v>
      </c>
      <c r="L476" s="4">
        <v>91.004999999999995</v>
      </c>
      <c r="M476" s="12">
        <f t="shared" si="20"/>
        <v>91005000</v>
      </c>
      <c r="N476" s="4">
        <v>91.004999999999995</v>
      </c>
      <c r="O476" s="4">
        <v>91.004999999999995</v>
      </c>
      <c r="P476" s="4" t="s">
        <v>123</v>
      </c>
      <c r="Q476" s="4">
        <v>1</v>
      </c>
      <c r="R476" s="18" t="s">
        <v>113</v>
      </c>
      <c r="S476" s="8" t="s">
        <v>114</v>
      </c>
      <c r="T476" s="8" t="s">
        <v>112</v>
      </c>
      <c r="U476" s="8" t="s">
        <v>112</v>
      </c>
      <c r="V476" s="8" t="s">
        <v>115</v>
      </c>
      <c r="W476" s="8" t="s">
        <v>115</v>
      </c>
    </row>
    <row r="477" spans="1:23" x14ac:dyDescent="0.35">
      <c r="A477" s="5" t="s">
        <v>73</v>
      </c>
      <c r="B477" s="4">
        <v>84</v>
      </c>
      <c r="C477" s="15">
        <v>0</v>
      </c>
      <c r="D477" s="17">
        <f t="shared" si="22"/>
        <v>0</v>
      </c>
      <c r="E477" s="6">
        <v>0</v>
      </c>
      <c r="F477" s="6">
        <v>0.05</v>
      </c>
      <c r="G477" s="9">
        <v>5</v>
      </c>
      <c r="H477" s="7">
        <v>2011</v>
      </c>
      <c r="I477" s="13">
        <v>20.322503059999999</v>
      </c>
      <c r="J477" s="2">
        <f t="shared" si="21"/>
        <v>20322503.059999999</v>
      </c>
      <c r="K477" s="4">
        <v>34.564347269999999</v>
      </c>
      <c r="L477" s="4">
        <v>58.134999999999998</v>
      </c>
      <c r="M477" s="12">
        <f t="shared" si="20"/>
        <v>58135000</v>
      </c>
      <c r="N477" s="4">
        <v>58.134999999999998</v>
      </c>
      <c r="O477" s="4">
        <v>-5.000000000002558E-3</v>
      </c>
      <c r="P477" s="4" t="s">
        <v>123</v>
      </c>
      <c r="Q477" s="4">
        <v>1</v>
      </c>
      <c r="R477" s="18" t="s">
        <v>117</v>
      </c>
      <c r="S477" s="8" t="s">
        <v>117</v>
      </c>
      <c r="T477" s="8" t="s">
        <v>115</v>
      </c>
      <c r="U477" s="8" t="s">
        <v>115</v>
      </c>
      <c r="V477" s="8" t="s">
        <v>115</v>
      </c>
      <c r="W477" s="8" t="s">
        <v>117</v>
      </c>
    </row>
    <row r="478" spans="1:23" x14ac:dyDescent="0.35">
      <c r="A478" s="5" t="s">
        <v>74</v>
      </c>
      <c r="B478" s="4">
        <v>85</v>
      </c>
      <c r="C478" s="15">
        <v>0</v>
      </c>
      <c r="D478" s="17">
        <f t="shared" si="22"/>
        <v>0</v>
      </c>
      <c r="E478" s="6">
        <v>0</v>
      </c>
      <c r="F478" s="6">
        <v>0.05</v>
      </c>
      <c r="G478" s="9">
        <v>5</v>
      </c>
      <c r="H478" s="7">
        <v>2011</v>
      </c>
      <c r="I478" s="13">
        <v>23.006852599999998</v>
      </c>
      <c r="J478" s="2">
        <f t="shared" si="21"/>
        <v>23006852.599999998</v>
      </c>
      <c r="K478" s="4">
        <v>35.530076029999996</v>
      </c>
      <c r="L478" s="4">
        <v>169.965</v>
      </c>
      <c r="M478" s="12">
        <f t="shared" si="20"/>
        <v>169965000</v>
      </c>
      <c r="N478" s="4">
        <v>169.965</v>
      </c>
      <c r="O478" s="4">
        <v>169.965</v>
      </c>
      <c r="P478" s="4" t="s">
        <v>123</v>
      </c>
      <c r="Q478" s="4">
        <v>1</v>
      </c>
      <c r="R478" s="18" t="s">
        <v>113</v>
      </c>
      <c r="S478" s="8" t="s">
        <v>116</v>
      </c>
      <c r="T478" s="8" t="s">
        <v>114</v>
      </c>
      <c r="U478" s="8" t="s">
        <v>116</v>
      </c>
      <c r="V478" s="8" t="s">
        <v>116</v>
      </c>
      <c r="W478" s="8" t="s">
        <v>115</v>
      </c>
    </row>
    <row r="479" spans="1:23" x14ac:dyDescent="0.35">
      <c r="A479" s="5" t="s">
        <v>75</v>
      </c>
      <c r="B479" s="4">
        <v>86</v>
      </c>
      <c r="C479" s="15">
        <v>0</v>
      </c>
      <c r="D479" s="17">
        <f t="shared" si="22"/>
        <v>0</v>
      </c>
      <c r="E479" s="6">
        <v>0</v>
      </c>
      <c r="F479" s="6">
        <v>0.05</v>
      </c>
      <c r="G479" s="9">
        <v>5</v>
      </c>
      <c r="H479" s="7">
        <v>2011</v>
      </c>
      <c r="I479" s="13">
        <v>21.132306410000002</v>
      </c>
      <c r="J479" s="2">
        <f t="shared" si="21"/>
        <v>21132306.41</v>
      </c>
      <c r="K479" s="4">
        <v>34.472079280000003</v>
      </c>
      <c r="L479" s="4">
        <v>143.09</v>
      </c>
      <c r="M479" s="12">
        <f t="shared" si="20"/>
        <v>143090000</v>
      </c>
      <c r="N479" s="4">
        <v>143.09</v>
      </c>
      <c r="O479" s="4">
        <v>128.09</v>
      </c>
      <c r="P479" s="4" t="s">
        <v>123</v>
      </c>
      <c r="Q479" s="4">
        <v>1</v>
      </c>
      <c r="R479" s="18" t="s">
        <v>112</v>
      </c>
      <c r="S479" s="8" t="s">
        <v>116</v>
      </c>
      <c r="T479" s="8" t="s">
        <v>117</v>
      </c>
      <c r="U479" s="8" t="s">
        <v>115</v>
      </c>
      <c r="V479" s="8" t="s">
        <v>114</v>
      </c>
      <c r="W479" s="8" t="s">
        <v>117</v>
      </c>
    </row>
    <row r="480" spans="1:23" x14ac:dyDescent="0.35">
      <c r="A480" s="5" t="s">
        <v>76</v>
      </c>
      <c r="B480" s="4">
        <v>87</v>
      </c>
      <c r="C480" s="15">
        <v>0</v>
      </c>
      <c r="D480" s="17">
        <f t="shared" si="22"/>
        <v>0</v>
      </c>
      <c r="E480" s="6">
        <v>0</v>
      </c>
      <c r="F480" s="6">
        <v>0.05</v>
      </c>
      <c r="G480" s="9">
        <v>5</v>
      </c>
      <c r="H480" s="7">
        <v>2011</v>
      </c>
      <c r="I480" s="13">
        <v>18.80851032</v>
      </c>
      <c r="J480" s="2">
        <f t="shared" si="21"/>
        <v>18808510.32</v>
      </c>
      <c r="K480" s="4">
        <v>31.201500889999998</v>
      </c>
      <c r="L480" s="4">
        <v>64</v>
      </c>
      <c r="M480" s="12">
        <f t="shared" si="20"/>
        <v>64000000</v>
      </c>
      <c r="N480" s="4">
        <v>64</v>
      </c>
      <c r="O480" s="4">
        <v>64</v>
      </c>
      <c r="P480" s="4" t="s">
        <v>123</v>
      </c>
      <c r="Q480" s="4">
        <v>1</v>
      </c>
      <c r="R480" s="18" t="s">
        <v>117</v>
      </c>
      <c r="S480" s="8" t="s">
        <v>117</v>
      </c>
      <c r="T480" s="8" t="s">
        <v>117</v>
      </c>
      <c r="U480" s="8" t="s">
        <v>115</v>
      </c>
      <c r="V480" s="8" t="s">
        <v>115</v>
      </c>
      <c r="W480" s="8" t="s">
        <v>115</v>
      </c>
    </row>
    <row r="481" spans="1:23" x14ac:dyDescent="0.35">
      <c r="A481" s="5" t="s">
        <v>77</v>
      </c>
      <c r="B481" s="4">
        <v>88</v>
      </c>
      <c r="C481" s="15">
        <v>0</v>
      </c>
      <c r="D481" s="17">
        <f t="shared" si="22"/>
        <v>0</v>
      </c>
      <c r="E481" s="6">
        <v>0</v>
      </c>
      <c r="F481" s="6">
        <v>0.05</v>
      </c>
      <c r="G481" s="9">
        <v>5</v>
      </c>
      <c r="H481" s="7">
        <v>2011</v>
      </c>
      <c r="I481" s="13">
        <v>17.791079740000001</v>
      </c>
      <c r="J481" s="2">
        <f t="shared" si="21"/>
        <v>17791079.740000002</v>
      </c>
      <c r="K481" s="4">
        <v>36.81704044</v>
      </c>
      <c r="L481" s="4">
        <v>122</v>
      </c>
      <c r="M481" s="12">
        <f t="shared" si="20"/>
        <v>122000000</v>
      </c>
      <c r="N481" s="4">
        <v>122</v>
      </c>
      <c r="O481" s="4">
        <v>122</v>
      </c>
      <c r="P481" s="4" t="s">
        <v>123</v>
      </c>
      <c r="Q481" s="4">
        <v>1</v>
      </c>
      <c r="R481" s="18" t="s">
        <v>117</v>
      </c>
      <c r="S481" s="8" t="s">
        <v>117</v>
      </c>
      <c r="T481" s="8" t="s">
        <v>115</v>
      </c>
      <c r="U481" s="8" t="s">
        <v>115</v>
      </c>
      <c r="V481" s="8" t="s">
        <v>117</v>
      </c>
      <c r="W481" s="8" t="s">
        <v>115</v>
      </c>
    </row>
    <row r="482" spans="1:23" x14ac:dyDescent="0.35">
      <c r="A482" s="5" t="s">
        <v>78</v>
      </c>
      <c r="B482" s="4">
        <v>89</v>
      </c>
      <c r="C482" s="15">
        <v>0</v>
      </c>
      <c r="D482" s="17">
        <f t="shared" si="22"/>
        <v>0</v>
      </c>
      <c r="E482" s="6">
        <v>0</v>
      </c>
      <c r="F482" s="6">
        <v>0.05</v>
      </c>
      <c r="G482" s="9">
        <v>5</v>
      </c>
      <c r="H482" s="7">
        <v>2011</v>
      </c>
      <c r="I482" s="13">
        <v>22.526727609999998</v>
      </c>
      <c r="J482" s="2">
        <f t="shared" si="21"/>
        <v>22526727.609999999</v>
      </c>
      <c r="K482" s="4">
        <v>35.745563509999997</v>
      </c>
      <c r="L482" s="4">
        <v>198.035</v>
      </c>
      <c r="M482" s="12">
        <f t="shared" si="20"/>
        <v>198035000</v>
      </c>
      <c r="N482" s="4">
        <v>198.035</v>
      </c>
      <c r="O482" s="4">
        <v>198.035</v>
      </c>
      <c r="P482" s="4" t="s">
        <v>123</v>
      </c>
      <c r="Q482" s="4">
        <v>1</v>
      </c>
      <c r="R482" s="18" t="s">
        <v>114</v>
      </c>
      <c r="S482" s="8" t="s">
        <v>117</v>
      </c>
      <c r="T482" s="8" t="s">
        <v>115</v>
      </c>
      <c r="U482" s="8" t="s">
        <v>114</v>
      </c>
      <c r="V482" s="8" t="s">
        <v>115</v>
      </c>
      <c r="W482" s="8" t="s">
        <v>115</v>
      </c>
    </row>
    <row r="483" spans="1:23" x14ac:dyDescent="0.35">
      <c r="A483" s="5" t="s">
        <v>79</v>
      </c>
      <c r="B483" s="4">
        <v>90</v>
      </c>
      <c r="C483" s="15">
        <v>0</v>
      </c>
      <c r="D483" s="17">
        <f t="shared" si="22"/>
        <v>0</v>
      </c>
      <c r="E483" s="6">
        <v>0</v>
      </c>
      <c r="F483" s="6">
        <v>0.05</v>
      </c>
      <c r="G483" s="9">
        <v>5</v>
      </c>
      <c r="H483" s="7">
        <v>2011</v>
      </c>
      <c r="I483" s="13">
        <v>20.690087699999999</v>
      </c>
      <c r="J483" s="2">
        <f t="shared" si="21"/>
        <v>20690087.699999999</v>
      </c>
      <c r="K483" s="4">
        <v>34.320225720000003</v>
      </c>
      <c r="L483" s="4">
        <v>73.614999999999995</v>
      </c>
      <c r="M483" s="12">
        <f t="shared" si="20"/>
        <v>73615000</v>
      </c>
      <c r="N483" s="4">
        <v>73.614999999999995</v>
      </c>
      <c r="O483" s="4">
        <v>73.474999999999994</v>
      </c>
      <c r="P483" s="4" t="s">
        <v>123</v>
      </c>
      <c r="Q483" s="4">
        <v>1</v>
      </c>
      <c r="R483" s="18" t="s">
        <v>114</v>
      </c>
      <c r="S483" s="8" t="s">
        <v>114</v>
      </c>
      <c r="T483" s="8" t="s">
        <v>115</v>
      </c>
      <c r="U483" s="8" t="s">
        <v>117</v>
      </c>
      <c r="V483" s="8" t="s">
        <v>115</v>
      </c>
      <c r="W483" s="8" t="s">
        <v>117</v>
      </c>
    </row>
    <row r="484" spans="1:23" x14ac:dyDescent="0.35">
      <c r="A484" s="5" t="s">
        <v>80</v>
      </c>
      <c r="B484" s="4">
        <v>91</v>
      </c>
      <c r="C484" s="15">
        <v>0</v>
      </c>
      <c r="D484" s="17">
        <f t="shared" si="22"/>
        <v>0</v>
      </c>
      <c r="E484" s="6">
        <v>0</v>
      </c>
      <c r="F484" s="6">
        <v>0.05</v>
      </c>
      <c r="G484" s="9">
        <v>5</v>
      </c>
      <c r="H484" s="7">
        <v>2011</v>
      </c>
      <c r="I484" s="13">
        <v>21.582216670000001</v>
      </c>
      <c r="J484" s="2">
        <f t="shared" si="21"/>
        <v>21582216.670000002</v>
      </c>
      <c r="K484" s="4">
        <v>30.010476109999999</v>
      </c>
      <c r="L484" s="4">
        <v>183.66</v>
      </c>
      <c r="M484" s="12">
        <f t="shared" si="20"/>
        <v>183660000</v>
      </c>
      <c r="N484" s="4">
        <v>183.66</v>
      </c>
      <c r="O484" s="4">
        <v>180.85</v>
      </c>
      <c r="P484" s="4" t="s">
        <v>123</v>
      </c>
      <c r="Q484" s="4">
        <v>1</v>
      </c>
      <c r="R484" s="18" t="s">
        <v>113</v>
      </c>
      <c r="S484" s="8" t="s">
        <v>112</v>
      </c>
      <c r="T484" s="8" t="s">
        <v>114</v>
      </c>
      <c r="U484" s="8" t="s">
        <v>114</v>
      </c>
      <c r="V484" s="8" t="s">
        <v>114</v>
      </c>
      <c r="W484" s="8" t="s">
        <v>114</v>
      </c>
    </row>
    <row r="485" spans="1:23" x14ac:dyDescent="0.35">
      <c r="A485" s="5" t="s">
        <v>81</v>
      </c>
      <c r="B485" s="4">
        <v>92</v>
      </c>
      <c r="C485" s="15">
        <v>0</v>
      </c>
      <c r="D485" s="17">
        <f t="shared" si="22"/>
        <v>0</v>
      </c>
      <c r="E485" s="6">
        <v>0</v>
      </c>
      <c r="F485" s="6">
        <v>0.05</v>
      </c>
      <c r="G485" s="9">
        <v>5</v>
      </c>
      <c r="H485" s="7">
        <v>2011</v>
      </c>
      <c r="I485" s="13">
        <v>16.569612190000001</v>
      </c>
      <c r="J485" s="2">
        <f t="shared" si="21"/>
        <v>16569612.190000001</v>
      </c>
      <c r="K485" s="4">
        <v>37.578668589999999</v>
      </c>
      <c r="L485" s="4">
        <v>120.03</v>
      </c>
      <c r="M485" s="12">
        <f t="shared" si="20"/>
        <v>120030000</v>
      </c>
      <c r="N485" s="4">
        <v>120.03</v>
      </c>
      <c r="O485" s="4">
        <v>120.03</v>
      </c>
      <c r="P485" s="4" t="s">
        <v>123</v>
      </c>
      <c r="Q485" s="4">
        <v>1</v>
      </c>
      <c r="R485" s="18" t="s">
        <v>114</v>
      </c>
      <c r="S485" s="8" t="s">
        <v>117</v>
      </c>
      <c r="T485" s="8" t="s">
        <v>115</v>
      </c>
      <c r="U485" s="8" t="s">
        <v>115</v>
      </c>
      <c r="V485" s="8" t="s">
        <v>114</v>
      </c>
      <c r="W485" s="8" t="s">
        <v>115</v>
      </c>
    </row>
    <row r="486" spans="1:23" x14ac:dyDescent="0.35">
      <c r="A486" s="5" t="s">
        <v>82</v>
      </c>
      <c r="B486" s="4">
        <v>93</v>
      </c>
      <c r="C486" s="15">
        <v>0</v>
      </c>
      <c r="D486" s="17">
        <f t="shared" si="22"/>
        <v>0</v>
      </c>
      <c r="E486" s="6">
        <v>0</v>
      </c>
      <c r="F486" s="6">
        <v>0.05</v>
      </c>
      <c r="G486" s="9">
        <v>5</v>
      </c>
      <c r="H486" s="7">
        <v>2011</v>
      </c>
      <c r="I486" s="13">
        <v>24.9238961</v>
      </c>
      <c r="J486" s="2">
        <f t="shared" si="21"/>
        <v>24923896.100000001</v>
      </c>
      <c r="K486" s="4">
        <v>33.627104760000002</v>
      </c>
      <c r="L486" s="4">
        <v>178.01499999999999</v>
      </c>
      <c r="M486" s="12">
        <f t="shared" si="20"/>
        <v>178015000</v>
      </c>
      <c r="N486" s="4">
        <v>178.01499999999999</v>
      </c>
      <c r="O486" s="4">
        <v>171.505</v>
      </c>
      <c r="P486" s="4" t="s">
        <v>123</v>
      </c>
      <c r="Q486" s="4">
        <v>1</v>
      </c>
      <c r="R486" s="18" t="s">
        <v>111</v>
      </c>
      <c r="S486" s="8" t="s">
        <v>112</v>
      </c>
      <c r="T486" s="8" t="s">
        <v>112</v>
      </c>
      <c r="U486" s="8" t="s">
        <v>112</v>
      </c>
      <c r="V486" s="8" t="s">
        <v>112</v>
      </c>
      <c r="W486" s="8" t="s">
        <v>112</v>
      </c>
    </row>
    <row r="487" spans="1:23" x14ac:dyDescent="0.35">
      <c r="A487" s="5" t="s">
        <v>89</v>
      </c>
      <c r="B487" s="4">
        <v>94</v>
      </c>
      <c r="C487" s="15">
        <v>0</v>
      </c>
      <c r="D487" s="17">
        <f t="shared" si="22"/>
        <v>0</v>
      </c>
      <c r="E487" s="6">
        <v>0</v>
      </c>
      <c r="F487" s="6">
        <v>0.05</v>
      </c>
      <c r="G487" s="9">
        <v>5</v>
      </c>
      <c r="H487" s="7">
        <v>2011</v>
      </c>
      <c r="I487" s="13">
        <v>25.0189494</v>
      </c>
      <c r="J487" s="2">
        <f t="shared" si="21"/>
        <v>25018949.399999999</v>
      </c>
      <c r="K487" s="4">
        <v>31.991977689999999</v>
      </c>
      <c r="M487" s="12">
        <f t="shared" si="20"/>
        <v>0</v>
      </c>
      <c r="O487" s="4">
        <v>0</v>
      </c>
      <c r="Q487" s="4">
        <v>1</v>
      </c>
      <c r="R487" s="18" t="s">
        <v>129</v>
      </c>
      <c r="S487" s="8" t="s">
        <v>130</v>
      </c>
      <c r="T487" s="8" t="s">
        <v>130</v>
      </c>
      <c r="U487" s="8" t="s">
        <v>130</v>
      </c>
      <c r="V487" s="8" t="s">
        <v>130</v>
      </c>
      <c r="W487" s="8" t="s">
        <v>130</v>
      </c>
    </row>
    <row r="488" spans="1:23" x14ac:dyDescent="0.35">
      <c r="A488" s="5" t="s">
        <v>83</v>
      </c>
      <c r="B488" s="4">
        <v>95</v>
      </c>
      <c r="C488" s="15">
        <v>0</v>
      </c>
      <c r="D488" s="17">
        <f t="shared" si="22"/>
        <v>0</v>
      </c>
      <c r="E488" s="6">
        <v>0</v>
      </c>
      <c r="F488" s="6">
        <v>0.05</v>
      </c>
      <c r="G488" s="9">
        <v>5</v>
      </c>
      <c r="H488" s="7">
        <v>2011</v>
      </c>
      <c r="I488" s="13">
        <v>19.95902311</v>
      </c>
      <c r="J488" s="2">
        <f t="shared" si="21"/>
        <v>19959023.109999999</v>
      </c>
      <c r="K488" s="4">
        <v>29.67317581</v>
      </c>
      <c r="L488" s="4">
        <v>236.30500000000001</v>
      </c>
      <c r="M488" s="12">
        <f t="shared" si="20"/>
        <v>236305000</v>
      </c>
      <c r="N488" s="4">
        <v>236.30500000000001</v>
      </c>
      <c r="O488" s="4">
        <v>57.805000000000007</v>
      </c>
      <c r="P488" s="4" t="s">
        <v>123</v>
      </c>
      <c r="Q488" s="4">
        <v>1</v>
      </c>
      <c r="R488" s="18" t="s">
        <v>111</v>
      </c>
      <c r="S488" s="8" t="s">
        <v>114</v>
      </c>
      <c r="T488" s="8" t="s">
        <v>115</v>
      </c>
      <c r="U488" s="8" t="s">
        <v>115</v>
      </c>
      <c r="V488" s="8" t="s">
        <v>113</v>
      </c>
      <c r="W488" s="8" t="s">
        <v>113</v>
      </c>
    </row>
    <row r="489" spans="1:23" x14ac:dyDescent="0.35">
      <c r="A489" s="5" t="s">
        <v>84</v>
      </c>
      <c r="B489" s="4">
        <v>96</v>
      </c>
      <c r="C489" s="15">
        <v>0</v>
      </c>
      <c r="D489" s="17">
        <f t="shared" si="22"/>
        <v>0</v>
      </c>
      <c r="E489" s="6">
        <v>0</v>
      </c>
      <c r="F489" s="6">
        <v>0.05</v>
      </c>
      <c r="G489" s="9">
        <v>5</v>
      </c>
      <c r="H489" s="7">
        <v>2011</v>
      </c>
      <c r="I489" s="13">
        <v>19.222279109999999</v>
      </c>
      <c r="J489" s="2">
        <f t="shared" si="21"/>
        <v>19222279.109999999</v>
      </c>
      <c r="K489" s="4">
        <v>36.65892839</v>
      </c>
      <c r="L489" s="4">
        <v>282.5</v>
      </c>
      <c r="M489" s="12">
        <f t="shared" si="20"/>
        <v>282500000</v>
      </c>
      <c r="N489" s="4">
        <v>282.5</v>
      </c>
      <c r="O489" s="4">
        <v>0</v>
      </c>
      <c r="P489" s="4" t="s">
        <v>123</v>
      </c>
      <c r="Q489" s="4">
        <v>1</v>
      </c>
      <c r="R489" s="18" t="s">
        <v>114</v>
      </c>
      <c r="S489" s="8" t="s">
        <v>114</v>
      </c>
      <c r="T489" s="8" t="s">
        <v>115</v>
      </c>
      <c r="U489" s="8" t="s">
        <v>115</v>
      </c>
      <c r="V489" s="8" t="s">
        <v>117</v>
      </c>
      <c r="W489" s="8" t="s">
        <v>117</v>
      </c>
    </row>
    <row r="490" spans="1:23" x14ac:dyDescent="0.35">
      <c r="A490" s="5" t="s">
        <v>85</v>
      </c>
      <c r="B490" s="4">
        <v>97</v>
      </c>
      <c r="C490" s="15">
        <v>0</v>
      </c>
      <c r="D490" s="17">
        <f t="shared" si="22"/>
        <v>0</v>
      </c>
      <c r="E490" s="6">
        <v>0</v>
      </c>
      <c r="F490" s="6">
        <v>0.05</v>
      </c>
      <c r="G490" s="9">
        <v>5</v>
      </c>
      <c r="H490" s="7">
        <v>2011</v>
      </c>
      <c r="I490" s="13">
        <v>21.78513766</v>
      </c>
      <c r="J490" s="2">
        <f t="shared" si="21"/>
        <v>21785137.66</v>
      </c>
      <c r="K490" s="4">
        <v>32.959737779999998</v>
      </c>
      <c r="L490" s="4">
        <v>201.34</v>
      </c>
      <c r="M490" s="12">
        <f t="shared" si="20"/>
        <v>201340000</v>
      </c>
      <c r="N490" s="4">
        <v>201.34</v>
      </c>
      <c r="O490" s="4">
        <v>201.34</v>
      </c>
      <c r="P490" s="4" t="s">
        <v>123</v>
      </c>
      <c r="Q490" s="4">
        <v>1</v>
      </c>
      <c r="R490" s="18" t="s">
        <v>112</v>
      </c>
      <c r="S490" s="8" t="s">
        <v>117</v>
      </c>
      <c r="T490" s="8" t="s">
        <v>115</v>
      </c>
      <c r="U490" s="8" t="s">
        <v>115</v>
      </c>
      <c r="V490" s="8" t="s">
        <v>112</v>
      </c>
      <c r="W490" s="8" t="s">
        <v>115</v>
      </c>
    </row>
    <row r="491" spans="1:23" x14ac:dyDescent="0.35">
      <c r="A491" s="5" t="s">
        <v>93</v>
      </c>
      <c r="B491" s="4">
        <v>98</v>
      </c>
      <c r="C491" s="15">
        <v>0</v>
      </c>
      <c r="D491" s="17">
        <f t="shared" si="22"/>
        <v>0</v>
      </c>
      <c r="E491" s="6">
        <v>0</v>
      </c>
      <c r="F491" s="6">
        <v>0.05</v>
      </c>
      <c r="G491" s="9">
        <v>5</v>
      </c>
      <c r="H491" s="7">
        <v>2011</v>
      </c>
      <c r="I491" s="13">
        <v>25.057044789999999</v>
      </c>
      <c r="J491" s="2">
        <f t="shared" si="21"/>
        <v>25057044.789999999</v>
      </c>
      <c r="K491" s="4">
        <v>31.831047529999999</v>
      </c>
      <c r="M491" s="12">
        <f t="shared" si="20"/>
        <v>0</v>
      </c>
      <c r="Q491" s="4">
        <v>1</v>
      </c>
      <c r="R491" s="18" t="s">
        <v>132</v>
      </c>
    </row>
    <row r="492" spans="1:23" x14ac:dyDescent="0.35">
      <c r="A492" s="5" t="s">
        <v>90</v>
      </c>
      <c r="B492" s="4">
        <v>1</v>
      </c>
      <c r="C492" s="15">
        <v>0</v>
      </c>
      <c r="D492" s="17">
        <f t="shared" si="22"/>
        <v>0</v>
      </c>
      <c r="E492" s="6">
        <v>0</v>
      </c>
      <c r="F492" s="6">
        <v>0.05</v>
      </c>
      <c r="G492" s="9">
        <v>6</v>
      </c>
      <c r="H492" s="7">
        <v>2014</v>
      </c>
      <c r="I492" s="13">
        <v>53.379037449999998</v>
      </c>
      <c r="J492" s="2">
        <f t="shared" si="21"/>
        <v>53379037.449999996</v>
      </c>
      <c r="K492" s="4">
        <v>12.367263579999999</v>
      </c>
      <c r="M492" s="12">
        <f t="shared" si="20"/>
        <v>0</v>
      </c>
      <c r="Q492" s="4">
        <v>1</v>
      </c>
      <c r="R492" s="18" t="s">
        <v>125</v>
      </c>
    </row>
    <row r="493" spans="1:23" x14ac:dyDescent="0.35">
      <c r="A493" s="5" t="s">
        <v>91</v>
      </c>
      <c r="B493" s="4">
        <v>2</v>
      </c>
      <c r="C493" s="15">
        <v>0</v>
      </c>
      <c r="D493" s="17">
        <f t="shared" si="22"/>
        <v>0</v>
      </c>
      <c r="E493" s="6">
        <v>0</v>
      </c>
      <c r="F493" s="6">
        <v>0.05</v>
      </c>
      <c r="G493" s="9">
        <v>6</v>
      </c>
      <c r="H493" s="7">
        <v>2014</v>
      </c>
      <c r="I493" s="13">
        <v>60.64243338</v>
      </c>
      <c r="J493" s="2">
        <f t="shared" si="21"/>
        <v>60642433.380000003</v>
      </c>
      <c r="K493" s="4">
        <v>18.47247363</v>
      </c>
      <c r="M493" s="12">
        <f t="shared" si="20"/>
        <v>0</v>
      </c>
      <c r="Q493" s="4">
        <v>1</v>
      </c>
      <c r="R493" s="18" t="s">
        <v>126</v>
      </c>
    </row>
    <row r="494" spans="1:23" x14ac:dyDescent="0.35">
      <c r="A494" s="5" t="s">
        <v>4</v>
      </c>
      <c r="B494" s="4">
        <v>3</v>
      </c>
      <c r="C494" s="15">
        <v>0</v>
      </c>
      <c r="D494" s="17">
        <f t="shared" si="22"/>
        <v>0</v>
      </c>
      <c r="E494" s="6">
        <v>0</v>
      </c>
      <c r="F494" s="6">
        <v>0.05</v>
      </c>
      <c r="G494" s="9">
        <v>6</v>
      </c>
      <c r="H494" s="7">
        <v>2014</v>
      </c>
      <c r="I494" s="13">
        <v>26.359596249999999</v>
      </c>
      <c r="J494" s="2">
        <f t="shared" si="21"/>
        <v>26359596.25</v>
      </c>
      <c r="K494" s="4">
        <v>6.0422323899999997</v>
      </c>
      <c r="L494" s="4">
        <v>247.26499999999999</v>
      </c>
      <c r="M494" s="12">
        <f t="shared" si="20"/>
        <v>247265000</v>
      </c>
      <c r="N494" s="4">
        <v>247.26499999999999</v>
      </c>
      <c r="O494" s="4">
        <v>184.26499999999999</v>
      </c>
      <c r="P494" s="4" t="s">
        <v>123</v>
      </c>
      <c r="Q494" s="4">
        <v>1</v>
      </c>
      <c r="R494" s="18" t="s">
        <v>111</v>
      </c>
      <c r="S494" s="8" t="s">
        <v>112</v>
      </c>
      <c r="T494" s="8" t="s">
        <v>112</v>
      </c>
      <c r="U494" s="8" t="s">
        <v>112</v>
      </c>
      <c r="V494" s="8" t="s">
        <v>112</v>
      </c>
      <c r="W494" s="8" t="s">
        <v>112</v>
      </c>
    </row>
    <row r="495" spans="1:23" x14ac:dyDescent="0.35">
      <c r="A495" s="5" t="s">
        <v>5</v>
      </c>
      <c r="B495" s="4">
        <v>4</v>
      </c>
      <c r="C495" s="15">
        <v>0</v>
      </c>
      <c r="D495" s="17">
        <f t="shared" si="22"/>
        <v>0</v>
      </c>
      <c r="E495" s="6">
        <v>0</v>
      </c>
      <c r="F495" s="6">
        <v>0.05</v>
      </c>
      <c r="G495" s="9">
        <v>6</v>
      </c>
      <c r="H495" s="7">
        <v>2014</v>
      </c>
      <c r="I495" s="13">
        <v>25.716824979999998</v>
      </c>
      <c r="J495" s="2">
        <f t="shared" si="21"/>
        <v>25716824.979999997</v>
      </c>
      <c r="K495" s="4">
        <v>5.7797178000000002</v>
      </c>
      <c r="L495" s="4">
        <v>428.9735</v>
      </c>
      <c r="M495" s="12">
        <f t="shared" si="20"/>
        <v>428973500</v>
      </c>
      <c r="N495" s="4">
        <v>428.9735</v>
      </c>
      <c r="O495" s="4">
        <v>428.9735</v>
      </c>
      <c r="P495" s="4" t="s">
        <v>123</v>
      </c>
      <c r="Q495" s="4">
        <v>1</v>
      </c>
      <c r="R495" s="18" t="s">
        <v>113</v>
      </c>
      <c r="S495" s="8" t="s">
        <v>114</v>
      </c>
      <c r="T495" s="8" t="s">
        <v>112</v>
      </c>
      <c r="U495" s="8" t="s">
        <v>115</v>
      </c>
      <c r="V495" s="8" t="s">
        <v>112</v>
      </c>
      <c r="W495" s="8" t="s">
        <v>115</v>
      </c>
    </row>
    <row r="496" spans="1:23" x14ac:dyDescent="0.35">
      <c r="A496" s="5" t="s">
        <v>6</v>
      </c>
      <c r="B496" s="4">
        <v>5</v>
      </c>
      <c r="C496" s="15">
        <v>0</v>
      </c>
      <c r="D496" s="17">
        <f t="shared" si="22"/>
        <v>0</v>
      </c>
      <c r="E496" s="6">
        <v>0</v>
      </c>
      <c r="F496" s="6">
        <v>0.05</v>
      </c>
      <c r="G496" s="9">
        <v>6</v>
      </c>
      <c r="H496" s="7">
        <v>2014</v>
      </c>
      <c r="I496" s="13">
        <v>22.438200089999999</v>
      </c>
      <c r="J496" s="2">
        <f t="shared" si="21"/>
        <v>22438200.09</v>
      </c>
      <c r="K496" s="4">
        <v>6.58995336</v>
      </c>
      <c r="L496" s="4">
        <v>78.174000000000007</v>
      </c>
      <c r="M496" s="12">
        <f t="shared" si="20"/>
        <v>78174000</v>
      </c>
      <c r="N496" s="4">
        <v>78.174000000000007</v>
      </c>
      <c r="O496" s="4">
        <v>43.207000000000008</v>
      </c>
      <c r="P496" s="4" t="s">
        <v>123</v>
      </c>
      <c r="Q496" s="4">
        <v>1</v>
      </c>
      <c r="R496" s="18" t="s">
        <v>113</v>
      </c>
      <c r="S496" s="8" t="s">
        <v>116</v>
      </c>
      <c r="T496" s="8" t="s">
        <v>116</v>
      </c>
      <c r="U496" s="8" t="s">
        <v>116</v>
      </c>
      <c r="V496" s="8" t="s">
        <v>115</v>
      </c>
      <c r="W496" s="8" t="s">
        <v>114</v>
      </c>
    </row>
    <row r="497" spans="1:23" x14ac:dyDescent="0.35">
      <c r="A497" s="5" t="s">
        <v>7</v>
      </c>
      <c r="B497" s="4">
        <v>6</v>
      </c>
      <c r="C497" s="15">
        <v>0</v>
      </c>
      <c r="D497" s="17">
        <f t="shared" si="22"/>
        <v>0</v>
      </c>
      <c r="E497" s="6">
        <v>0</v>
      </c>
      <c r="F497" s="6">
        <v>0.05</v>
      </c>
      <c r="G497" s="9">
        <v>6</v>
      </c>
      <c r="H497" s="7">
        <v>2014</v>
      </c>
      <c r="I497" s="13">
        <v>22.021775300000002</v>
      </c>
      <c r="J497" s="2">
        <f t="shared" si="21"/>
        <v>22021775.300000001</v>
      </c>
      <c r="K497" s="4">
        <v>6.9791114199999997</v>
      </c>
      <c r="L497" s="4">
        <v>79.25</v>
      </c>
      <c r="M497" s="12">
        <f t="shared" si="20"/>
        <v>79250000</v>
      </c>
      <c r="N497" s="4">
        <v>79.25</v>
      </c>
      <c r="O497" s="4">
        <v>72.05</v>
      </c>
      <c r="P497" s="4" t="s">
        <v>123</v>
      </c>
      <c r="Q497" s="4">
        <v>1</v>
      </c>
      <c r="R497" s="18" t="s">
        <v>112</v>
      </c>
      <c r="S497" s="8" t="s">
        <v>112</v>
      </c>
      <c r="T497" s="8" t="s">
        <v>117</v>
      </c>
      <c r="U497" s="8" t="s">
        <v>117</v>
      </c>
      <c r="V497" s="8" t="s">
        <v>117</v>
      </c>
      <c r="W497" s="8" t="s">
        <v>117</v>
      </c>
    </row>
    <row r="498" spans="1:23" x14ac:dyDescent="0.35">
      <c r="A498" s="5" t="s">
        <v>8</v>
      </c>
      <c r="B498" s="4">
        <v>7</v>
      </c>
      <c r="C498" s="15">
        <v>0</v>
      </c>
      <c r="D498" s="17">
        <f t="shared" si="22"/>
        <v>0</v>
      </c>
      <c r="E498" s="6">
        <v>0</v>
      </c>
      <c r="F498" s="6">
        <v>0.05</v>
      </c>
      <c r="G498" s="9">
        <v>6</v>
      </c>
      <c r="H498" s="7">
        <v>2014</v>
      </c>
      <c r="I498" s="13">
        <v>19.531613239999999</v>
      </c>
      <c r="J498" s="2">
        <f t="shared" si="21"/>
        <v>19531613.239999998</v>
      </c>
      <c r="K498" s="4">
        <v>6.31497683</v>
      </c>
      <c r="L498" s="4">
        <v>183.96350000000001</v>
      </c>
      <c r="M498" s="12">
        <f t="shared" si="20"/>
        <v>183963500</v>
      </c>
      <c r="N498" s="4">
        <v>183.96350000000001</v>
      </c>
      <c r="O498" s="4">
        <v>0</v>
      </c>
      <c r="P498" s="4" t="s">
        <v>123</v>
      </c>
      <c r="Q498" s="4">
        <v>1</v>
      </c>
      <c r="R498" s="18" t="s">
        <v>114</v>
      </c>
      <c r="S498" s="8" t="s">
        <v>117</v>
      </c>
      <c r="T498" s="8" t="s">
        <v>115</v>
      </c>
      <c r="U498" s="8" t="s">
        <v>115</v>
      </c>
      <c r="V498" s="8" t="s">
        <v>115</v>
      </c>
      <c r="W498" s="8" t="s">
        <v>114</v>
      </c>
    </row>
    <row r="499" spans="1:23" x14ac:dyDescent="0.35">
      <c r="A499" s="5" t="s">
        <v>9</v>
      </c>
      <c r="B499" s="4">
        <v>8</v>
      </c>
      <c r="C499" s="15">
        <v>0</v>
      </c>
      <c r="D499" s="17">
        <f t="shared" si="22"/>
        <v>0</v>
      </c>
      <c r="E499" s="6">
        <v>0</v>
      </c>
      <c r="F499" s="6">
        <v>0.05</v>
      </c>
      <c r="G499" s="9">
        <v>6</v>
      </c>
      <c r="H499" s="7">
        <v>2014</v>
      </c>
      <c r="I499" s="13">
        <v>24.37035148</v>
      </c>
      <c r="J499" s="2">
        <f t="shared" si="21"/>
        <v>24370351.48</v>
      </c>
      <c r="K499" s="4">
        <v>5.7821483999999996</v>
      </c>
      <c r="L499" s="4">
        <v>135.70699999999999</v>
      </c>
      <c r="M499" s="12">
        <f t="shared" si="20"/>
        <v>135707000</v>
      </c>
      <c r="N499" s="4">
        <v>135.70699999999999</v>
      </c>
      <c r="O499" s="4">
        <v>135.70699999999999</v>
      </c>
      <c r="P499" s="4" t="s">
        <v>123</v>
      </c>
      <c r="Q499" s="4">
        <v>1</v>
      </c>
      <c r="R499" s="18" t="s">
        <v>111</v>
      </c>
      <c r="S499" s="8" t="s">
        <v>114</v>
      </c>
      <c r="T499" s="8" t="s">
        <v>113</v>
      </c>
      <c r="U499" s="8" t="s">
        <v>115</v>
      </c>
      <c r="V499" s="8" t="s">
        <v>113</v>
      </c>
      <c r="W499" s="8" t="s">
        <v>115</v>
      </c>
    </row>
    <row r="500" spans="1:23" x14ac:dyDescent="0.35">
      <c r="A500" s="5" t="s">
        <v>10</v>
      </c>
      <c r="B500" s="4">
        <v>9</v>
      </c>
      <c r="C500" s="15">
        <v>0</v>
      </c>
      <c r="D500" s="17">
        <f t="shared" si="22"/>
        <v>0</v>
      </c>
      <c r="E500" s="6">
        <v>0</v>
      </c>
      <c r="F500" s="6">
        <v>0.05</v>
      </c>
      <c r="G500" s="9">
        <v>6</v>
      </c>
      <c r="H500" s="7">
        <v>2014</v>
      </c>
      <c r="I500" s="13">
        <v>20.416995289999999</v>
      </c>
      <c r="J500" s="2">
        <f t="shared" si="21"/>
        <v>20416995.289999999</v>
      </c>
      <c r="K500" s="4">
        <v>5.9186072000000003</v>
      </c>
      <c r="L500" s="4">
        <v>60.95</v>
      </c>
      <c r="M500" s="12">
        <f t="shared" si="20"/>
        <v>60950000</v>
      </c>
      <c r="N500" s="4">
        <v>60.95</v>
      </c>
      <c r="O500" s="4">
        <v>60.95</v>
      </c>
      <c r="P500" s="4" t="s">
        <v>123</v>
      </c>
      <c r="Q500" s="4">
        <v>1</v>
      </c>
      <c r="R500" s="18" t="s">
        <v>114</v>
      </c>
      <c r="S500" s="8" t="s">
        <v>117</v>
      </c>
      <c r="T500" s="8" t="s">
        <v>115</v>
      </c>
      <c r="U500" s="8" t="s">
        <v>115</v>
      </c>
      <c r="V500" s="8" t="s">
        <v>114</v>
      </c>
      <c r="W500" s="8" t="s">
        <v>115</v>
      </c>
    </row>
    <row r="501" spans="1:23" x14ac:dyDescent="0.35">
      <c r="A501" s="5" t="s">
        <v>11</v>
      </c>
      <c r="B501" s="4">
        <v>10</v>
      </c>
      <c r="C501" s="15">
        <v>0</v>
      </c>
      <c r="D501" s="17">
        <f t="shared" si="22"/>
        <v>0</v>
      </c>
      <c r="E501" s="6">
        <v>0</v>
      </c>
      <c r="F501" s="6">
        <v>0.05</v>
      </c>
      <c r="G501" s="9">
        <v>6</v>
      </c>
      <c r="H501" s="7">
        <v>2014</v>
      </c>
      <c r="I501" s="13">
        <v>19.78337045</v>
      </c>
      <c r="J501" s="2">
        <f t="shared" si="21"/>
        <v>19783370.449999999</v>
      </c>
      <c r="K501" s="4">
        <v>6.1655726199999998</v>
      </c>
      <c r="L501" s="4">
        <v>67.5</v>
      </c>
      <c r="M501" s="12">
        <f t="shared" si="20"/>
        <v>67500000</v>
      </c>
      <c r="N501" s="4">
        <v>67.5</v>
      </c>
      <c r="O501" s="4">
        <v>0</v>
      </c>
      <c r="P501" s="4" t="s">
        <v>123</v>
      </c>
      <c r="Q501" s="4">
        <v>1</v>
      </c>
      <c r="R501" s="18" t="s">
        <v>117</v>
      </c>
      <c r="S501" s="8" t="s">
        <v>117</v>
      </c>
      <c r="T501" s="8" t="s">
        <v>115</v>
      </c>
      <c r="U501" s="8" t="s">
        <v>115</v>
      </c>
      <c r="V501" s="8" t="s">
        <v>115</v>
      </c>
      <c r="W501" s="8" t="s">
        <v>117</v>
      </c>
    </row>
    <row r="502" spans="1:23" x14ac:dyDescent="0.35">
      <c r="A502" s="5" t="s">
        <v>12</v>
      </c>
      <c r="B502" s="4">
        <v>11</v>
      </c>
      <c r="C502" s="15">
        <v>0</v>
      </c>
      <c r="D502" s="17">
        <f t="shared" si="22"/>
        <v>0</v>
      </c>
      <c r="E502" s="6">
        <v>0</v>
      </c>
      <c r="F502" s="6">
        <v>0.05</v>
      </c>
      <c r="G502" s="9">
        <v>6</v>
      </c>
      <c r="H502" s="7">
        <v>2014</v>
      </c>
      <c r="I502" s="13">
        <v>21.598370299999999</v>
      </c>
      <c r="J502" s="2">
        <f t="shared" si="21"/>
        <v>21598370.300000001</v>
      </c>
      <c r="K502" s="4">
        <v>5.8060071999999998</v>
      </c>
      <c r="M502" s="12">
        <f t="shared" si="20"/>
        <v>0</v>
      </c>
      <c r="O502" s="4">
        <v>0</v>
      </c>
      <c r="Q502" s="4">
        <v>1</v>
      </c>
      <c r="R502" s="18" t="s">
        <v>134</v>
      </c>
      <c r="S502" s="8" t="s">
        <v>117</v>
      </c>
      <c r="T502" s="8" t="s">
        <v>117</v>
      </c>
      <c r="U502" s="8" t="s">
        <v>115</v>
      </c>
      <c r="V502" s="8" t="s">
        <v>115</v>
      </c>
      <c r="W502" s="8" t="s">
        <v>115</v>
      </c>
    </row>
    <row r="503" spans="1:23" x14ac:dyDescent="0.35">
      <c r="A503" s="5" t="s">
        <v>98</v>
      </c>
      <c r="B503" s="4">
        <v>12</v>
      </c>
      <c r="C503" s="15">
        <v>0</v>
      </c>
      <c r="D503" s="17">
        <f t="shared" si="22"/>
        <v>0</v>
      </c>
      <c r="E503" s="6">
        <v>0</v>
      </c>
      <c r="F503" s="6">
        <v>0.05</v>
      </c>
      <c r="G503" s="9">
        <v>6</v>
      </c>
      <c r="H503" s="7">
        <v>2014</v>
      </c>
      <c r="I503" s="13">
        <v>17.430372980000001</v>
      </c>
      <c r="J503" s="2">
        <f t="shared" si="21"/>
        <v>17430372.98</v>
      </c>
      <c r="K503" s="4">
        <v>7.1700217799999999</v>
      </c>
      <c r="M503" s="12">
        <f t="shared" si="20"/>
        <v>0</v>
      </c>
      <c r="O503" s="4">
        <v>0</v>
      </c>
      <c r="Q503" s="4">
        <v>1</v>
      </c>
      <c r="R503" s="18" t="s">
        <v>128</v>
      </c>
      <c r="S503" s="8" t="s">
        <v>115</v>
      </c>
      <c r="T503" s="8" t="s">
        <v>115</v>
      </c>
      <c r="U503" s="8" t="s">
        <v>115</v>
      </c>
      <c r="V503" s="8" t="s">
        <v>115</v>
      </c>
      <c r="W503" s="8" t="s">
        <v>115</v>
      </c>
    </row>
    <row r="504" spans="1:23" x14ac:dyDescent="0.35">
      <c r="A504" s="5" t="s">
        <v>13</v>
      </c>
      <c r="B504" s="4">
        <v>13</v>
      </c>
      <c r="C504" s="15">
        <v>0</v>
      </c>
      <c r="D504" s="17">
        <f t="shared" si="22"/>
        <v>0</v>
      </c>
      <c r="E504" s="6">
        <v>0</v>
      </c>
      <c r="F504" s="6">
        <v>0.05</v>
      </c>
      <c r="G504" s="9">
        <v>6</v>
      </c>
      <c r="H504" s="7">
        <v>2014</v>
      </c>
      <c r="I504" s="13">
        <v>26.290074130000001</v>
      </c>
      <c r="J504" s="2">
        <f t="shared" si="21"/>
        <v>26290074.129999999</v>
      </c>
      <c r="K504" s="4">
        <v>7.40873838</v>
      </c>
      <c r="L504" s="4">
        <v>174.39099999999999</v>
      </c>
      <c r="M504" s="12">
        <f t="shared" si="20"/>
        <v>174391000</v>
      </c>
      <c r="N504" s="4">
        <v>174.39099999999999</v>
      </c>
      <c r="O504" s="4">
        <v>174.39099999999999</v>
      </c>
      <c r="P504" s="4" t="s">
        <v>123</v>
      </c>
      <c r="Q504" s="4">
        <v>1</v>
      </c>
      <c r="R504" s="18" t="s">
        <v>111</v>
      </c>
      <c r="S504" s="8" t="s">
        <v>117</v>
      </c>
      <c r="T504" s="8" t="s">
        <v>115</v>
      </c>
      <c r="U504" s="8" t="s">
        <v>115</v>
      </c>
      <c r="V504" s="8" t="s">
        <v>111</v>
      </c>
      <c r="W504" s="8" t="s">
        <v>115</v>
      </c>
    </row>
    <row r="505" spans="1:23" x14ac:dyDescent="0.35">
      <c r="A505" s="5" t="s">
        <v>14</v>
      </c>
      <c r="B505" s="4">
        <v>14</v>
      </c>
      <c r="C505" s="15">
        <v>0</v>
      </c>
      <c r="D505" s="17">
        <f t="shared" si="22"/>
        <v>0</v>
      </c>
      <c r="E505" s="6">
        <v>0</v>
      </c>
      <c r="F505" s="6">
        <v>0.05</v>
      </c>
      <c r="G505" s="9">
        <v>6</v>
      </c>
      <c r="H505" s="7">
        <v>2014</v>
      </c>
      <c r="I505" s="13">
        <v>21.239304730000001</v>
      </c>
      <c r="J505" s="2">
        <f t="shared" si="21"/>
        <v>21239304.73</v>
      </c>
      <c r="K505" s="4">
        <v>7.4345052799999998</v>
      </c>
      <c r="L505" s="4">
        <v>72.444000000000003</v>
      </c>
      <c r="M505" s="12">
        <f t="shared" si="20"/>
        <v>72444000</v>
      </c>
      <c r="N505" s="4">
        <v>72.444000000000003</v>
      </c>
      <c r="O505" s="4">
        <v>4.0000000000048885E-3</v>
      </c>
      <c r="P505" s="4" t="s">
        <v>123</v>
      </c>
      <c r="Q505" s="4">
        <v>1</v>
      </c>
      <c r="R505" s="18" t="s">
        <v>113</v>
      </c>
      <c r="S505" s="8" t="s">
        <v>117</v>
      </c>
      <c r="T505" s="8" t="s">
        <v>115</v>
      </c>
      <c r="U505" s="8" t="s">
        <v>115</v>
      </c>
      <c r="V505" s="8" t="s">
        <v>115</v>
      </c>
      <c r="W505" s="8" t="s">
        <v>113</v>
      </c>
    </row>
    <row r="506" spans="1:23" x14ac:dyDescent="0.35">
      <c r="A506" s="5" t="s">
        <v>15</v>
      </c>
      <c r="B506" s="4">
        <v>15</v>
      </c>
      <c r="C506" s="15">
        <v>0</v>
      </c>
      <c r="D506" s="17">
        <f t="shared" si="22"/>
        <v>0</v>
      </c>
      <c r="E506" s="6">
        <v>0</v>
      </c>
      <c r="F506" s="6">
        <v>0.05</v>
      </c>
      <c r="G506" s="9">
        <v>6</v>
      </c>
      <c r="H506" s="7">
        <v>2014</v>
      </c>
      <c r="I506" s="13">
        <v>19.95032286</v>
      </c>
      <c r="J506" s="2">
        <f t="shared" si="21"/>
        <v>19950322.859999999</v>
      </c>
      <c r="K506" s="4">
        <v>6.4879516400000004</v>
      </c>
      <c r="L506" s="4">
        <v>49.615000000000002</v>
      </c>
      <c r="M506" s="12">
        <f t="shared" si="20"/>
        <v>49615000</v>
      </c>
      <c r="N506" s="4">
        <v>49.615000000000002</v>
      </c>
      <c r="O506" s="4">
        <v>-4.9999999999954525E-3</v>
      </c>
      <c r="P506" s="4" t="s">
        <v>123</v>
      </c>
      <c r="Q506" s="4">
        <v>1</v>
      </c>
      <c r="R506" s="18" t="s">
        <v>112</v>
      </c>
      <c r="S506" s="8" t="s">
        <v>117</v>
      </c>
      <c r="T506" s="8" t="s">
        <v>115</v>
      </c>
      <c r="U506" s="8" t="s">
        <v>115</v>
      </c>
      <c r="V506" s="8" t="s">
        <v>115</v>
      </c>
      <c r="W506" s="8" t="s">
        <v>112</v>
      </c>
    </row>
    <row r="507" spans="1:23" x14ac:dyDescent="0.35">
      <c r="A507" s="5" t="s">
        <v>16</v>
      </c>
      <c r="B507" s="4">
        <v>16</v>
      </c>
      <c r="C507" s="15">
        <v>0</v>
      </c>
      <c r="D507" s="17">
        <f t="shared" si="22"/>
        <v>0</v>
      </c>
      <c r="E507" s="6">
        <v>0</v>
      </c>
      <c r="F507" s="6">
        <v>0.05</v>
      </c>
      <c r="G507" s="9">
        <v>6</v>
      </c>
      <c r="H507" s="7">
        <v>2014</v>
      </c>
      <c r="I507" s="13">
        <v>26.233346529999999</v>
      </c>
      <c r="J507" s="2">
        <f t="shared" si="21"/>
        <v>26233346.529999997</v>
      </c>
      <c r="K507" s="4">
        <v>6.5738572499999997</v>
      </c>
      <c r="L507" s="4">
        <v>136.35</v>
      </c>
      <c r="M507" s="12">
        <f t="shared" si="20"/>
        <v>136350000</v>
      </c>
      <c r="N507" s="4">
        <v>136.35</v>
      </c>
      <c r="O507" s="4">
        <v>100.8</v>
      </c>
      <c r="P507" s="4" t="s">
        <v>123</v>
      </c>
      <c r="Q507" s="4">
        <v>1</v>
      </c>
      <c r="R507" s="18" t="s">
        <v>113</v>
      </c>
      <c r="S507" s="8" t="s">
        <v>112</v>
      </c>
      <c r="T507" s="8" t="s">
        <v>114</v>
      </c>
      <c r="U507" s="8" t="s">
        <v>114</v>
      </c>
      <c r="V507" s="8" t="s">
        <v>114</v>
      </c>
      <c r="W507" s="8" t="s">
        <v>114</v>
      </c>
    </row>
    <row r="508" spans="1:23" x14ac:dyDescent="0.35">
      <c r="A508" s="5" t="s">
        <v>17</v>
      </c>
      <c r="B508" s="4">
        <v>17</v>
      </c>
      <c r="C508" s="15">
        <v>0</v>
      </c>
      <c r="D508" s="17">
        <f t="shared" si="22"/>
        <v>0</v>
      </c>
      <c r="E508" s="6">
        <v>0</v>
      </c>
      <c r="F508" s="6">
        <v>0.05</v>
      </c>
      <c r="G508" s="9">
        <v>6</v>
      </c>
      <c r="H508" s="7">
        <v>2014</v>
      </c>
      <c r="I508" s="13">
        <v>21.40376178</v>
      </c>
      <c r="J508" s="2">
        <f t="shared" si="21"/>
        <v>21403761.780000001</v>
      </c>
      <c r="K508" s="4">
        <v>7.9093937099999998</v>
      </c>
      <c r="L508" s="4">
        <v>13.8</v>
      </c>
      <c r="M508" s="12">
        <f t="shared" si="20"/>
        <v>13800000</v>
      </c>
      <c r="N508" s="4">
        <v>13.8</v>
      </c>
      <c r="O508" s="4">
        <v>13.8</v>
      </c>
      <c r="P508" s="4" t="s">
        <v>123</v>
      </c>
      <c r="Q508" s="4">
        <v>1</v>
      </c>
      <c r="R508" s="18" t="s">
        <v>117</v>
      </c>
      <c r="S508" s="8" t="s">
        <v>117</v>
      </c>
      <c r="T508" s="8" t="s">
        <v>115</v>
      </c>
      <c r="U508" s="8" t="s">
        <v>115</v>
      </c>
      <c r="V508" s="8" t="s">
        <v>117</v>
      </c>
      <c r="W508" s="8" t="s">
        <v>115</v>
      </c>
    </row>
    <row r="509" spans="1:23" x14ac:dyDescent="0.35">
      <c r="A509" s="5" t="s">
        <v>18</v>
      </c>
      <c r="B509" s="4">
        <v>18</v>
      </c>
      <c r="C509" s="15">
        <v>0</v>
      </c>
      <c r="D509" s="17">
        <f t="shared" si="22"/>
        <v>0</v>
      </c>
      <c r="E509" s="6">
        <v>0</v>
      </c>
      <c r="F509" s="6">
        <v>0.05</v>
      </c>
      <c r="G509" s="9">
        <v>6</v>
      </c>
      <c r="H509" s="7">
        <v>2014</v>
      </c>
      <c r="I509" s="13">
        <v>24.04075482</v>
      </c>
      <c r="J509" s="2">
        <f t="shared" si="21"/>
        <v>24040754.82</v>
      </c>
      <c r="K509" s="4">
        <v>7.3088906500000004</v>
      </c>
      <c r="L509" s="4">
        <v>84.538499999999999</v>
      </c>
      <c r="M509" s="12">
        <f t="shared" si="20"/>
        <v>84538500</v>
      </c>
      <c r="N509" s="4">
        <v>84.538499999999999</v>
      </c>
      <c r="O509" s="4">
        <v>84.538499999999999</v>
      </c>
      <c r="P509" s="4" t="s">
        <v>123</v>
      </c>
      <c r="Q509" s="4">
        <v>1</v>
      </c>
      <c r="R509" s="18" t="s">
        <v>114</v>
      </c>
      <c r="S509" s="8" t="s">
        <v>114</v>
      </c>
      <c r="T509" s="8" t="s">
        <v>117</v>
      </c>
      <c r="U509" s="8" t="s">
        <v>117</v>
      </c>
      <c r="V509" s="8" t="s">
        <v>115</v>
      </c>
      <c r="W509" s="8" t="s">
        <v>115</v>
      </c>
    </row>
    <row r="510" spans="1:23" x14ac:dyDescent="0.35">
      <c r="A510" s="5" t="s">
        <v>19</v>
      </c>
      <c r="B510" s="4">
        <v>19</v>
      </c>
      <c r="C510" s="15">
        <v>0</v>
      </c>
      <c r="D510" s="17">
        <f t="shared" si="22"/>
        <v>0</v>
      </c>
      <c r="E510" s="6">
        <v>0</v>
      </c>
      <c r="F510" s="6">
        <v>0.05</v>
      </c>
      <c r="G510" s="9">
        <v>6</v>
      </c>
      <c r="H510" s="7">
        <v>2014</v>
      </c>
      <c r="I510" s="13">
        <v>22.216860929999999</v>
      </c>
      <c r="J510" s="2">
        <f t="shared" si="21"/>
        <v>22216860.93</v>
      </c>
      <c r="K510" s="4">
        <v>7.2305777600000001</v>
      </c>
      <c r="L510" s="4">
        <v>95.001000000000005</v>
      </c>
      <c r="M510" s="12">
        <f t="shared" si="20"/>
        <v>95001000</v>
      </c>
      <c r="N510" s="4">
        <v>95.001000000000005</v>
      </c>
      <c r="O510" s="4">
        <v>95.001000000000005</v>
      </c>
      <c r="P510" s="4" t="s">
        <v>123</v>
      </c>
      <c r="Q510" s="4">
        <v>1</v>
      </c>
      <c r="R510" s="18" t="s">
        <v>114</v>
      </c>
      <c r="S510" s="8" t="s">
        <v>114</v>
      </c>
      <c r="T510" s="8" t="s">
        <v>117</v>
      </c>
      <c r="U510" s="8" t="s">
        <v>115</v>
      </c>
      <c r="V510" s="8" t="s">
        <v>117</v>
      </c>
      <c r="W510" s="8" t="s">
        <v>115</v>
      </c>
    </row>
    <row r="511" spans="1:23" x14ac:dyDescent="0.35">
      <c r="A511" s="5" t="s">
        <v>20</v>
      </c>
      <c r="B511" s="4">
        <v>20</v>
      </c>
      <c r="C511" s="15">
        <v>0</v>
      </c>
      <c r="D511" s="17">
        <f t="shared" si="22"/>
        <v>0</v>
      </c>
      <c r="E511" s="6">
        <v>0</v>
      </c>
      <c r="F511" s="6">
        <v>0.05</v>
      </c>
      <c r="G511" s="9">
        <v>6</v>
      </c>
      <c r="H511" s="7">
        <v>2014</v>
      </c>
      <c r="I511" s="13">
        <v>22.74354967</v>
      </c>
      <c r="J511" s="2">
        <f t="shared" si="21"/>
        <v>22743549.670000002</v>
      </c>
      <c r="K511" s="4">
        <v>7.5379867599999999</v>
      </c>
      <c r="L511" s="4">
        <v>57.5</v>
      </c>
      <c r="M511" s="12">
        <f t="shared" si="20"/>
        <v>57500000</v>
      </c>
      <c r="N511" s="4">
        <v>57.5</v>
      </c>
      <c r="O511" s="4">
        <v>57.5</v>
      </c>
      <c r="P511" s="4" t="s">
        <v>123</v>
      </c>
      <c r="Q511" s="4">
        <v>1</v>
      </c>
      <c r="R511" s="18" t="s">
        <v>117</v>
      </c>
      <c r="S511" s="8" t="s">
        <v>117</v>
      </c>
      <c r="T511" s="8" t="s">
        <v>115</v>
      </c>
      <c r="U511" s="8" t="s">
        <v>117</v>
      </c>
      <c r="V511" s="8" t="s">
        <v>115</v>
      </c>
      <c r="W511" s="8" t="s">
        <v>115</v>
      </c>
    </row>
    <row r="512" spans="1:23" x14ac:dyDescent="0.35">
      <c r="A512" s="5" t="s">
        <v>21</v>
      </c>
      <c r="B512" s="4">
        <v>21</v>
      </c>
      <c r="C512" s="15">
        <v>0</v>
      </c>
      <c r="D512" s="17">
        <f t="shared" si="22"/>
        <v>0</v>
      </c>
      <c r="E512" s="6">
        <v>0</v>
      </c>
      <c r="F512" s="6">
        <v>0.05</v>
      </c>
      <c r="G512" s="9">
        <v>6</v>
      </c>
      <c r="H512" s="7">
        <v>2014</v>
      </c>
      <c r="I512" s="13">
        <v>24.81147021</v>
      </c>
      <c r="J512" s="2">
        <f t="shared" si="21"/>
        <v>24811470.210000001</v>
      </c>
      <c r="K512" s="4">
        <v>7.3923211599999998</v>
      </c>
      <c r="L512" s="4">
        <v>149.84350000000001</v>
      </c>
      <c r="M512" s="12">
        <f t="shared" si="20"/>
        <v>149843500</v>
      </c>
      <c r="N512" s="4">
        <v>149.84350000000001</v>
      </c>
      <c r="O512" s="4">
        <v>149.84350000000001</v>
      </c>
      <c r="P512" s="4" t="s">
        <v>123</v>
      </c>
      <c r="Q512" s="4">
        <v>1</v>
      </c>
      <c r="R512" s="18" t="s">
        <v>112</v>
      </c>
      <c r="S512" s="8" t="s">
        <v>116</v>
      </c>
      <c r="T512" s="8" t="s">
        <v>114</v>
      </c>
      <c r="U512" s="8" t="s">
        <v>117</v>
      </c>
      <c r="V512" s="8" t="s">
        <v>117</v>
      </c>
      <c r="W512" s="8" t="s">
        <v>115</v>
      </c>
    </row>
    <row r="513" spans="1:23" x14ac:dyDescent="0.35">
      <c r="A513" s="5" t="s">
        <v>22</v>
      </c>
      <c r="B513" s="4">
        <v>22</v>
      </c>
      <c r="C513" s="15">
        <v>0</v>
      </c>
      <c r="D513" s="17">
        <f t="shared" si="22"/>
        <v>0</v>
      </c>
      <c r="E513" s="6">
        <v>0</v>
      </c>
      <c r="F513" s="6">
        <v>0.05</v>
      </c>
      <c r="G513" s="9">
        <v>6</v>
      </c>
      <c r="H513" s="7">
        <v>2014</v>
      </c>
      <c r="I513" s="13">
        <v>28.867345920000002</v>
      </c>
      <c r="J513" s="2">
        <f t="shared" si="21"/>
        <v>28867345.920000002</v>
      </c>
      <c r="K513" s="4">
        <v>7.8366131499999998</v>
      </c>
      <c r="L513" s="4">
        <v>318.64449999999999</v>
      </c>
      <c r="M513" s="12">
        <f t="shared" si="20"/>
        <v>318644500</v>
      </c>
      <c r="N513" s="4">
        <v>318.64449999999999</v>
      </c>
      <c r="O513" s="4">
        <v>285.15449999999998</v>
      </c>
      <c r="P513" s="4" t="s">
        <v>123</v>
      </c>
      <c r="Q513" s="4">
        <v>1</v>
      </c>
      <c r="R513" s="18" t="s">
        <v>111</v>
      </c>
      <c r="S513" s="8" t="s">
        <v>116</v>
      </c>
      <c r="T513" s="8" t="s">
        <v>115</v>
      </c>
      <c r="U513" s="8" t="s">
        <v>118</v>
      </c>
      <c r="V513" s="8" t="s">
        <v>119</v>
      </c>
      <c r="W513" s="8" t="s">
        <v>119</v>
      </c>
    </row>
    <row r="514" spans="1:23" x14ac:dyDescent="0.35">
      <c r="A514" s="5" t="s">
        <v>23</v>
      </c>
      <c r="B514" s="4">
        <v>23</v>
      </c>
      <c r="C514" s="15">
        <v>0</v>
      </c>
      <c r="D514" s="17">
        <f t="shared" si="22"/>
        <v>0</v>
      </c>
      <c r="E514" s="6">
        <v>0</v>
      </c>
      <c r="F514" s="6">
        <v>0.05</v>
      </c>
      <c r="G514" s="9">
        <v>6</v>
      </c>
      <c r="H514" s="7">
        <v>2014</v>
      </c>
      <c r="I514" s="13">
        <v>22.56952647</v>
      </c>
      <c r="J514" s="2">
        <f t="shared" si="21"/>
        <v>22569526.469999999</v>
      </c>
      <c r="K514" s="4">
        <v>8.1862387499999993</v>
      </c>
      <c r="L514" s="4">
        <v>85.608500000000006</v>
      </c>
      <c r="M514" s="12">
        <f t="shared" si="20"/>
        <v>85608500</v>
      </c>
      <c r="N514" s="4">
        <v>85.608500000000006</v>
      </c>
      <c r="O514" s="4">
        <v>85.608500000000006</v>
      </c>
      <c r="P514" s="4" t="s">
        <v>123</v>
      </c>
      <c r="Q514" s="4">
        <v>1</v>
      </c>
      <c r="R514" s="18" t="s">
        <v>112</v>
      </c>
      <c r="S514" s="8" t="s">
        <v>114</v>
      </c>
      <c r="T514" s="8" t="s">
        <v>114</v>
      </c>
      <c r="U514" s="8" t="s">
        <v>115</v>
      </c>
      <c r="V514" s="8" t="s">
        <v>114</v>
      </c>
      <c r="W514" s="8" t="s">
        <v>115</v>
      </c>
    </row>
    <row r="515" spans="1:23" x14ac:dyDescent="0.35">
      <c r="A515" s="5" t="s">
        <v>24</v>
      </c>
      <c r="B515" s="4">
        <v>24</v>
      </c>
      <c r="C515" s="15">
        <v>0</v>
      </c>
      <c r="D515" s="17">
        <f t="shared" si="22"/>
        <v>0</v>
      </c>
      <c r="E515" s="6">
        <v>0</v>
      </c>
      <c r="F515" s="6">
        <v>0.05</v>
      </c>
      <c r="G515" s="9">
        <v>6</v>
      </c>
      <c r="H515" s="7">
        <v>2014</v>
      </c>
      <c r="I515" s="13">
        <v>32.07547804</v>
      </c>
      <c r="J515" s="2">
        <f t="shared" si="21"/>
        <v>32075478.039999999</v>
      </c>
      <c r="K515" s="4">
        <v>8.5297872800000007</v>
      </c>
      <c r="L515" s="4">
        <v>407.50650000000002</v>
      </c>
      <c r="M515" s="12">
        <f t="shared" si="20"/>
        <v>407506500</v>
      </c>
      <c r="N515" s="4">
        <v>407.50650000000002</v>
      </c>
      <c r="O515" s="4">
        <v>361.86850000000004</v>
      </c>
      <c r="P515" s="4" t="s">
        <v>123</v>
      </c>
      <c r="Q515" s="4">
        <v>1</v>
      </c>
      <c r="R515" s="18" t="s">
        <v>120</v>
      </c>
      <c r="S515" s="8" t="s">
        <v>112</v>
      </c>
      <c r="T515" s="8" t="s">
        <v>111</v>
      </c>
      <c r="U515" s="8" t="s">
        <v>121</v>
      </c>
      <c r="V515" s="8" t="s">
        <v>122</v>
      </c>
      <c r="W515" s="8" t="s">
        <v>121</v>
      </c>
    </row>
    <row r="516" spans="1:23" x14ac:dyDescent="0.35">
      <c r="A516" s="5" t="s">
        <v>86</v>
      </c>
      <c r="B516" s="4">
        <v>25</v>
      </c>
      <c r="C516" s="15">
        <v>0</v>
      </c>
      <c r="D516" s="17">
        <f t="shared" si="22"/>
        <v>0</v>
      </c>
      <c r="E516" s="6">
        <v>0</v>
      </c>
      <c r="F516" s="6">
        <v>0.05</v>
      </c>
      <c r="G516" s="9">
        <v>6</v>
      </c>
      <c r="H516" s="7">
        <v>2014</v>
      </c>
      <c r="I516" s="13">
        <v>15.749087210000001</v>
      </c>
      <c r="J516" s="2">
        <f t="shared" si="21"/>
        <v>15749087.210000001</v>
      </c>
      <c r="K516" s="4">
        <v>6.8211672700000001</v>
      </c>
      <c r="M516" s="12">
        <f t="shared" si="20"/>
        <v>0</v>
      </c>
      <c r="O516" s="4">
        <v>0</v>
      </c>
      <c r="Q516" s="4">
        <v>1</v>
      </c>
      <c r="R516" s="18" t="s">
        <v>127</v>
      </c>
    </row>
    <row r="517" spans="1:23" x14ac:dyDescent="0.35">
      <c r="A517" s="5" t="s">
        <v>25</v>
      </c>
      <c r="B517" s="4">
        <v>26</v>
      </c>
      <c r="C517" s="15">
        <v>0</v>
      </c>
      <c r="D517" s="17">
        <f t="shared" si="22"/>
        <v>0</v>
      </c>
      <c r="E517" s="6">
        <v>0</v>
      </c>
      <c r="F517" s="6">
        <v>0.05</v>
      </c>
      <c r="G517" s="9">
        <v>6</v>
      </c>
      <c r="H517" s="7">
        <v>2014</v>
      </c>
      <c r="I517" s="13">
        <v>24.414984430000001</v>
      </c>
      <c r="J517" s="2">
        <f t="shared" si="21"/>
        <v>24414984.43</v>
      </c>
      <c r="K517" s="4">
        <v>7.0070329500000001</v>
      </c>
      <c r="L517" s="4">
        <v>197.30950000000001</v>
      </c>
      <c r="M517" s="12">
        <f t="shared" ref="M517:M580" si="23">L517*1000000</f>
        <v>197309500</v>
      </c>
      <c r="N517" s="4">
        <v>197.30950000000001</v>
      </c>
      <c r="O517" s="4">
        <v>190.0095</v>
      </c>
      <c r="P517" s="4" t="s">
        <v>123</v>
      </c>
      <c r="Q517" s="4">
        <v>1</v>
      </c>
      <c r="R517" s="18" t="s">
        <v>112</v>
      </c>
      <c r="S517" s="8" t="s">
        <v>112</v>
      </c>
      <c r="T517" s="8" t="s">
        <v>117</v>
      </c>
      <c r="U517" s="8" t="s">
        <v>117</v>
      </c>
      <c r="V517" s="8" t="s">
        <v>117</v>
      </c>
      <c r="W517" s="8" t="s">
        <v>117</v>
      </c>
    </row>
    <row r="518" spans="1:23" x14ac:dyDescent="0.35">
      <c r="A518" s="5" t="s">
        <v>26</v>
      </c>
      <c r="B518" s="4">
        <v>27</v>
      </c>
      <c r="C518" s="15">
        <v>0</v>
      </c>
      <c r="D518" s="17">
        <f t="shared" si="22"/>
        <v>0</v>
      </c>
      <c r="E518" s="6">
        <v>0</v>
      </c>
      <c r="F518" s="6">
        <v>0.05</v>
      </c>
      <c r="G518" s="9">
        <v>6</v>
      </c>
      <c r="H518" s="7">
        <v>2014</v>
      </c>
      <c r="I518" s="13">
        <v>25.302981450000001</v>
      </c>
      <c r="J518" s="2">
        <f t="shared" ref="J518:J581" si="24">I518*1000000</f>
        <v>25302981.449999999</v>
      </c>
      <c r="K518" s="4">
        <v>8.3562178599999992</v>
      </c>
      <c r="L518" s="4">
        <v>186.5</v>
      </c>
      <c r="M518" s="12">
        <f t="shared" si="23"/>
        <v>186500000</v>
      </c>
      <c r="N518" s="4">
        <v>186.5</v>
      </c>
      <c r="O518" s="4">
        <v>186.5</v>
      </c>
      <c r="P518" s="4" t="s">
        <v>123</v>
      </c>
      <c r="Q518" s="4">
        <v>1</v>
      </c>
      <c r="R518" s="18" t="s">
        <v>114</v>
      </c>
      <c r="S518" s="8" t="s">
        <v>117</v>
      </c>
      <c r="T518" s="8" t="s">
        <v>114</v>
      </c>
      <c r="U518" s="8" t="s">
        <v>115</v>
      </c>
      <c r="V518" s="8" t="s">
        <v>115</v>
      </c>
      <c r="W518" s="8" t="s">
        <v>115</v>
      </c>
    </row>
    <row r="519" spans="1:23" x14ac:dyDescent="0.35">
      <c r="A519" s="5" t="s">
        <v>27</v>
      </c>
      <c r="B519" s="4">
        <v>28</v>
      </c>
      <c r="C519" s="15">
        <v>0</v>
      </c>
      <c r="D519" s="17">
        <f t="shared" ref="D519:D582" si="25">C519*1000000</f>
        <v>0</v>
      </c>
      <c r="E519" s="6">
        <v>0</v>
      </c>
      <c r="F519" s="6">
        <v>0.05</v>
      </c>
      <c r="G519" s="9">
        <v>6</v>
      </c>
      <c r="H519" s="7">
        <v>2014</v>
      </c>
      <c r="I519" s="13">
        <v>31.254859509999999</v>
      </c>
      <c r="J519" s="2">
        <f t="shared" si="24"/>
        <v>31254859.509999998</v>
      </c>
      <c r="K519" s="4">
        <v>7.8667183300000003</v>
      </c>
      <c r="L519" s="4">
        <v>503.66399999999999</v>
      </c>
      <c r="M519" s="12">
        <f t="shared" si="23"/>
        <v>503664000</v>
      </c>
      <c r="N519" s="4">
        <v>503.66399999999999</v>
      </c>
      <c r="O519" s="4">
        <v>455.10399999999998</v>
      </c>
      <c r="P519" s="4" t="s">
        <v>123</v>
      </c>
      <c r="Q519" s="4">
        <v>1</v>
      </c>
      <c r="R519" s="18" t="s">
        <v>120</v>
      </c>
      <c r="S519" s="8" t="s">
        <v>112</v>
      </c>
      <c r="T519" s="8" t="s">
        <v>111</v>
      </c>
      <c r="U519" s="8" t="s">
        <v>121</v>
      </c>
      <c r="V519" s="8" t="s">
        <v>122</v>
      </c>
      <c r="W519" s="8" t="s">
        <v>121</v>
      </c>
    </row>
    <row r="520" spans="1:23" x14ac:dyDescent="0.35">
      <c r="A520" s="5" t="s">
        <v>28</v>
      </c>
      <c r="B520" s="4">
        <v>29</v>
      </c>
      <c r="C520" s="15">
        <v>0</v>
      </c>
      <c r="D520" s="17">
        <f t="shared" si="25"/>
        <v>0</v>
      </c>
      <c r="E520" s="6">
        <v>0</v>
      </c>
      <c r="F520" s="6">
        <v>0.05</v>
      </c>
      <c r="G520" s="9">
        <v>6</v>
      </c>
      <c r="H520" s="7">
        <v>2014</v>
      </c>
      <c r="I520" s="13">
        <v>19.85610732</v>
      </c>
      <c r="J520" s="2">
        <f t="shared" si="24"/>
        <v>19856107.32</v>
      </c>
      <c r="K520" s="4">
        <v>8.9839304299999991</v>
      </c>
      <c r="L520" s="4">
        <v>158.84800000000001</v>
      </c>
      <c r="M520" s="12">
        <f t="shared" si="23"/>
        <v>158848000</v>
      </c>
      <c r="N520" s="4">
        <v>158.84800000000001</v>
      </c>
      <c r="O520" s="4">
        <v>158.84800000000001</v>
      </c>
      <c r="P520" s="4" t="s">
        <v>123</v>
      </c>
      <c r="Q520" s="4">
        <v>1</v>
      </c>
      <c r="R520" s="18" t="s">
        <v>117</v>
      </c>
      <c r="S520" s="8" t="s">
        <v>117</v>
      </c>
      <c r="T520" s="8" t="s">
        <v>115</v>
      </c>
      <c r="U520" s="8" t="s">
        <v>115</v>
      </c>
      <c r="V520" s="8" t="s">
        <v>117</v>
      </c>
      <c r="W520" s="8" t="s">
        <v>115</v>
      </c>
    </row>
    <row r="521" spans="1:23" x14ac:dyDescent="0.35">
      <c r="A521" s="5" t="s">
        <v>29</v>
      </c>
      <c r="B521" s="4">
        <v>30</v>
      </c>
      <c r="C521" s="15">
        <v>0</v>
      </c>
      <c r="D521" s="17">
        <f t="shared" si="25"/>
        <v>0</v>
      </c>
      <c r="E521" s="6">
        <v>0</v>
      </c>
      <c r="F521" s="6">
        <v>0.05</v>
      </c>
      <c r="G521" s="9">
        <v>6</v>
      </c>
      <c r="H521" s="7">
        <v>2014</v>
      </c>
      <c r="I521" s="13">
        <v>22.31264028</v>
      </c>
      <c r="J521" s="2">
        <f t="shared" si="24"/>
        <v>22312640.280000001</v>
      </c>
      <c r="K521" s="4">
        <v>9.7860049</v>
      </c>
      <c r="L521" s="4">
        <v>106.15</v>
      </c>
      <c r="M521" s="12">
        <f t="shared" si="23"/>
        <v>106150000</v>
      </c>
      <c r="N521" s="4">
        <v>106.15</v>
      </c>
      <c r="O521" s="4">
        <v>106.15</v>
      </c>
      <c r="P521" s="4" t="s">
        <v>123</v>
      </c>
      <c r="Q521" s="4">
        <v>1</v>
      </c>
      <c r="R521" s="18" t="s">
        <v>117</v>
      </c>
      <c r="S521" s="8" t="s">
        <v>117</v>
      </c>
      <c r="T521" s="8" t="s">
        <v>117</v>
      </c>
      <c r="U521" s="8" t="s">
        <v>115</v>
      </c>
      <c r="V521" s="8" t="s">
        <v>115</v>
      </c>
      <c r="W521" s="8" t="s">
        <v>115</v>
      </c>
    </row>
    <row r="522" spans="1:23" x14ac:dyDescent="0.35">
      <c r="A522" s="5" t="s">
        <v>30</v>
      </c>
      <c r="B522" s="4">
        <v>31</v>
      </c>
      <c r="C522" s="15">
        <v>0</v>
      </c>
      <c r="D522" s="17">
        <f t="shared" si="25"/>
        <v>0</v>
      </c>
      <c r="E522" s="6">
        <v>0</v>
      </c>
      <c r="F522" s="6">
        <v>0.05</v>
      </c>
      <c r="G522" s="9">
        <v>6</v>
      </c>
      <c r="H522" s="7">
        <v>2014</v>
      </c>
      <c r="I522" s="13">
        <v>31.140866599999999</v>
      </c>
      <c r="J522" s="2">
        <f t="shared" si="24"/>
        <v>31140866.599999998</v>
      </c>
      <c r="K522" s="4">
        <v>11.93652191</v>
      </c>
      <c r="L522" s="4">
        <v>229.55</v>
      </c>
      <c r="M522" s="12">
        <f t="shared" si="23"/>
        <v>229550000</v>
      </c>
      <c r="N522" s="4">
        <v>229.55</v>
      </c>
      <c r="O522" s="4">
        <v>57.350000000000023</v>
      </c>
      <c r="P522" s="4" t="s">
        <v>123</v>
      </c>
      <c r="Q522" s="4">
        <v>1</v>
      </c>
      <c r="R522" s="18" t="s">
        <v>112</v>
      </c>
      <c r="S522" s="8" t="s">
        <v>114</v>
      </c>
      <c r="T522" s="8" t="s">
        <v>115</v>
      </c>
      <c r="U522" s="8" t="s">
        <v>114</v>
      </c>
      <c r="V522" s="8" t="s">
        <v>115</v>
      </c>
      <c r="W522" s="8" t="s">
        <v>114</v>
      </c>
    </row>
    <row r="523" spans="1:23" x14ac:dyDescent="0.35">
      <c r="A523" s="5" t="s">
        <v>99</v>
      </c>
      <c r="B523" s="4">
        <v>32</v>
      </c>
      <c r="C523" s="15">
        <v>0</v>
      </c>
      <c r="D523" s="17">
        <f t="shared" si="25"/>
        <v>0</v>
      </c>
      <c r="E523" s="6">
        <v>0</v>
      </c>
      <c r="F523" s="6">
        <v>0.05</v>
      </c>
      <c r="G523" s="9">
        <v>6</v>
      </c>
      <c r="H523" s="7">
        <v>2014</v>
      </c>
      <c r="I523" s="13">
        <v>23.325540889999999</v>
      </c>
      <c r="J523" s="2">
        <f t="shared" si="24"/>
        <v>23325540.890000001</v>
      </c>
      <c r="K523" s="4">
        <v>11.301358649999999</v>
      </c>
      <c r="M523" s="12">
        <f t="shared" si="23"/>
        <v>0</v>
      </c>
      <c r="O523" s="4">
        <v>0</v>
      </c>
      <c r="Q523" s="4">
        <v>1</v>
      </c>
      <c r="R523" s="18" t="s">
        <v>128</v>
      </c>
      <c r="S523" s="8" t="s">
        <v>115</v>
      </c>
      <c r="T523" s="8" t="s">
        <v>115</v>
      </c>
      <c r="U523" s="8" t="s">
        <v>115</v>
      </c>
      <c r="V523" s="8" t="s">
        <v>115</v>
      </c>
      <c r="W523" s="8" t="s">
        <v>115</v>
      </c>
    </row>
    <row r="524" spans="1:23" x14ac:dyDescent="0.35">
      <c r="A524" s="5" t="s">
        <v>31</v>
      </c>
      <c r="B524" s="4">
        <v>33</v>
      </c>
      <c r="C524" s="15">
        <v>0</v>
      </c>
      <c r="D524" s="17">
        <f t="shared" si="25"/>
        <v>0</v>
      </c>
      <c r="E524" s="6">
        <v>0</v>
      </c>
      <c r="F524" s="6">
        <v>0.05</v>
      </c>
      <c r="G524" s="9">
        <v>6</v>
      </c>
      <c r="H524" s="7">
        <v>2014</v>
      </c>
      <c r="I524" s="13">
        <v>28.682530289999999</v>
      </c>
      <c r="J524" s="2">
        <f t="shared" si="24"/>
        <v>28682530.289999999</v>
      </c>
      <c r="K524" s="4">
        <v>11.055023540000001</v>
      </c>
      <c r="L524" s="4">
        <v>107.45</v>
      </c>
      <c r="M524" s="12">
        <f t="shared" si="23"/>
        <v>107450000</v>
      </c>
      <c r="N524" s="4">
        <v>107.45</v>
      </c>
      <c r="O524" s="4">
        <v>107.45</v>
      </c>
      <c r="P524" s="4" t="s">
        <v>123</v>
      </c>
      <c r="Q524" s="4">
        <v>1</v>
      </c>
      <c r="R524" s="18" t="s">
        <v>114</v>
      </c>
      <c r="S524" s="8" t="s">
        <v>114</v>
      </c>
      <c r="T524" s="8" t="s">
        <v>115</v>
      </c>
      <c r="U524" s="8" t="s">
        <v>115</v>
      </c>
      <c r="V524" s="8" t="s">
        <v>117</v>
      </c>
      <c r="W524" s="8" t="s">
        <v>117</v>
      </c>
    </row>
    <row r="525" spans="1:23" x14ac:dyDescent="0.35">
      <c r="A525" s="5" t="s">
        <v>32</v>
      </c>
      <c r="B525" s="4">
        <v>34</v>
      </c>
      <c r="C525" s="15">
        <v>0</v>
      </c>
      <c r="D525" s="17">
        <f t="shared" si="25"/>
        <v>0</v>
      </c>
      <c r="E525" s="6">
        <v>0</v>
      </c>
      <c r="F525" s="6">
        <v>0.05</v>
      </c>
      <c r="G525" s="9">
        <v>6</v>
      </c>
      <c r="H525" s="7">
        <v>2014</v>
      </c>
      <c r="I525" s="13">
        <v>32.367889429999998</v>
      </c>
      <c r="J525" s="2">
        <f t="shared" si="24"/>
        <v>32367889.43</v>
      </c>
      <c r="K525" s="4">
        <v>11.354958529999999</v>
      </c>
      <c r="L525" s="4">
        <v>143.422</v>
      </c>
      <c r="M525" s="12">
        <f t="shared" si="23"/>
        <v>143422000</v>
      </c>
      <c r="N525" s="4">
        <v>143.422</v>
      </c>
      <c r="O525" s="4">
        <v>143.422</v>
      </c>
      <c r="P525" s="4" t="s">
        <v>123</v>
      </c>
      <c r="Q525" s="4">
        <v>1</v>
      </c>
      <c r="R525" s="18" t="s">
        <v>112</v>
      </c>
      <c r="S525" s="8" t="s">
        <v>117</v>
      </c>
      <c r="T525" s="8" t="s">
        <v>115</v>
      </c>
      <c r="U525" s="8" t="s">
        <v>112</v>
      </c>
      <c r="V525" s="8" t="s">
        <v>115</v>
      </c>
      <c r="W525" s="8" t="s">
        <v>115</v>
      </c>
    </row>
    <row r="526" spans="1:23" x14ac:dyDescent="0.35">
      <c r="A526" s="5" t="s">
        <v>33</v>
      </c>
      <c r="B526" s="4">
        <v>35</v>
      </c>
      <c r="C526" s="15">
        <v>0</v>
      </c>
      <c r="D526" s="17">
        <f t="shared" si="25"/>
        <v>0</v>
      </c>
      <c r="E526" s="6">
        <v>0</v>
      </c>
      <c r="F526" s="6">
        <v>0.05</v>
      </c>
      <c r="G526" s="9">
        <v>6</v>
      </c>
      <c r="H526" s="7">
        <v>2014</v>
      </c>
      <c r="I526" s="13">
        <v>34.376169179999998</v>
      </c>
      <c r="J526" s="2">
        <f t="shared" si="24"/>
        <v>34376169.18</v>
      </c>
      <c r="K526" s="4">
        <v>10.7493809</v>
      </c>
      <c r="L526" s="4">
        <v>137.10599999999999</v>
      </c>
      <c r="M526" s="12">
        <f t="shared" si="23"/>
        <v>137106000</v>
      </c>
      <c r="N526" s="4">
        <v>137.10599999999999</v>
      </c>
      <c r="O526" s="4">
        <v>137.10599999999999</v>
      </c>
      <c r="P526" s="4" t="s">
        <v>123</v>
      </c>
      <c r="Q526" s="4">
        <v>1</v>
      </c>
      <c r="R526" s="18" t="s">
        <v>111</v>
      </c>
      <c r="S526" s="8" t="s">
        <v>114</v>
      </c>
      <c r="T526" s="8" t="s">
        <v>113</v>
      </c>
      <c r="U526" s="8" t="s">
        <v>113</v>
      </c>
      <c r="V526" s="8" t="s">
        <v>115</v>
      </c>
      <c r="W526" s="8" t="s">
        <v>115</v>
      </c>
    </row>
    <row r="527" spans="1:23" x14ac:dyDescent="0.35">
      <c r="A527" s="5" t="s">
        <v>88</v>
      </c>
      <c r="B527" s="4">
        <v>36</v>
      </c>
      <c r="C527" s="15">
        <v>0</v>
      </c>
      <c r="D527" s="17">
        <f t="shared" si="25"/>
        <v>0</v>
      </c>
      <c r="E527" s="6">
        <v>0</v>
      </c>
      <c r="F527" s="6">
        <v>0.05</v>
      </c>
      <c r="G527" s="9">
        <v>6</v>
      </c>
      <c r="H527" s="7">
        <v>2014</v>
      </c>
      <c r="I527" s="13">
        <v>32.141956460000003</v>
      </c>
      <c r="J527" s="2">
        <f t="shared" si="24"/>
        <v>32141956.460000005</v>
      </c>
      <c r="K527" s="4">
        <v>12.205554449999999</v>
      </c>
      <c r="M527" s="12">
        <f t="shared" si="23"/>
        <v>0</v>
      </c>
      <c r="O527" s="4">
        <v>0</v>
      </c>
      <c r="Q527" s="4">
        <v>1</v>
      </c>
      <c r="R527" s="19" t="s">
        <v>129</v>
      </c>
      <c r="S527" s="8" t="s">
        <v>130</v>
      </c>
      <c r="T527" s="8" t="s">
        <v>130</v>
      </c>
      <c r="U527" s="8" t="s">
        <v>130</v>
      </c>
      <c r="V527" s="8" t="s">
        <v>130</v>
      </c>
      <c r="W527" s="8" t="s">
        <v>130</v>
      </c>
    </row>
    <row r="528" spans="1:23" x14ac:dyDescent="0.35">
      <c r="A528" s="5" t="s">
        <v>34</v>
      </c>
      <c r="B528" s="4">
        <v>37</v>
      </c>
      <c r="C528" s="15">
        <v>0</v>
      </c>
      <c r="D528" s="17">
        <f t="shared" si="25"/>
        <v>0</v>
      </c>
      <c r="E528" s="6">
        <v>0</v>
      </c>
      <c r="F528" s="6">
        <v>0.05</v>
      </c>
      <c r="G528" s="9">
        <v>6</v>
      </c>
      <c r="H528" s="7">
        <v>2014</v>
      </c>
      <c r="I528" s="13">
        <v>25.16349975</v>
      </c>
      <c r="J528" s="2">
        <f t="shared" si="24"/>
        <v>25163499.75</v>
      </c>
      <c r="K528" s="4">
        <v>8.37397466</v>
      </c>
      <c r="L528" s="4">
        <v>224.55250000000001</v>
      </c>
      <c r="M528" s="12">
        <f t="shared" si="23"/>
        <v>224552500</v>
      </c>
      <c r="N528" s="4">
        <v>224.55250000000001</v>
      </c>
      <c r="O528" s="4">
        <v>224.55250000000001</v>
      </c>
      <c r="P528" s="4" t="s">
        <v>123</v>
      </c>
      <c r="Q528" s="4">
        <v>1</v>
      </c>
      <c r="R528" s="18" t="s">
        <v>113</v>
      </c>
      <c r="S528" s="8" t="s">
        <v>117</v>
      </c>
      <c r="T528" s="8" t="s">
        <v>115</v>
      </c>
      <c r="U528" s="8" t="s">
        <v>115</v>
      </c>
      <c r="V528" s="8" t="s">
        <v>113</v>
      </c>
      <c r="W528" s="8" t="s">
        <v>115</v>
      </c>
    </row>
    <row r="529" spans="1:23" x14ac:dyDescent="0.35">
      <c r="A529" s="5" t="s">
        <v>35</v>
      </c>
      <c r="B529" s="4">
        <v>38</v>
      </c>
      <c r="C529" s="15">
        <v>0</v>
      </c>
      <c r="D529" s="17">
        <f t="shared" si="25"/>
        <v>0</v>
      </c>
      <c r="E529" s="6">
        <v>0</v>
      </c>
      <c r="F529" s="6">
        <v>0.05</v>
      </c>
      <c r="G529" s="9">
        <v>6</v>
      </c>
      <c r="H529" s="7">
        <v>2014</v>
      </c>
      <c r="I529" s="13">
        <v>22.11452792</v>
      </c>
      <c r="J529" s="2">
        <f t="shared" si="24"/>
        <v>22114527.920000002</v>
      </c>
      <c r="K529" s="4">
        <v>13.5391704</v>
      </c>
      <c r="L529" s="4">
        <v>33.950000000000003</v>
      </c>
      <c r="M529" s="12">
        <f t="shared" si="23"/>
        <v>33950000</v>
      </c>
      <c r="N529" s="4">
        <v>33.950000000000003</v>
      </c>
      <c r="O529" s="4">
        <v>33.950000000000003</v>
      </c>
      <c r="P529" s="4" t="s">
        <v>123</v>
      </c>
      <c r="Q529" s="4">
        <v>1</v>
      </c>
      <c r="R529" s="18" t="s">
        <v>117</v>
      </c>
      <c r="S529" s="8" t="s">
        <v>117</v>
      </c>
      <c r="T529" s="8" t="s">
        <v>115</v>
      </c>
      <c r="U529" s="8" t="s">
        <v>117</v>
      </c>
      <c r="V529" s="8" t="s">
        <v>115</v>
      </c>
      <c r="W529" s="8" t="s">
        <v>115</v>
      </c>
    </row>
    <row r="530" spans="1:23" x14ac:dyDescent="0.35">
      <c r="A530" s="5" t="s">
        <v>36</v>
      </c>
      <c r="B530" s="4">
        <v>39</v>
      </c>
      <c r="C530" s="15">
        <v>0</v>
      </c>
      <c r="D530" s="17">
        <f t="shared" si="25"/>
        <v>0</v>
      </c>
      <c r="E530" s="6">
        <v>0</v>
      </c>
      <c r="F530" s="6">
        <v>0.05</v>
      </c>
      <c r="G530" s="9">
        <v>6</v>
      </c>
      <c r="H530" s="7">
        <v>2014</v>
      </c>
      <c r="I530" s="13">
        <v>27.365649040000001</v>
      </c>
      <c r="J530" s="2">
        <f t="shared" si="24"/>
        <v>27365649.040000003</v>
      </c>
      <c r="K530" s="4">
        <v>9.5134169499999999</v>
      </c>
      <c r="L530" s="4">
        <v>92.127499999999998</v>
      </c>
      <c r="M530" s="12">
        <f t="shared" si="23"/>
        <v>92127500</v>
      </c>
      <c r="N530" s="4">
        <v>92.127499999999998</v>
      </c>
      <c r="O530" s="4">
        <v>88.427499999999995</v>
      </c>
      <c r="P530" s="4" t="s">
        <v>123</v>
      </c>
      <c r="Q530" s="4">
        <v>1</v>
      </c>
      <c r="R530" s="18" t="s">
        <v>113</v>
      </c>
      <c r="S530" s="8" t="s">
        <v>112</v>
      </c>
      <c r="T530" s="8" t="s">
        <v>114</v>
      </c>
      <c r="U530" s="8" t="s">
        <v>114</v>
      </c>
      <c r="V530" s="8" t="s">
        <v>114</v>
      </c>
      <c r="W530" s="8" t="s">
        <v>114</v>
      </c>
    </row>
    <row r="531" spans="1:23" x14ac:dyDescent="0.35">
      <c r="A531" s="5" t="s">
        <v>37</v>
      </c>
      <c r="B531" s="4">
        <v>40</v>
      </c>
      <c r="C531" s="15">
        <v>0</v>
      </c>
      <c r="D531" s="17">
        <f t="shared" si="25"/>
        <v>0</v>
      </c>
      <c r="E531" s="6">
        <v>0</v>
      </c>
      <c r="F531" s="6">
        <v>0.05</v>
      </c>
      <c r="G531" s="9">
        <v>6</v>
      </c>
      <c r="H531" s="7">
        <v>2014</v>
      </c>
      <c r="I531" s="13">
        <v>24.809470770000001</v>
      </c>
      <c r="J531" s="2">
        <f t="shared" si="24"/>
        <v>24809470.77</v>
      </c>
      <c r="K531" s="4">
        <v>11.31794912</v>
      </c>
      <c r="L531" s="4">
        <v>0</v>
      </c>
      <c r="M531" s="12">
        <f t="shared" si="23"/>
        <v>0</v>
      </c>
      <c r="N531" s="4">
        <v>0</v>
      </c>
      <c r="O531" s="4">
        <v>0</v>
      </c>
      <c r="P531" s="4" t="s">
        <v>123</v>
      </c>
      <c r="Q531" s="4">
        <v>1</v>
      </c>
      <c r="R531" s="18" t="s">
        <v>117</v>
      </c>
      <c r="S531" s="8" t="s">
        <v>117</v>
      </c>
      <c r="T531" s="8" t="s">
        <v>115</v>
      </c>
      <c r="U531" s="8" t="s">
        <v>115</v>
      </c>
      <c r="V531" s="8" t="s">
        <v>115</v>
      </c>
      <c r="W531" s="8" t="s">
        <v>117</v>
      </c>
    </row>
    <row r="532" spans="1:23" x14ac:dyDescent="0.35">
      <c r="A532" s="5" t="s">
        <v>38</v>
      </c>
      <c r="B532" s="4">
        <v>41</v>
      </c>
      <c r="C532" s="15">
        <v>0</v>
      </c>
      <c r="D532" s="17">
        <f t="shared" si="25"/>
        <v>0</v>
      </c>
      <c r="E532" s="6">
        <v>0</v>
      </c>
      <c r="F532" s="6">
        <v>0.05</v>
      </c>
      <c r="G532" s="9">
        <v>6</v>
      </c>
      <c r="H532" s="7">
        <v>2014</v>
      </c>
      <c r="I532" s="13">
        <v>31.968679439999999</v>
      </c>
      <c r="J532" s="2">
        <f t="shared" si="24"/>
        <v>31968679.439999998</v>
      </c>
      <c r="K532" s="4">
        <v>11.86594897</v>
      </c>
      <c r="L532" s="4">
        <v>400.5</v>
      </c>
      <c r="M532" s="12">
        <f t="shared" si="23"/>
        <v>400500000</v>
      </c>
      <c r="N532" s="4">
        <v>400.5</v>
      </c>
      <c r="O532" s="4">
        <v>400.5</v>
      </c>
      <c r="P532" s="4" t="s">
        <v>123</v>
      </c>
      <c r="Q532" s="4">
        <v>1</v>
      </c>
      <c r="R532" s="18" t="s">
        <v>112</v>
      </c>
      <c r="S532" s="8" t="s">
        <v>116</v>
      </c>
      <c r="T532" s="8" t="s">
        <v>115</v>
      </c>
      <c r="U532" s="8" t="s">
        <v>114</v>
      </c>
      <c r="V532" s="8" t="s">
        <v>117</v>
      </c>
      <c r="W532" s="8" t="s">
        <v>117</v>
      </c>
    </row>
    <row r="533" spans="1:23" x14ac:dyDescent="0.35">
      <c r="A533" s="5" t="s">
        <v>39</v>
      </c>
      <c r="B533" s="4">
        <v>42</v>
      </c>
      <c r="C533" s="15">
        <v>0</v>
      </c>
      <c r="D533" s="17">
        <f t="shared" si="25"/>
        <v>0</v>
      </c>
      <c r="E533" s="6">
        <v>0</v>
      </c>
      <c r="F533" s="6">
        <v>0.05</v>
      </c>
      <c r="G533" s="9">
        <v>6</v>
      </c>
      <c r="H533" s="7">
        <v>2014</v>
      </c>
      <c r="I533" s="13">
        <v>30.545762289999999</v>
      </c>
      <c r="J533" s="2">
        <f t="shared" si="24"/>
        <v>30545762.289999999</v>
      </c>
      <c r="K533" s="4">
        <v>13.65445184</v>
      </c>
      <c r="L533" s="4">
        <v>473.827</v>
      </c>
      <c r="M533" s="12">
        <f t="shared" si="23"/>
        <v>473827000</v>
      </c>
      <c r="N533" s="4">
        <v>473.827</v>
      </c>
      <c r="O533" s="4">
        <v>332.577</v>
      </c>
      <c r="P533" s="4" t="s">
        <v>123</v>
      </c>
      <c r="Q533" s="4">
        <v>1</v>
      </c>
      <c r="R533" s="18" t="s">
        <v>113</v>
      </c>
      <c r="S533" s="8" t="s">
        <v>114</v>
      </c>
      <c r="T533" s="8" t="s">
        <v>115</v>
      </c>
      <c r="U533" s="8" t="s">
        <v>112</v>
      </c>
      <c r="V533" s="8" t="s">
        <v>115</v>
      </c>
      <c r="W533" s="8" t="s">
        <v>112</v>
      </c>
    </row>
    <row r="534" spans="1:23" x14ac:dyDescent="0.35">
      <c r="A534" s="5" t="s">
        <v>40</v>
      </c>
      <c r="B534" s="4">
        <v>43</v>
      </c>
      <c r="C534" s="15">
        <v>0</v>
      </c>
      <c r="D534" s="17">
        <f t="shared" si="25"/>
        <v>0</v>
      </c>
      <c r="E534" s="6">
        <v>0</v>
      </c>
      <c r="F534" s="6">
        <v>0.05</v>
      </c>
      <c r="G534" s="9">
        <v>6</v>
      </c>
      <c r="H534" s="7">
        <v>2014</v>
      </c>
      <c r="I534" s="13">
        <v>32.260091420000002</v>
      </c>
      <c r="J534" s="2">
        <f t="shared" si="24"/>
        <v>32260091.420000002</v>
      </c>
      <c r="K534" s="4">
        <v>12.98252233</v>
      </c>
      <c r="L534" s="4">
        <v>347.74099999999999</v>
      </c>
      <c r="M534" s="12">
        <f t="shared" si="23"/>
        <v>347741000</v>
      </c>
      <c r="N534" s="4">
        <v>347.74099999999999</v>
      </c>
      <c r="O534" s="4">
        <v>347.74099999999999</v>
      </c>
      <c r="P534" s="4" t="s">
        <v>123</v>
      </c>
      <c r="Q534" s="4">
        <v>1</v>
      </c>
      <c r="R534" s="18" t="s">
        <v>111</v>
      </c>
      <c r="S534" s="8" t="s">
        <v>112</v>
      </c>
      <c r="T534" s="8" t="s">
        <v>112</v>
      </c>
      <c r="U534" s="8" t="s">
        <v>112</v>
      </c>
      <c r="V534" s="8" t="s">
        <v>112</v>
      </c>
      <c r="W534" s="8" t="s">
        <v>112</v>
      </c>
    </row>
    <row r="535" spans="1:23" x14ac:dyDescent="0.35">
      <c r="A535" s="5" t="s">
        <v>41</v>
      </c>
      <c r="B535" s="4">
        <v>44</v>
      </c>
      <c r="C535" s="15">
        <v>0</v>
      </c>
      <c r="D535" s="17">
        <f t="shared" si="25"/>
        <v>0</v>
      </c>
      <c r="E535" s="6">
        <v>0</v>
      </c>
      <c r="F535" s="6">
        <v>0.05</v>
      </c>
      <c r="G535" s="9">
        <v>6</v>
      </c>
      <c r="H535" s="7">
        <v>2014</v>
      </c>
      <c r="I535" s="13">
        <v>31.92309461</v>
      </c>
      <c r="J535" s="2">
        <f t="shared" si="24"/>
        <v>31923094.609999999</v>
      </c>
      <c r="K535" s="4">
        <v>13.84918922</v>
      </c>
      <c r="L535" s="4">
        <v>126.6</v>
      </c>
      <c r="M535" s="12">
        <f t="shared" si="23"/>
        <v>126600000</v>
      </c>
      <c r="N535" s="4">
        <v>126.6</v>
      </c>
      <c r="O535" s="4">
        <v>126.6</v>
      </c>
      <c r="P535" s="4" t="s">
        <v>123</v>
      </c>
      <c r="Q535" s="4">
        <v>1</v>
      </c>
      <c r="R535" s="18" t="s">
        <v>114</v>
      </c>
      <c r="S535" s="8" t="s">
        <v>117</v>
      </c>
      <c r="T535" s="8" t="s">
        <v>115</v>
      </c>
      <c r="U535" s="8" t="s">
        <v>114</v>
      </c>
      <c r="V535" s="8" t="s">
        <v>115</v>
      </c>
      <c r="W535" s="8" t="s">
        <v>115</v>
      </c>
    </row>
    <row r="536" spans="1:23" x14ac:dyDescent="0.35">
      <c r="A536" s="5" t="s">
        <v>42</v>
      </c>
      <c r="B536" s="4">
        <v>45</v>
      </c>
      <c r="C536" s="15">
        <v>0</v>
      </c>
      <c r="D536" s="17">
        <f t="shared" si="25"/>
        <v>0</v>
      </c>
      <c r="E536" s="6">
        <v>0</v>
      </c>
      <c r="F536" s="6">
        <v>0.05</v>
      </c>
      <c r="G536" s="9">
        <v>6</v>
      </c>
      <c r="H536" s="7">
        <v>2014</v>
      </c>
      <c r="I536" s="13">
        <v>26.639006949999999</v>
      </c>
      <c r="J536" s="2">
        <f t="shared" si="24"/>
        <v>26639006.949999999</v>
      </c>
      <c r="K536" s="4">
        <v>12.585013139999999</v>
      </c>
      <c r="L536" s="4">
        <v>48.908499999999997</v>
      </c>
      <c r="M536" s="12">
        <f t="shared" si="23"/>
        <v>48908500</v>
      </c>
      <c r="N536" s="4">
        <v>48.908499999999997</v>
      </c>
      <c r="O536" s="4">
        <v>42.348499999999994</v>
      </c>
      <c r="P536" s="4" t="s">
        <v>123</v>
      </c>
      <c r="Q536" s="4">
        <v>1</v>
      </c>
      <c r="R536" s="18" t="s">
        <v>114</v>
      </c>
      <c r="S536" s="8" t="s">
        <v>114</v>
      </c>
      <c r="T536" s="8" t="s">
        <v>115</v>
      </c>
      <c r="U536" s="8" t="s">
        <v>117</v>
      </c>
      <c r="V536" s="8" t="s">
        <v>115</v>
      </c>
      <c r="W536" s="8" t="s">
        <v>117</v>
      </c>
    </row>
    <row r="537" spans="1:23" x14ac:dyDescent="0.35">
      <c r="A537" s="5" t="s">
        <v>43</v>
      </c>
      <c r="B537" s="4">
        <v>46</v>
      </c>
      <c r="C537" s="15">
        <v>0</v>
      </c>
      <c r="D537" s="17">
        <f t="shared" si="25"/>
        <v>0</v>
      </c>
      <c r="E537" s="6">
        <v>0</v>
      </c>
      <c r="F537" s="6">
        <v>0.05</v>
      </c>
      <c r="G537" s="9">
        <v>6</v>
      </c>
      <c r="H537" s="7">
        <v>2014</v>
      </c>
      <c r="I537" s="13">
        <v>31.307171019999998</v>
      </c>
      <c r="J537" s="2">
        <f t="shared" si="24"/>
        <v>31307171.02</v>
      </c>
      <c r="K537" s="4">
        <v>13.17770996</v>
      </c>
      <c r="L537" s="4">
        <v>236.2</v>
      </c>
      <c r="M537" s="12">
        <f t="shared" si="23"/>
        <v>236200000</v>
      </c>
      <c r="N537" s="4">
        <v>236.2</v>
      </c>
      <c r="O537" s="4">
        <v>186.2</v>
      </c>
      <c r="P537" s="4" t="s">
        <v>123</v>
      </c>
      <c r="Q537" s="4">
        <v>1</v>
      </c>
      <c r="R537" s="18" t="s">
        <v>113</v>
      </c>
      <c r="S537" s="8" t="s">
        <v>116</v>
      </c>
      <c r="T537" s="8" t="s">
        <v>115</v>
      </c>
      <c r="U537" s="8" t="s">
        <v>114</v>
      </c>
      <c r="V537" s="8" t="s">
        <v>116</v>
      </c>
      <c r="W537" s="8" t="s">
        <v>116</v>
      </c>
    </row>
    <row r="538" spans="1:23" x14ac:dyDescent="0.35">
      <c r="A538" s="5" t="s">
        <v>44</v>
      </c>
      <c r="B538" s="4">
        <v>47</v>
      </c>
      <c r="C538" s="15">
        <v>0</v>
      </c>
      <c r="D538" s="17">
        <f t="shared" si="25"/>
        <v>0</v>
      </c>
      <c r="E538" s="6">
        <v>0</v>
      </c>
      <c r="F538" s="6">
        <v>0.05</v>
      </c>
      <c r="G538" s="9">
        <v>6</v>
      </c>
      <c r="H538" s="7">
        <v>2014</v>
      </c>
      <c r="I538" s="13">
        <v>36.89301974</v>
      </c>
      <c r="J538" s="2">
        <f t="shared" si="24"/>
        <v>36893019.740000002</v>
      </c>
      <c r="K538" s="4">
        <v>11.3118503</v>
      </c>
      <c r="L538" s="4">
        <v>307.17500000000001</v>
      </c>
      <c r="M538" s="12">
        <f t="shared" si="23"/>
        <v>307175000</v>
      </c>
      <c r="N538" s="4">
        <v>307.17500000000001</v>
      </c>
      <c r="O538" s="4">
        <v>193.52500000000001</v>
      </c>
      <c r="P538" s="4" t="s">
        <v>123</v>
      </c>
      <c r="Q538" s="4">
        <v>1</v>
      </c>
      <c r="R538" s="18" t="s">
        <v>111</v>
      </c>
      <c r="S538" s="8" t="s">
        <v>116</v>
      </c>
      <c r="T538" s="8" t="s">
        <v>119</v>
      </c>
      <c r="U538" s="8" t="s">
        <v>115</v>
      </c>
      <c r="V538" s="8" t="s">
        <v>119</v>
      </c>
      <c r="W538" s="8" t="s">
        <v>118</v>
      </c>
    </row>
    <row r="539" spans="1:23" x14ac:dyDescent="0.35">
      <c r="A539" s="5" t="s">
        <v>94</v>
      </c>
      <c r="B539" s="4">
        <v>48</v>
      </c>
      <c r="C539" s="15">
        <v>0</v>
      </c>
      <c r="D539" s="17">
        <f t="shared" si="25"/>
        <v>0</v>
      </c>
      <c r="E539" s="6">
        <v>0</v>
      </c>
      <c r="F539" s="6">
        <v>0.05</v>
      </c>
      <c r="G539" s="9">
        <v>6</v>
      </c>
      <c r="H539" s="7">
        <v>2014</v>
      </c>
      <c r="I539" s="13">
        <v>19.432109199999999</v>
      </c>
      <c r="J539" s="2">
        <f t="shared" si="24"/>
        <v>19432109.199999999</v>
      </c>
      <c r="K539" s="4">
        <v>7.78219291</v>
      </c>
      <c r="M539" s="12">
        <f t="shared" si="23"/>
        <v>0</v>
      </c>
      <c r="O539" s="4">
        <v>0</v>
      </c>
      <c r="Q539" s="4">
        <v>1</v>
      </c>
      <c r="R539" s="18" t="s">
        <v>131</v>
      </c>
      <c r="S539" s="8" t="s">
        <v>130</v>
      </c>
      <c r="T539" s="8" t="s">
        <v>130</v>
      </c>
      <c r="U539" s="8" t="s">
        <v>130</v>
      </c>
      <c r="V539" s="8" t="s">
        <v>130</v>
      </c>
      <c r="W539" s="8" t="s">
        <v>130</v>
      </c>
    </row>
    <row r="540" spans="1:23" x14ac:dyDescent="0.35">
      <c r="A540" s="5" t="s">
        <v>95</v>
      </c>
      <c r="B540" s="4">
        <v>49</v>
      </c>
      <c r="C540" s="15">
        <v>0</v>
      </c>
      <c r="D540" s="17">
        <f t="shared" si="25"/>
        <v>0</v>
      </c>
      <c r="E540" s="6">
        <v>0</v>
      </c>
      <c r="F540" s="6">
        <v>0.05</v>
      </c>
      <c r="G540" s="9">
        <v>6</v>
      </c>
      <c r="H540" s="7">
        <v>2014</v>
      </c>
      <c r="I540" s="13">
        <v>24.770442689999999</v>
      </c>
      <c r="J540" s="2">
        <f t="shared" si="24"/>
        <v>24770442.689999998</v>
      </c>
      <c r="K540" s="4">
        <v>8.7170886999999997</v>
      </c>
      <c r="M540" s="12">
        <f t="shared" si="23"/>
        <v>0</v>
      </c>
      <c r="O540" s="4">
        <v>0</v>
      </c>
      <c r="Q540" s="4">
        <v>1</v>
      </c>
      <c r="R540" s="18" t="s">
        <v>131</v>
      </c>
    </row>
    <row r="541" spans="1:23" x14ac:dyDescent="0.35">
      <c r="A541" s="5" t="s">
        <v>45</v>
      </c>
      <c r="B541" s="4">
        <v>50</v>
      </c>
      <c r="C541" s="15">
        <v>0</v>
      </c>
      <c r="D541" s="17">
        <f t="shared" si="25"/>
        <v>0</v>
      </c>
      <c r="E541" s="6">
        <v>0</v>
      </c>
      <c r="F541" s="6">
        <v>0.05</v>
      </c>
      <c r="G541" s="9">
        <v>6</v>
      </c>
      <c r="H541" s="7">
        <v>2014</v>
      </c>
      <c r="I541" s="13">
        <v>24.186115489999999</v>
      </c>
      <c r="J541" s="2">
        <f t="shared" si="24"/>
        <v>24186115.489999998</v>
      </c>
      <c r="K541" s="4">
        <v>13.053899299999999</v>
      </c>
      <c r="L541" s="4">
        <v>143.6</v>
      </c>
      <c r="M541" s="12">
        <f t="shared" si="23"/>
        <v>143600000</v>
      </c>
      <c r="N541" s="4">
        <v>143.6</v>
      </c>
      <c r="O541" s="4">
        <v>143.6</v>
      </c>
      <c r="P541" s="4" t="s">
        <v>123</v>
      </c>
      <c r="Q541" s="4">
        <v>1</v>
      </c>
      <c r="R541" s="18" t="s">
        <v>117</v>
      </c>
      <c r="S541" s="8" t="s">
        <v>117</v>
      </c>
      <c r="T541" s="8" t="s">
        <v>115</v>
      </c>
      <c r="U541" s="8" t="s">
        <v>115</v>
      </c>
      <c r="V541" s="8" t="s">
        <v>117</v>
      </c>
      <c r="W541" s="8" t="s">
        <v>115</v>
      </c>
    </row>
    <row r="542" spans="1:23" x14ac:dyDescent="0.35">
      <c r="A542" s="5" t="s">
        <v>46</v>
      </c>
      <c r="B542" s="4">
        <v>51</v>
      </c>
      <c r="C542" s="15">
        <v>0</v>
      </c>
      <c r="D542" s="17">
        <f t="shared" si="25"/>
        <v>0</v>
      </c>
      <c r="E542" s="6">
        <v>0</v>
      </c>
      <c r="F542" s="6">
        <v>0.05</v>
      </c>
      <c r="G542" s="9">
        <v>6</v>
      </c>
      <c r="H542" s="7">
        <v>2014</v>
      </c>
      <c r="I542" s="13">
        <v>20.35644495</v>
      </c>
      <c r="J542" s="2">
        <f t="shared" si="24"/>
        <v>20356444.949999999</v>
      </c>
      <c r="K542" s="4">
        <v>12.993669329999999</v>
      </c>
      <c r="L542" s="4">
        <v>300.38150000000002</v>
      </c>
      <c r="M542" s="12">
        <f t="shared" si="23"/>
        <v>300381500</v>
      </c>
      <c r="N542" s="4">
        <v>300.38150000000002</v>
      </c>
      <c r="O542" s="4">
        <v>300.38150000000002</v>
      </c>
      <c r="P542" s="4" t="s">
        <v>123</v>
      </c>
      <c r="Q542" s="4">
        <v>1</v>
      </c>
      <c r="R542" s="18" t="s">
        <v>114</v>
      </c>
      <c r="S542" s="8" t="s">
        <v>114</v>
      </c>
      <c r="T542" s="8" t="s">
        <v>117</v>
      </c>
      <c r="U542" s="8" t="s">
        <v>115</v>
      </c>
      <c r="V542" s="8" t="s">
        <v>117</v>
      </c>
      <c r="W542" s="8" t="s">
        <v>115</v>
      </c>
    </row>
    <row r="543" spans="1:23" x14ac:dyDescent="0.35">
      <c r="A543" s="5" t="s">
        <v>47</v>
      </c>
      <c r="B543" s="4">
        <v>52</v>
      </c>
      <c r="C543" s="15">
        <v>0</v>
      </c>
      <c r="D543" s="17">
        <f t="shared" si="25"/>
        <v>0</v>
      </c>
      <c r="E543" s="6">
        <v>0</v>
      </c>
      <c r="F543" s="6">
        <v>0.05</v>
      </c>
      <c r="G543" s="9">
        <v>6</v>
      </c>
      <c r="H543" s="7">
        <v>2014</v>
      </c>
      <c r="I543" s="13">
        <v>24.95281696</v>
      </c>
      <c r="J543" s="2">
        <f t="shared" si="24"/>
        <v>24952816.960000001</v>
      </c>
      <c r="K543" s="4">
        <v>13.491141280000001</v>
      </c>
      <c r="L543" s="4">
        <v>265.35000000000002</v>
      </c>
      <c r="M543" s="12">
        <f t="shared" si="23"/>
        <v>265350000.00000003</v>
      </c>
      <c r="N543" s="4">
        <v>265.35000000000002</v>
      </c>
      <c r="O543" s="4">
        <v>265.35000000000002</v>
      </c>
      <c r="P543" s="4" t="s">
        <v>123</v>
      </c>
      <c r="Q543" s="4">
        <v>1</v>
      </c>
      <c r="R543" s="18" t="s">
        <v>112</v>
      </c>
      <c r="S543" s="8" t="s">
        <v>116</v>
      </c>
      <c r="T543" s="8" t="s">
        <v>117</v>
      </c>
      <c r="U543" s="8" t="s">
        <v>117</v>
      </c>
      <c r="V543" s="8" t="s">
        <v>115</v>
      </c>
      <c r="W543" s="8" t="s">
        <v>114</v>
      </c>
    </row>
    <row r="544" spans="1:23" x14ac:dyDescent="0.35">
      <c r="A544" s="5" t="s">
        <v>48</v>
      </c>
      <c r="B544" s="4">
        <v>53</v>
      </c>
      <c r="C544" s="15">
        <v>0</v>
      </c>
      <c r="D544" s="17">
        <f t="shared" si="25"/>
        <v>0</v>
      </c>
      <c r="E544" s="6">
        <v>0</v>
      </c>
      <c r="F544" s="6">
        <v>0.05</v>
      </c>
      <c r="G544" s="9">
        <v>6</v>
      </c>
      <c r="H544" s="7">
        <v>2014</v>
      </c>
      <c r="I544" s="13">
        <v>24.754418869999999</v>
      </c>
      <c r="J544" s="2">
        <f t="shared" si="24"/>
        <v>24754418.869999997</v>
      </c>
      <c r="K544" s="4">
        <v>16.26644477</v>
      </c>
      <c r="L544" s="4">
        <v>341.40300000000002</v>
      </c>
      <c r="M544" s="12">
        <f t="shared" si="23"/>
        <v>341403000</v>
      </c>
      <c r="N544" s="4">
        <v>341.40300000000002</v>
      </c>
      <c r="O544" s="4">
        <v>341.40300000000002</v>
      </c>
      <c r="P544" s="4" t="s">
        <v>123</v>
      </c>
      <c r="Q544" s="4">
        <v>1</v>
      </c>
      <c r="R544" s="18" t="s">
        <v>113</v>
      </c>
      <c r="S544" s="8" t="s">
        <v>117</v>
      </c>
      <c r="T544" s="8" t="s">
        <v>113</v>
      </c>
      <c r="U544" s="8" t="s">
        <v>115</v>
      </c>
      <c r="V544" s="8" t="s">
        <v>115</v>
      </c>
      <c r="W544" s="8" t="s">
        <v>115</v>
      </c>
    </row>
    <row r="545" spans="1:23" x14ac:dyDescent="0.35">
      <c r="A545" s="5" t="s">
        <v>49</v>
      </c>
      <c r="B545" s="4">
        <v>54</v>
      </c>
      <c r="C545" s="15">
        <v>0</v>
      </c>
      <c r="D545" s="17">
        <f t="shared" si="25"/>
        <v>0</v>
      </c>
      <c r="E545" s="6">
        <v>0</v>
      </c>
      <c r="F545" s="6">
        <v>0.05</v>
      </c>
      <c r="G545" s="9">
        <v>6</v>
      </c>
      <c r="H545" s="7">
        <v>2014</v>
      </c>
      <c r="I545" s="13">
        <v>30.220250870000001</v>
      </c>
      <c r="J545" s="2">
        <f t="shared" si="24"/>
        <v>30220250.870000001</v>
      </c>
      <c r="K545" s="4">
        <v>14.596740799999999</v>
      </c>
      <c r="L545" s="4">
        <v>186.25</v>
      </c>
      <c r="M545" s="12">
        <f t="shared" si="23"/>
        <v>186250000</v>
      </c>
      <c r="N545" s="4">
        <v>186.25</v>
      </c>
      <c r="O545" s="4">
        <v>130.25</v>
      </c>
      <c r="P545" s="4" t="s">
        <v>123</v>
      </c>
      <c r="Q545" s="4">
        <v>1</v>
      </c>
      <c r="R545" s="18" t="s">
        <v>113</v>
      </c>
      <c r="S545" s="8" t="s">
        <v>116</v>
      </c>
      <c r="T545" s="8" t="s">
        <v>116</v>
      </c>
      <c r="U545" s="8" t="s">
        <v>115</v>
      </c>
      <c r="V545" s="8" t="s">
        <v>114</v>
      </c>
      <c r="W545" s="8" t="s">
        <v>116</v>
      </c>
    </row>
    <row r="546" spans="1:23" x14ac:dyDescent="0.35">
      <c r="A546" s="5" t="s">
        <v>50</v>
      </c>
      <c r="B546" s="4">
        <v>55</v>
      </c>
      <c r="C546" s="15">
        <v>0</v>
      </c>
      <c r="D546" s="17">
        <f t="shared" si="25"/>
        <v>0</v>
      </c>
      <c r="E546" s="6">
        <v>0</v>
      </c>
      <c r="F546" s="6">
        <v>0.05</v>
      </c>
      <c r="G546" s="9">
        <v>6</v>
      </c>
      <c r="H546" s="7">
        <v>2014</v>
      </c>
      <c r="I546" s="13">
        <v>30.194783019999999</v>
      </c>
      <c r="J546" s="2">
        <f t="shared" si="24"/>
        <v>30194783.02</v>
      </c>
      <c r="K546" s="4">
        <v>14.318916679999999</v>
      </c>
      <c r="L546" s="4">
        <v>168.5</v>
      </c>
      <c r="M546" s="12">
        <f t="shared" si="23"/>
        <v>168500000</v>
      </c>
      <c r="N546" s="4">
        <v>168.5</v>
      </c>
      <c r="O546" s="4">
        <v>168.5</v>
      </c>
      <c r="P546" s="4" t="s">
        <v>123</v>
      </c>
      <c r="Q546" s="4">
        <v>1</v>
      </c>
      <c r="R546" s="18" t="s">
        <v>117</v>
      </c>
      <c r="S546" s="8" t="s">
        <v>117</v>
      </c>
      <c r="T546" s="8" t="s">
        <v>117</v>
      </c>
      <c r="U546" s="8" t="s">
        <v>115</v>
      </c>
      <c r="V546" s="8" t="s">
        <v>115</v>
      </c>
      <c r="W546" s="8" t="s">
        <v>115</v>
      </c>
    </row>
    <row r="547" spans="1:23" x14ac:dyDescent="0.35">
      <c r="A547" s="5" t="s">
        <v>51</v>
      </c>
      <c r="B547" s="4">
        <v>56</v>
      </c>
      <c r="C547" s="15">
        <v>0</v>
      </c>
      <c r="D547" s="17">
        <f t="shared" si="25"/>
        <v>0</v>
      </c>
      <c r="E547" s="6">
        <v>0</v>
      </c>
      <c r="F547" s="6">
        <v>0.05</v>
      </c>
      <c r="G547" s="9">
        <v>6</v>
      </c>
      <c r="H547" s="7">
        <v>2014</v>
      </c>
      <c r="I547" s="13">
        <v>29.27802939</v>
      </c>
      <c r="J547" s="2">
        <f t="shared" si="24"/>
        <v>29278029.390000001</v>
      </c>
      <c r="K547" s="4">
        <v>14.36977267</v>
      </c>
      <c r="L547" s="4">
        <v>410.95</v>
      </c>
      <c r="M547" s="12">
        <f t="shared" si="23"/>
        <v>410950000</v>
      </c>
      <c r="N547" s="4">
        <v>410.95</v>
      </c>
      <c r="O547" s="4">
        <v>410.95</v>
      </c>
      <c r="P547" s="4" t="s">
        <v>123</v>
      </c>
      <c r="Q547" s="4">
        <v>1</v>
      </c>
      <c r="R547" s="18" t="s">
        <v>113</v>
      </c>
      <c r="S547" s="8" t="s">
        <v>112</v>
      </c>
      <c r="T547" s="8" t="s">
        <v>114</v>
      </c>
      <c r="U547" s="8" t="s">
        <v>114</v>
      </c>
      <c r="V547" s="8" t="s">
        <v>114</v>
      </c>
      <c r="W547" s="8" t="s">
        <v>114</v>
      </c>
    </row>
    <row r="548" spans="1:23" x14ac:dyDescent="0.35">
      <c r="A548" s="5" t="s">
        <v>52</v>
      </c>
      <c r="B548" s="4">
        <v>57</v>
      </c>
      <c r="C548" s="15">
        <v>0</v>
      </c>
      <c r="D548" s="17">
        <f t="shared" si="25"/>
        <v>0</v>
      </c>
      <c r="E548" s="6">
        <v>0</v>
      </c>
      <c r="F548" s="6">
        <v>0.05</v>
      </c>
      <c r="G548" s="9">
        <v>6</v>
      </c>
      <c r="H548" s="7">
        <v>2014</v>
      </c>
      <c r="I548" s="13">
        <v>24.822327090000002</v>
      </c>
      <c r="J548" s="2">
        <f t="shared" si="24"/>
        <v>24822327.09</v>
      </c>
      <c r="K548" s="4">
        <v>13.35317545</v>
      </c>
      <c r="L548" s="4">
        <v>323.32600000000002</v>
      </c>
      <c r="M548" s="12">
        <f t="shared" si="23"/>
        <v>323326000</v>
      </c>
      <c r="N548" s="4">
        <v>323.32600000000002</v>
      </c>
      <c r="O548" s="4">
        <v>323.32600000000002</v>
      </c>
      <c r="P548" s="4" t="s">
        <v>123</v>
      </c>
      <c r="Q548" s="4">
        <v>1</v>
      </c>
      <c r="R548" s="18" t="s">
        <v>114</v>
      </c>
      <c r="S548" s="8" t="s">
        <v>117</v>
      </c>
      <c r="T548" s="8" t="s">
        <v>114</v>
      </c>
      <c r="U548" s="8" t="s">
        <v>115</v>
      </c>
      <c r="V548" s="8" t="s">
        <v>115</v>
      </c>
      <c r="W548" s="8" t="s">
        <v>115</v>
      </c>
    </row>
    <row r="549" spans="1:23" x14ac:dyDescent="0.35">
      <c r="A549" s="5" t="s">
        <v>53</v>
      </c>
      <c r="B549" s="4">
        <v>58</v>
      </c>
      <c r="C549" s="15">
        <v>0</v>
      </c>
      <c r="D549" s="17">
        <f t="shared" si="25"/>
        <v>0</v>
      </c>
      <c r="E549" s="6">
        <v>0</v>
      </c>
      <c r="F549" s="6">
        <v>0.05</v>
      </c>
      <c r="G549" s="9">
        <v>6</v>
      </c>
      <c r="H549" s="7">
        <v>2014</v>
      </c>
      <c r="I549" s="13">
        <v>30.531371</v>
      </c>
      <c r="J549" s="2">
        <f t="shared" si="24"/>
        <v>30531371</v>
      </c>
      <c r="K549" s="4">
        <v>12.005004660000001</v>
      </c>
      <c r="L549" s="4">
        <v>355.96699999999998</v>
      </c>
      <c r="M549" s="12">
        <f t="shared" si="23"/>
        <v>355967000</v>
      </c>
      <c r="N549" s="4">
        <v>355.96699999999998</v>
      </c>
      <c r="O549" s="4">
        <v>355.96699999999998</v>
      </c>
      <c r="P549" s="4" t="s">
        <v>123</v>
      </c>
      <c r="Q549" s="4">
        <v>1</v>
      </c>
      <c r="R549" s="18" t="s">
        <v>111</v>
      </c>
      <c r="S549" s="8" t="s">
        <v>117</v>
      </c>
      <c r="T549" s="8" t="s">
        <v>111</v>
      </c>
      <c r="U549" s="8" t="s">
        <v>115</v>
      </c>
      <c r="V549" s="8" t="s">
        <v>115</v>
      </c>
      <c r="W549" s="8" t="s">
        <v>115</v>
      </c>
    </row>
    <row r="550" spans="1:23" x14ac:dyDescent="0.35">
      <c r="A550" s="5" t="s">
        <v>100</v>
      </c>
      <c r="B550" s="4">
        <v>59</v>
      </c>
      <c r="C550" s="15">
        <v>0</v>
      </c>
      <c r="D550" s="17">
        <f t="shared" si="25"/>
        <v>0</v>
      </c>
      <c r="E550" s="6">
        <v>0</v>
      </c>
      <c r="F550" s="6">
        <v>0.05</v>
      </c>
      <c r="G550" s="9">
        <v>6</v>
      </c>
      <c r="H550" s="7">
        <v>2014</v>
      </c>
      <c r="I550" s="13">
        <v>22.874670940000001</v>
      </c>
      <c r="J550" s="2">
        <f t="shared" si="24"/>
        <v>22874670.940000001</v>
      </c>
      <c r="K550" s="4">
        <v>12.88211308</v>
      </c>
      <c r="M550" s="12">
        <f t="shared" si="23"/>
        <v>0</v>
      </c>
      <c r="O550" s="4">
        <v>0</v>
      </c>
      <c r="Q550" s="4">
        <v>1</v>
      </c>
      <c r="R550" s="19" t="s">
        <v>128</v>
      </c>
      <c r="S550" s="8" t="s">
        <v>115</v>
      </c>
      <c r="T550" s="8" t="s">
        <v>115</v>
      </c>
      <c r="U550" s="8" t="s">
        <v>115</v>
      </c>
      <c r="V550" s="8" t="s">
        <v>115</v>
      </c>
      <c r="W550" s="8" t="s">
        <v>115</v>
      </c>
    </row>
    <row r="551" spans="1:23" x14ac:dyDescent="0.35">
      <c r="A551" s="5" t="s">
        <v>54</v>
      </c>
      <c r="B551" s="4">
        <v>60</v>
      </c>
      <c r="C551" s="15">
        <v>0</v>
      </c>
      <c r="D551" s="17">
        <f t="shared" si="25"/>
        <v>0</v>
      </c>
      <c r="E551" s="6">
        <v>0</v>
      </c>
      <c r="F551" s="6">
        <v>0.05</v>
      </c>
      <c r="G551" s="9">
        <v>6</v>
      </c>
      <c r="H551" s="7">
        <v>2014</v>
      </c>
      <c r="I551" s="13">
        <v>30.742430299999999</v>
      </c>
      <c r="J551" s="2">
        <f t="shared" si="24"/>
        <v>30742430.299999997</v>
      </c>
      <c r="K551" s="4">
        <v>12.17641867</v>
      </c>
      <c r="L551" s="4">
        <v>223.22800000000001</v>
      </c>
      <c r="M551" s="12">
        <f t="shared" si="23"/>
        <v>223228000</v>
      </c>
      <c r="N551" s="4">
        <v>223.22800000000001</v>
      </c>
      <c r="O551" s="4">
        <v>223.22800000000001</v>
      </c>
      <c r="P551" s="4" t="s">
        <v>123</v>
      </c>
      <c r="Q551" s="4">
        <v>1</v>
      </c>
      <c r="R551" s="18" t="s">
        <v>112</v>
      </c>
      <c r="S551" s="8" t="s">
        <v>114</v>
      </c>
      <c r="T551" s="8" t="s">
        <v>114</v>
      </c>
      <c r="U551" s="8" t="s">
        <v>114</v>
      </c>
      <c r="V551" s="8" t="s">
        <v>115</v>
      </c>
      <c r="W551" s="8" t="s">
        <v>115</v>
      </c>
    </row>
    <row r="552" spans="1:23" x14ac:dyDescent="0.35">
      <c r="A552" s="5" t="s">
        <v>55</v>
      </c>
      <c r="B552" s="4">
        <v>61</v>
      </c>
      <c r="C552" s="15">
        <v>0</v>
      </c>
      <c r="D552" s="17">
        <f t="shared" si="25"/>
        <v>0</v>
      </c>
      <c r="E552" s="6">
        <v>0</v>
      </c>
      <c r="F552" s="6">
        <v>0.05</v>
      </c>
      <c r="G552" s="9">
        <v>6</v>
      </c>
      <c r="H552" s="7">
        <v>2014</v>
      </c>
      <c r="I552" s="13">
        <v>28.695565999999999</v>
      </c>
      <c r="J552" s="2">
        <f t="shared" si="24"/>
        <v>28695566</v>
      </c>
      <c r="K552" s="4">
        <v>13.9310689</v>
      </c>
      <c r="L552" s="4">
        <v>19.25</v>
      </c>
      <c r="M552" s="12">
        <f t="shared" si="23"/>
        <v>19250000</v>
      </c>
      <c r="N552" s="4">
        <v>19.25</v>
      </c>
      <c r="O552" s="4">
        <v>0</v>
      </c>
      <c r="P552" s="4" t="s">
        <v>123</v>
      </c>
      <c r="Q552" s="4">
        <v>1</v>
      </c>
      <c r="R552" s="18" t="s">
        <v>117</v>
      </c>
      <c r="S552" s="8" t="s">
        <v>117</v>
      </c>
      <c r="T552" s="8" t="s">
        <v>115</v>
      </c>
      <c r="U552" s="8" t="s">
        <v>115</v>
      </c>
      <c r="V552" s="8" t="s">
        <v>115</v>
      </c>
      <c r="W552" s="8" t="s">
        <v>117</v>
      </c>
    </row>
    <row r="553" spans="1:23" x14ac:dyDescent="0.35">
      <c r="A553" s="5" t="s">
        <v>56</v>
      </c>
      <c r="B553" s="4">
        <v>62</v>
      </c>
      <c r="C553" s="15">
        <v>0</v>
      </c>
      <c r="D553" s="17">
        <f t="shared" si="25"/>
        <v>0</v>
      </c>
      <c r="E553" s="6">
        <v>0</v>
      </c>
      <c r="F553" s="6">
        <v>0.05</v>
      </c>
      <c r="G553" s="9">
        <v>6</v>
      </c>
      <c r="H553" s="7">
        <v>2014</v>
      </c>
      <c r="I553" s="13">
        <v>27.865268740000001</v>
      </c>
      <c r="J553" s="2">
        <f t="shared" si="24"/>
        <v>27865268.740000002</v>
      </c>
      <c r="K553" s="4">
        <v>19.32134538</v>
      </c>
      <c r="L553" s="4">
        <v>267.7</v>
      </c>
      <c r="M553" s="12">
        <f t="shared" si="23"/>
        <v>267700000</v>
      </c>
      <c r="N553" s="4">
        <v>267.7</v>
      </c>
      <c r="O553" s="4">
        <v>267.7</v>
      </c>
      <c r="P553" s="4" t="s">
        <v>123</v>
      </c>
      <c r="Q553" s="4">
        <v>1</v>
      </c>
      <c r="R553" s="18" t="s">
        <v>112</v>
      </c>
      <c r="S553" s="8" t="s">
        <v>117</v>
      </c>
      <c r="T553" s="8" t="s">
        <v>112</v>
      </c>
      <c r="U553" s="8" t="s">
        <v>115</v>
      </c>
      <c r="V553" s="8" t="s">
        <v>115</v>
      </c>
      <c r="W553" s="8" t="s">
        <v>115</v>
      </c>
    </row>
    <row r="554" spans="1:23" x14ac:dyDescent="0.35">
      <c r="A554" s="5" t="s">
        <v>57</v>
      </c>
      <c r="B554" s="4">
        <v>63</v>
      </c>
      <c r="C554" s="15">
        <v>0</v>
      </c>
      <c r="D554" s="17">
        <f t="shared" si="25"/>
        <v>0</v>
      </c>
      <c r="E554" s="6">
        <v>0</v>
      </c>
      <c r="F554" s="6">
        <v>0.05</v>
      </c>
      <c r="G554" s="9">
        <v>6</v>
      </c>
      <c r="H554" s="7">
        <v>2014</v>
      </c>
      <c r="I554" s="13">
        <v>27.589081780000001</v>
      </c>
      <c r="J554" s="2">
        <f t="shared" si="24"/>
        <v>27589081.780000001</v>
      </c>
      <c r="K554" s="4">
        <v>17.528290340000002</v>
      </c>
      <c r="L554" s="4">
        <v>477.53449999999998</v>
      </c>
      <c r="M554" s="12">
        <f t="shared" si="23"/>
        <v>477534500</v>
      </c>
      <c r="N554" s="4">
        <v>477.53449999999998</v>
      </c>
      <c r="O554" s="4">
        <v>414.18449999999996</v>
      </c>
      <c r="P554" s="4" t="s">
        <v>123</v>
      </c>
      <c r="Q554" s="4">
        <v>1</v>
      </c>
      <c r="R554" s="18" t="s">
        <v>120</v>
      </c>
      <c r="S554" s="8" t="s">
        <v>112</v>
      </c>
      <c r="T554" s="8" t="s">
        <v>111</v>
      </c>
      <c r="U554" s="8" t="s">
        <v>121</v>
      </c>
      <c r="V554" s="8" t="s">
        <v>122</v>
      </c>
      <c r="W554" s="8" t="s">
        <v>121</v>
      </c>
    </row>
    <row r="555" spans="1:23" x14ac:dyDescent="0.35">
      <c r="A555" s="5" t="s">
        <v>92</v>
      </c>
      <c r="B555" s="4">
        <v>64</v>
      </c>
      <c r="C555" s="15">
        <v>0</v>
      </c>
      <c r="D555" s="17">
        <f t="shared" si="25"/>
        <v>0</v>
      </c>
      <c r="E555" s="6">
        <v>0</v>
      </c>
      <c r="F555" s="6">
        <v>0.05</v>
      </c>
      <c r="G555" s="9">
        <v>6</v>
      </c>
      <c r="H555" s="7">
        <v>2014</v>
      </c>
      <c r="I555" s="13">
        <v>28.123762760000002</v>
      </c>
      <c r="J555" s="2">
        <f t="shared" si="24"/>
        <v>28123762.760000002</v>
      </c>
      <c r="K555" s="4">
        <v>18.958961720000001</v>
      </c>
      <c r="M555" s="12">
        <f t="shared" si="23"/>
        <v>0</v>
      </c>
      <c r="O555" s="4">
        <v>0</v>
      </c>
      <c r="Q555" s="4">
        <v>1</v>
      </c>
      <c r="R555" s="19" t="s">
        <v>132</v>
      </c>
      <c r="S555" s="8" t="s">
        <v>130</v>
      </c>
      <c r="T555" s="8" t="s">
        <v>130</v>
      </c>
      <c r="U555" s="8" t="s">
        <v>130</v>
      </c>
      <c r="V555" s="8" t="s">
        <v>130</v>
      </c>
      <c r="W555" s="8" t="s">
        <v>130</v>
      </c>
    </row>
    <row r="556" spans="1:23" x14ac:dyDescent="0.35">
      <c r="A556" s="5" t="s">
        <v>58</v>
      </c>
      <c r="B556" s="4">
        <v>65</v>
      </c>
      <c r="C556" s="15">
        <v>0</v>
      </c>
      <c r="D556" s="17">
        <f t="shared" si="25"/>
        <v>0</v>
      </c>
      <c r="E556" s="6">
        <v>0</v>
      </c>
      <c r="F556" s="6">
        <v>0.05</v>
      </c>
      <c r="G556" s="9">
        <v>6</v>
      </c>
      <c r="H556" s="7">
        <v>2014</v>
      </c>
      <c r="I556" s="13">
        <v>29.02988525</v>
      </c>
      <c r="J556" s="2">
        <f t="shared" si="24"/>
        <v>29029885.25</v>
      </c>
      <c r="K556" s="4">
        <v>18.13984941</v>
      </c>
      <c r="L556" s="4">
        <v>109.458</v>
      </c>
      <c r="M556" s="12">
        <f t="shared" si="23"/>
        <v>109458000</v>
      </c>
      <c r="N556" s="4">
        <v>109.458</v>
      </c>
      <c r="O556" s="4">
        <v>92.307999999999993</v>
      </c>
      <c r="P556" s="4" t="s">
        <v>123</v>
      </c>
      <c r="Q556" s="4">
        <v>1</v>
      </c>
      <c r="R556" s="18" t="s">
        <v>111</v>
      </c>
      <c r="S556" s="8" t="s">
        <v>114</v>
      </c>
      <c r="T556" s="8" t="s">
        <v>115</v>
      </c>
      <c r="U556" s="8" t="s">
        <v>113</v>
      </c>
      <c r="V556" s="8" t="s">
        <v>115</v>
      </c>
      <c r="W556" s="8" t="s">
        <v>113</v>
      </c>
    </row>
    <row r="557" spans="1:23" x14ac:dyDescent="0.35">
      <c r="A557" s="5" t="s">
        <v>59</v>
      </c>
      <c r="B557" s="4">
        <v>66</v>
      </c>
      <c r="C557" s="15">
        <v>0</v>
      </c>
      <c r="D557" s="17">
        <f t="shared" si="25"/>
        <v>0</v>
      </c>
      <c r="E557" s="6">
        <v>0</v>
      </c>
      <c r="F557" s="6">
        <v>0.05</v>
      </c>
      <c r="G557" s="9">
        <v>6</v>
      </c>
      <c r="H557" s="7">
        <v>2014</v>
      </c>
      <c r="I557" s="13">
        <v>21.842073240000001</v>
      </c>
      <c r="J557" s="2">
        <f t="shared" si="24"/>
        <v>21842073.240000002</v>
      </c>
      <c r="K557" s="4">
        <v>18.190764179999999</v>
      </c>
      <c r="L557" s="4">
        <v>0</v>
      </c>
      <c r="M557" s="12">
        <f t="shared" si="23"/>
        <v>0</v>
      </c>
      <c r="N557" s="4">
        <v>0</v>
      </c>
      <c r="O557" s="4">
        <v>0</v>
      </c>
      <c r="P557" s="4" t="s">
        <v>123</v>
      </c>
      <c r="Q557" s="4">
        <v>1</v>
      </c>
      <c r="R557" s="18" t="s">
        <v>117</v>
      </c>
      <c r="S557" s="8" t="s">
        <v>117</v>
      </c>
      <c r="T557" s="8" t="s">
        <v>115</v>
      </c>
      <c r="U557" s="8" t="s">
        <v>117</v>
      </c>
      <c r="V557" s="8" t="s">
        <v>115</v>
      </c>
      <c r="W557" s="8" t="s">
        <v>115</v>
      </c>
    </row>
    <row r="558" spans="1:23" x14ac:dyDescent="0.35">
      <c r="A558" s="5" t="s">
        <v>96</v>
      </c>
      <c r="B558" s="4">
        <v>67</v>
      </c>
      <c r="C558" s="15">
        <v>0</v>
      </c>
      <c r="D558" s="17">
        <f t="shared" si="25"/>
        <v>0</v>
      </c>
      <c r="E558" s="6">
        <v>0</v>
      </c>
      <c r="F558" s="6">
        <v>0.05</v>
      </c>
      <c r="G558" s="9">
        <v>6</v>
      </c>
      <c r="H558" s="7">
        <v>2014</v>
      </c>
      <c r="I558" s="13">
        <v>22.39399963</v>
      </c>
      <c r="J558" s="2">
        <f t="shared" si="24"/>
        <v>22393999.629999999</v>
      </c>
      <c r="K558" s="4">
        <v>15.785711689999999</v>
      </c>
      <c r="M558" s="12">
        <f t="shared" si="23"/>
        <v>0</v>
      </c>
      <c r="O558" s="4">
        <v>0</v>
      </c>
      <c r="Q558" s="4">
        <v>1</v>
      </c>
      <c r="R558" s="18" t="s">
        <v>131</v>
      </c>
      <c r="S558" s="8" t="s">
        <v>130</v>
      </c>
      <c r="T558" s="8" t="s">
        <v>130</v>
      </c>
      <c r="U558" s="8" t="s">
        <v>130</v>
      </c>
      <c r="V558" s="8" t="s">
        <v>130</v>
      </c>
      <c r="W558" s="8" t="s">
        <v>130</v>
      </c>
    </row>
    <row r="559" spans="1:23" x14ac:dyDescent="0.35">
      <c r="A559" s="5" t="s">
        <v>97</v>
      </c>
      <c r="B559" s="4">
        <v>68</v>
      </c>
      <c r="C559" s="15">
        <v>0</v>
      </c>
      <c r="D559" s="17">
        <f t="shared" si="25"/>
        <v>0</v>
      </c>
      <c r="E559" s="6">
        <v>0</v>
      </c>
      <c r="F559" s="6">
        <v>0.05</v>
      </c>
      <c r="G559" s="9">
        <v>6</v>
      </c>
      <c r="H559" s="7">
        <v>2014</v>
      </c>
      <c r="I559" s="13">
        <v>30.241353320000002</v>
      </c>
      <c r="J559" s="2">
        <f t="shared" si="24"/>
        <v>30241353.32</v>
      </c>
      <c r="K559" s="4">
        <v>16.670954949999999</v>
      </c>
      <c r="M559" s="12">
        <f t="shared" si="23"/>
        <v>0</v>
      </c>
      <c r="O559" s="4">
        <v>0</v>
      </c>
      <c r="Q559" s="4">
        <v>1</v>
      </c>
      <c r="R559" s="18" t="s">
        <v>131</v>
      </c>
    </row>
    <row r="560" spans="1:23" x14ac:dyDescent="0.35">
      <c r="A560" s="5" t="s">
        <v>60</v>
      </c>
      <c r="B560" s="4">
        <v>69</v>
      </c>
      <c r="C560" s="15">
        <v>0</v>
      </c>
      <c r="D560" s="17">
        <f t="shared" si="25"/>
        <v>0</v>
      </c>
      <c r="E560" s="6">
        <v>0</v>
      </c>
      <c r="F560" s="6">
        <v>0.05</v>
      </c>
      <c r="G560" s="9">
        <v>6</v>
      </c>
      <c r="H560" s="7">
        <v>2014</v>
      </c>
      <c r="I560" s="13">
        <v>24.734907679999999</v>
      </c>
      <c r="J560" s="2">
        <f t="shared" si="24"/>
        <v>24734907.68</v>
      </c>
      <c r="K560" s="4">
        <v>16.131204610000001</v>
      </c>
      <c r="L560" s="4">
        <v>65.099999999999994</v>
      </c>
      <c r="M560" s="12">
        <f t="shared" si="23"/>
        <v>65099999.999999993</v>
      </c>
      <c r="N560" s="4">
        <v>65.099999999999994</v>
      </c>
      <c r="O560" s="4">
        <v>65.099999999999994</v>
      </c>
      <c r="P560" s="4" t="s">
        <v>123</v>
      </c>
      <c r="Q560" s="4">
        <v>1</v>
      </c>
      <c r="R560" s="18" t="s">
        <v>114</v>
      </c>
      <c r="S560" s="8" t="s">
        <v>114</v>
      </c>
      <c r="T560" s="8" t="s">
        <v>117</v>
      </c>
      <c r="U560" s="8" t="s">
        <v>117</v>
      </c>
      <c r="V560" s="8" t="s">
        <v>115</v>
      </c>
      <c r="W560" s="8" t="s">
        <v>115</v>
      </c>
    </row>
    <row r="561" spans="1:23" x14ac:dyDescent="0.35">
      <c r="A561" s="5" t="s">
        <v>61</v>
      </c>
      <c r="B561" s="4">
        <v>70</v>
      </c>
      <c r="C561" s="15">
        <v>0</v>
      </c>
      <c r="D561" s="17">
        <f t="shared" si="25"/>
        <v>0</v>
      </c>
      <c r="E561" s="6">
        <v>0</v>
      </c>
      <c r="F561" s="6">
        <v>0.05</v>
      </c>
      <c r="G561" s="9">
        <v>6</v>
      </c>
      <c r="H561" s="7">
        <v>2014</v>
      </c>
      <c r="I561" s="13">
        <v>28.27829328</v>
      </c>
      <c r="J561" s="2">
        <f t="shared" si="24"/>
        <v>28278293.280000001</v>
      </c>
      <c r="K561" s="4">
        <v>14.449103360000001</v>
      </c>
      <c r="L561" s="4">
        <v>120.16549999999999</v>
      </c>
      <c r="M561" s="12">
        <f t="shared" si="23"/>
        <v>120165500</v>
      </c>
      <c r="N561" s="4">
        <v>120.16549999999999</v>
      </c>
      <c r="O561" s="4">
        <v>63.865499999999997</v>
      </c>
      <c r="P561" s="4" t="s">
        <v>123</v>
      </c>
      <c r="Q561" s="4">
        <v>1</v>
      </c>
      <c r="R561" s="18" t="s">
        <v>113</v>
      </c>
      <c r="S561" s="8" t="s">
        <v>114</v>
      </c>
      <c r="T561" s="8" t="s">
        <v>115</v>
      </c>
      <c r="U561" s="8" t="s">
        <v>115</v>
      </c>
      <c r="V561" s="8" t="s">
        <v>112</v>
      </c>
      <c r="W561" s="8" t="s">
        <v>112</v>
      </c>
    </row>
    <row r="562" spans="1:23" x14ac:dyDescent="0.35">
      <c r="A562" s="5" t="s">
        <v>62</v>
      </c>
      <c r="B562" s="4">
        <v>71</v>
      </c>
      <c r="C562" s="15">
        <v>0</v>
      </c>
      <c r="D562" s="17">
        <f t="shared" si="25"/>
        <v>0</v>
      </c>
      <c r="E562" s="6">
        <v>0</v>
      </c>
      <c r="F562" s="6">
        <v>0.05</v>
      </c>
      <c r="G562" s="9">
        <v>6</v>
      </c>
      <c r="H562" s="7">
        <v>2014</v>
      </c>
      <c r="I562" s="13">
        <v>25.429807159999999</v>
      </c>
      <c r="J562" s="2">
        <f t="shared" si="24"/>
        <v>25429807.16</v>
      </c>
      <c r="K562" s="4">
        <v>14.400612860000001</v>
      </c>
      <c r="L562" s="4">
        <v>110.1875</v>
      </c>
      <c r="M562" s="12">
        <f t="shared" si="23"/>
        <v>110187500</v>
      </c>
      <c r="N562" s="4">
        <v>110.1875</v>
      </c>
      <c r="O562" s="4">
        <v>0</v>
      </c>
      <c r="P562" s="4" t="s">
        <v>123</v>
      </c>
      <c r="Q562" s="4">
        <v>1</v>
      </c>
      <c r="R562" s="18" t="s">
        <v>114</v>
      </c>
      <c r="S562" s="8" t="s">
        <v>117</v>
      </c>
      <c r="T562" s="8" t="s">
        <v>115</v>
      </c>
      <c r="U562" s="8" t="s">
        <v>115</v>
      </c>
      <c r="V562" s="8" t="s">
        <v>115</v>
      </c>
      <c r="W562" s="8" t="s">
        <v>114</v>
      </c>
    </row>
    <row r="563" spans="1:23" x14ac:dyDescent="0.35">
      <c r="A563" s="5" t="s">
        <v>63</v>
      </c>
      <c r="B563" s="4">
        <v>72</v>
      </c>
      <c r="C563" s="15">
        <v>0</v>
      </c>
      <c r="D563" s="17">
        <f t="shared" si="25"/>
        <v>0</v>
      </c>
      <c r="E563" s="6">
        <v>0</v>
      </c>
      <c r="F563" s="6">
        <v>0.05</v>
      </c>
      <c r="G563" s="9">
        <v>6</v>
      </c>
      <c r="H563" s="7">
        <v>2014</v>
      </c>
      <c r="I563" s="13">
        <v>30.866516619999999</v>
      </c>
      <c r="J563" s="2">
        <f t="shared" si="24"/>
        <v>30866516.619999997</v>
      </c>
      <c r="K563" s="4">
        <v>13.406566659999999</v>
      </c>
      <c r="L563" s="4">
        <v>140.3595</v>
      </c>
      <c r="M563" s="12">
        <f t="shared" si="23"/>
        <v>140359500</v>
      </c>
      <c r="N563" s="4">
        <v>140.3595</v>
      </c>
      <c r="O563" s="4">
        <v>133.2595</v>
      </c>
      <c r="P563" s="4" t="s">
        <v>123</v>
      </c>
      <c r="Q563" s="4">
        <v>1</v>
      </c>
      <c r="R563" s="18" t="s">
        <v>111</v>
      </c>
      <c r="S563" s="8" t="s">
        <v>112</v>
      </c>
      <c r="T563" s="8" t="s">
        <v>112</v>
      </c>
      <c r="U563" s="8" t="s">
        <v>112</v>
      </c>
      <c r="V563" s="8" t="s">
        <v>112</v>
      </c>
      <c r="W563" s="8" t="s">
        <v>112</v>
      </c>
    </row>
    <row r="564" spans="1:23" x14ac:dyDescent="0.35">
      <c r="A564" s="5" t="s">
        <v>64</v>
      </c>
      <c r="B564" s="4">
        <v>73</v>
      </c>
      <c r="C564" s="15">
        <v>0</v>
      </c>
      <c r="D564" s="17">
        <f t="shared" si="25"/>
        <v>0</v>
      </c>
      <c r="E564" s="6">
        <v>0</v>
      </c>
      <c r="F564" s="6">
        <v>0.05</v>
      </c>
      <c r="G564" s="9">
        <v>6</v>
      </c>
      <c r="H564" s="7">
        <v>2014</v>
      </c>
      <c r="I564" s="13">
        <v>34.840520529999999</v>
      </c>
      <c r="J564" s="2">
        <f t="shared" si="24"/>
        <v>34840520.530000001</v>
      </c>
      <c r="K564" s="4">
        <v>13.11010022</v>
      </c>
      <c r="L564" s="4">
        <v>139.5</v>
      </c>
      <c r="M564" s="12">
        <f t="shared" si="23"/>
        <v>139500000</v>
      </c>
      <c r="N564" s="4">
        <v>139.5</v>
      </c>
      <c r="O564" s="4">
        <v>92.8</v>
      </c>
      <c r="P564" s="4" t="s">
        <v>123</v>
      </c>
      <c r="Q564" s="4">
        <v>1</v>
      </c>
      <c r="R564" s="18" t="s">
        <v>112</v>
      </c>
      <c r="S564" s="8" t="s">
        <v>112</v>
      </c>
      <c r="T564" s="8" t="s">
        <v>117</v>
      </c>
      <c r="U564" s="8" t="s">
        <v>117</v>
      </c>
      <c r="V564" s="8" t="s">
        <v>117</v>
      </c>
      <c r="W564" s="8" t="s">
        <v>117</v>
      </c>
    </row>
    <row r="565" spans="1:23" x14ac:dyDescent="0.35">
      <c r="A565" s="5" t="s">
        <v>65</v>
      </c>
      <c r="B565" s="4">
        <v>74</v>
      </c>
      <c r="C565" s="15">
        <v>0</v>
      </c>
      <c r="D565" s="17">
        <f t="shared" si="25"/>
        <v>0</v>
      </c>
      <c r="E565" s="6">
        <v>0</v>
      </c>
      <c r="F565" s="6">
        <v>0.05</v>
      </c>
      <c r="G565" s="9">
        <v>6</v>
      </c>
      <c r="H565" s="7">
        <v>2014</v>
      </c>
      <c r="I565" s="13">
        <v>30.49951678</v>
      </c>
      <c r="J565" s="2">
        <f t="shared" si="24"/>
        <v>30499516.780000001</v>
      </c>
      <c r="K565" s="4">
        <v>16.056893970000001</v>
      </c>
      <c r="L565" s="4">
        <v>196.28550000000001</v>
      </c>
      <c r="M565" s="12">
        <f t="shared" si="23"/>
        <v>196285500</v>
      </c>
      <c r="N565" s="4">
        <v>196.28550000000001</v>
      </c>
      <c r="O565" s="4">
        <v>196.28550000000001</v>
      </c>
      <c r="P565" s="4" t="s">
        <v>123</v>
      </c>
      <c r="Q565" s="4">
        <v>1</v>
      </c>
      <c r="R565" s="18" t="s">
        <v>111</v>
      </c>
      <c r="S565" s="8" t="s">
        <v>116</v>
      </c>
      <c r="T565" s="8" t="s">
        <v>118</v>
      </c>
      <c r="U565" s="8" t="s">
        <v>119</v>
      </c>
      <c r="V565" s="8" t="s">
        <v>115</v>
      </c>
      <c r="W565" s="8" t="s">
        <v>119</v>
      </c>
    </row>
    <row r="566" spans="1:23" x14ac:dyDescent="0.35">
      <c r="A566" s="5" t="s">
        <v>87</v>
      </c>
      <c r="B566" s="4">
        <v>75</v>
      </c>
      <c r="C566" s="15">
        <v>0</v>
      </c>
      <c r="D566" s="17">
        <f t="shared" si="25"/>
        <v>0</v>
      </c>
      <c r="E566" s="6">
        <v>0</v>
      </c>
      <c r="F566" s="6">
        <v>0.05</v>
      </c>
      <c r="G566" s="9">
        <v>6</v>
      </c>
      <c r="H566" s="7">
        <v>2014</v>
      </c>
      <c r="I566" s="13">
        <v>21.7688007</v>
      </c>
      <c r="J566" s="2">
        <f t="shared" si="24"/>
        <v>21768800.699999999</v>
      </c>
      <c r="K566" s="4">
        <v>16.279807259999998</v>
      </c>
      <c r="M566" s="12">
        <f t="shared" si="23"/>
        <v>0</v>
      </c>
      <c r="O566" s="4">
        <v>0</v>
      </c>
      <c r="Q566" s="4">
        <v>1</v>
      </c>
      <c r="R566" s="12" t="s">
        <v>133</v>
      </c>
    </row>
    <row r="567" spans="1:23" x14ac:dyDescent="0.35">
      <c r="A567" s="5" t="s">
        <v>66</v>
      </c>
      <c r="B567" s="4">
        <v>76</v>
      </c>
      <c r="C567" s="15">
        <v>0</v>
      </c>
      <c r="D567" s="17">
        <f t="shared" si="25"/>
        <v>0</v>
      </c>
      <c r="E567" s="6">
        <v>0</v>
      </c>
      <c r="F567" s="6">
        <v>0.05</v>
      </c>
      <c r="G567" s="9">
        <v>6</v>
      </c>
      <c r="H567" s="7">
        <v>2014</v>
      </c>
      <c r="I567" s="13">
        <v>29.56432118</v>
      </c>
      <c r="J567" s="2">
        <f t="shared" si="24"/>
        <v>29564321.18</v>
      </c>
      <c r="K567" s="4">
        <v>31.788628419999998</v>
      </c>
      <c r="L567" s="4">
        <v>590.22799999999995</v>
      </c>
      <c r="M567" s="12">
        <f t="shared" si="23"/>
        <v>590228000</v>
      </c>
      <c r="N567" s="4">
        <v>590.22799999999995</v>
      </c>
      <c r="O567" s="4">
        <v>534.18799999999999</v>
      </c>
      <c r="P567" s="4" t="s">
        <v>123</v>
      </c>
      <c r="Q567" s="4">
        <v>1</v>
      </c>
      <c r="R567" s="18" t="s">
        <v>120</v>
      </c>
      <c r="S567" s="8" t="s">
        <v>112</v>
      </c>
      <c r="T567" s="8" t="s">
        <v>111</v>
      </c>
      <c r="U567" s="8" t="s">
        <v>121</v>
      </c>
      <c r="V567" s="8" t="s">
        <v>122</v>
      </c>
      <c r="W567" s="8" t="s">
        <v>121</v>
      </c>
    </row>
    <row r="568" spans="1:23" x14ac:dyDescent="0.35">
      <c r="A568" s="5" t="s">
        <v>67</v>
      </c>
      <c r="B568" s="4">
        <v>77</v>
      </c>
      <c r="C568" s="15">
        <v>0</v>
      </c>
      <c r="D568" s="17">
        <f t="shared" si="25"/>
        <v>0</v>
      </c>
      <c r="E568" s="6">
        <v>0</v>
      </c>
      <c r="F568" s="6">
        <v>0.05</v>
      </c>
      <c r="G568" s="9">
        <v>6</v>
      </c>
      <c r="H568" s="7">
        <v>2014</v>
      </c>
      <c r="I568" s="13">
        <v>26.998101049999999</v>
      </c>
      <c r="J568" s="2">
        <f t="shared" si="24"/>
        <v>26998101.050000001</v>
      </c>
      <c r="K568" s="4">
        <v>30.65779959</v>
      </c>
      <c r="L568" s="4">
        <v>154.2175</v>
      </c>
      <c r="M568" s="12">
        <f t="shared" si="23"/>
        <v>154217500</v>
      </c>
      <c r="N568" s="4">
        <v>154.2175</v>
      </c>
      <c r="O568" s="4">
        <v>154.2175</v>
      </c>
      <c r="P568" s="4" t="s">
        <v>123</v>
      </c>
      <c r="Q568" s="4">
        <v>1</v>
      </c>
      <c r="R568" s="18" t="s">
        <v>111</v>
      </c>
      <c r="S568" s="8" t="s">
        <v>116</v>
      </c>
      <c r="T568" s="8" t="s">
        <v>119</v>
      </c>
      <c r="U568" s="8" t="s">
        <v>119</v>
      </c>
      <c r="V568" s="8" t="s">
        <v>118</v>
      </c>
      <c r="W568" s="8" t="s">
        <v>115</v>
      </c>
    </row>
    <row r="569" spans="1:23" x14ac:dyDescent="0.35">
      <c r="A569" s="5" t="s">
        <v>68</v>
      </c>
      <c r="B569" s="4">
        <v>78</v>
      </c>
      <c r="C569" s="15">
        <v>0</v>
      </c>
      <c r="D569" s="17">
        <f t="shared" si="25"/>
        <v>0</v>
      </c>
      <c r="E569" s="6">
        <v>0</v>
      </c>
      <c r="F569" s="6">
        <v>0.05</v>
      </c>
      <c r="G569" s="9">
        <v>6</v>
      </c>
      <c r="H569" s="7">
        <v>2014</v>
      </c>
      <c r="I569" s="13">
        <v>27.120356619999999</v>
      </c>
      <c r="J569" s="2">
        <f t="shared" si="24"/>
        <v>27120356.619999997</v>
      </c>
      <c r="K569" s="4">
        <v>30.07929764</v>
      </c>
      <c r="M569" s="12">
        <f t="shared" si="23"/>
        <v>0</v>
      </c>
      <c r="O569" s="4">
        <v>0</v>
      </c>
      <c r="Q569" s="4">
        <v>1</v>
      </c>
      <c r="R569" s="18" t="s">
        <v>134</v>
      </c>
      <c r="S569" s="8" t="s">
        <v>117</v>
      </c>
      <c r="T569" s="8" t="s">
        <v>115</v>
      </c>
      <c r="U569" s="8" t="s">
        <v>117</v>
      </c>
      <c r="V569" s="8" t="s">
        <v>115</v>
      </c>
      <c r="W569" s="8" t="s">
        <v>115</v>
      </c>
    </row>
    <row r="570" spans="1:23" x14ac:dyDescent="0.35">
      <c r="A570" s="5" t="s">
        <v>69</v>
      </c>
      <c r="B570" s="4">
        <v>79</v>
      </c>
      <c r="C570" s="15">
        <v>0</v>
      </c>
      <c r="D570" s="17">
        <f t="shared" si="25"/>
        <v>0</v>
      </c>
      <c r="E570" s="6">
        <v>0</v>
      </c>
      <c r="F570" s="6">
        <v>0.05</v>
      </c>
      <c r="G570" s="9">
        <v>6</v>
      </c>
      <c r="H570" s="7">
        <v>2014</v>
      </c>
      <c r="I570" s="13">
        <v>18.128166629999999</v>
      </c>
      <c r="J570" s="2">
        <f t="shared" si="24"/>
        <v>18128166.629999999</v>
      </c>
      <c r="K570" s="4">
        <v>29.245320639999999</v>
      </c>
      <c r="L570" s="4">
        <v>183.05</v>
      </c>
      <c r="M570" s="12">
        <f t="shared" si="23"/>
        <v>183050000</v>
      </c>
      <c r="N570" s="4">
        <v>183.05</v>
      </c>
      <c r="O570" s="4">
        <v>176.8</v>
      </c>
      <c r="P570" s="4" t="s">
        <v>123</v>
      </c>
      <c r="Q570" s="4">
        <v>1</v>
      </c>
      <c r="R570" s="18" t="s">
        <v>112</v>
      </c>
      <c r="S570" s="8" t="s">
        <v>112</v>
      </c>
      <c r="T570" s="8" t="s">
        <v>117</v>
      </c>
      <c r="U570" s="8" t="s">
        <v>117</v>
      </c>
      <c r="V570" s="8" t="s">
        <v>117</v>
      </c>
      <c r="W570" s="8" t="s">
        <v>117</v>
      </c>
    </row>
    <row r="571" spans="1:23" x14ac:dyDescent="0.35">
      <c r="A571" s="5" t="s">
        <v>101</v>
      </c>
      <c r="B571" s="4">
        <v>80</v>
      </c>
      <c r="C571" s="15">
        <v>0</v>
      </c>
      <c r="D571" s="17">
        <f t="shared" si="25"/>
        <v>0</v>
      </c>
      <c r="E571" s="6">
        <v>0</v>
      </c>
      <c r="F571" s="6">
        <v>0.05</v>
      </c>
      <c r="G571" s="9">
        <v>6</v>
      </c>
      <c r="H571" s="7">
        <v>2014</v>
      </c>
      <c r="I571" s="13">
        <v>17.48206047</v>
      </c>
      <c r="J571" s="2">
        <f t="shared" si="24"/>
        <v>17482060.469999999</v>
      </c>
      <c r="K571" s="4">
        <v>34.815925280000002</v>
      </c>
      <c r="M571" s="12">
        <f t="shared" si="23"/>
        <v>0</v>
      </c>
      <c r="O571" s="4">
        <v>0</v>
      </c>
      <c r="Q571" s="4">
        <v>1</v>
      </c>
      <c r="R571" s="19" t="s">
        <v>128</v>
      </c>
      <c r="S571" s="8" t="s">
        <v>115</v>
      </c>
      <c r="T571" s="8" t="s">
        <v>115</v>
      </c>
      <c r="U571" s="8" t="s">
        <v>115</v>
      </c>
      <c r="V571" s="8" t="s">
        <v>115</v>
      </c>
      <c r="W571" s="8" t="s">
        <v>115</v>
      </c>
    </row>
    <row r="572" spans="1:23" x14ac:dyDescent="0.35">
      <c r="A572" s="5" t="s">
        <v>70</v>
      </c>
      <c r="B572" s="4">
        <v>81</v>
      </c>
      <c r="C572" s="15">
        <v>0</v>
      </c>
      <c r="D572" s="17">
        <f t="shared" si="25"/>
        <v>0</v>
      </c>
      <c r="E572" s="6">
        <v>0</v>
      </c>
      <c r="F572" s="6">
        <v>0.05</v>
      </c>
      <c r="G572" s="9">
        <v>6</v>
      </c>
      <c r="H572" s="7">
        <v>2014</v>
      </c>
      <c r="I572" s="13">
        <v>23.438313829999998</v>
      </c>
      <c r="J572" s="2">
        <f t="shared" si="24"/>
        <v>23438313.829999998</v>
      </c>
      <c r="K572" s="4">
        <v>33.277384740000002</v>
      </c>
      <c r="L572" s="4">
        <v>95.518500000000003</v>
      </c>
      <c r="M572" s="12">
        <f t="shared" si="23"/>
        <v>95518500</v>
      </c>
      <c r="N572" s="4">
        <v>95.518500000000003</v>
      </c>
      <c r="O572" s="4">
        <v>95.518500000000003</v>
      </c>
      <c r="P572" s="4" t="s">
        <v>123</v>
      </c>
      <c r="Q572" s="4">
        <v>1</v>
      </c>
      <c r="R572" s="18" t="s">
        <v>113</v>
      </c>
      <c r="S572" s="8" t="s">
        <v>117</v>
      </c>
      <c r="T572" s="8" t="s">
        <v>115</v>
      </c>
      <c r="U572" s="8" t="s">
        <v>113</v>
      </c>
      <c r="V572" s="8" t="s">
        <v>115</v>
      </c>
      <c r="W572" s="8" t="s">
        <v>115</v>
      </c>
    </row>
    <row r="573" spans="1:23" x14ac:dyDescent="0.35">
      <c r="A573" s="5" t="s">
        <v>71</v>
      </c>
      <c r="B573" s="4">
        <v>82</v>
      </c>
      <c r="C573" s="15">
        <v>0</v>
      </c>
      <c r="D573" s="17">
        <f t="shared" si="25"/>
        <v>0</v>
      </c>
      <c r="E573" s="6">
        <v>0</v>
      </c>
      <c r="F573" s="6">
        <v>0.05</v>
      </c>
      <c r="G573" s="9">
        <v>6</v>
      </c>
      <c r="H573" s="7">
        <v>2014</v>
      </c>
      <c r="I573" s="13">
        <v>24.33078343</v>
      </c>
      <c r="J573" s="2">
        <f t="shared" si="24"/>
        <v>24330783.43</v>
      </c>
      <c r="K573" s="4">
        <v>32.081103710000001</v>
      </c>
      <c r="L573" s="4">
        <v>33.700000000000003</v>
      </c>
      <c r="M573" s="12">
        <f t="shared" si="23"/>
        <v>33700000</v>
      </c>
      <c r="N573" s="4">
        <v>33.700000000000003</v>
      </c>
      <c r="O573" s="4">
        <v>0</v>
      </c>
      <c r="P573" s="4" t="s">
        <v>123</v>
      </c>
      <c r="Q573" s="4">
        <v>1</v>
      </c>
      <c r="R573" s="18" t="s">
        <v>112</v>
      </c>
      <c r="S573" s="8" t="s">
        <v>114</v>
      </c>
      <c r="T573" s="8" t="s">
        <v>115</v>
      </c>
      <c r="U573" s="8" t="s">
        <v>115</v>
      </c>
      <c r="V573" s="8" t="s">
        <v>114</v>
      </c>
      <c r="W573" s="8" t="s">
        <v>114</v>
      </c>
    </row>
    <row r="574" spans="1:23" x14ac:dyDescent="0.35">
      <c r="A574" s="5" t="s">
        <v>72</v>
      </c>
      <c r="B574" s="4">
        <v>83</v>
      </c>
      <c r="C574" s="15">
        <v>0</v>
      </c>
      <c r="D574" s="17">
        <f t="shared" si="25"/>
        <v>0</v>
      </c>
      <c r="E574" s="6">
        <v>0</v>
      </c>
      <c r="F574" s="6">
        <v>0.05</v>
      </c>
      <c r="G574" s="9">
        <v>6</v>
      </c>
      <c r="H574" s="7">
        <v>2014</v>
      </c>
      <c r="I574" s="13">
        <v>24.281656600000002</v>
      </c>
      <c r="J574" s="2">
        <f t="shared" si="24"/>
        <v>24281656.600000001</v>
      </c>
      <c r="K574" s="4">
        <v>28.872481919999998</v>
      </c>
      <c r="L574" s="4">
        <v>122.4355</v>
      </c>
      <c r="M574" s="12">
        <f t="shared" si="23"/>
        <v>122435500</v>
      </c>
      <c r="N574" s="4">
        <v>122.4355</v>
      </c>
      <c r="O574" s="4">
        <v>122.4355</v>
      </c>
      <c r="P574" s="4" t="s">
        <v>123</v>
      </c>
      <c r="Q574" s="4">
        <v>1</v>
      </c>
      <c r="R574" s="18" t="s">
        <v>113</v>
      </c>
      <c r="S574" s="8" t="s">
        <v>114</v>
      </c>
      <c r="T574" s="8" t="s">
        <v>112</v>
      </c>
      <c r="U574" s="8" t="s">
        <v>112</v>
      </c>
      <c r="V574" s="8" t="s">
        <v>115</v>
      </c>
      <c r="W574" s="8" t="s">
        <v>115</v>
      </c>
    </row>
    <row r="575" spans="1:23" x14ac:dyDescent="0.35">
      <c r="A575" s="5" t="s">
        <v>73</v>
      </c>
      <c r="B575" s="4">
        <v>84</v>
      </c>
      <c r="C575" s="15">
        <v>0</v>
      </c>
      <c r="D575" s="17">
        <f t="shared" si="25"/>
        <v>0</v>
      </c>
      <c r="E575" s="6">
        <v>0</v>
      </c>
      <c r="F575" s="6">
        <v>0.05</v>
      </c>
      <c r="G575" s="9">
        <v>6</v>
      </c>
      <c r="H575" s="7">
        <v>2014</v>
      </c>
      <c r="I575" s="13">
        <v>23.071914979999999</v>
      </c>
      <c r="J575" s="2">
        <f t="shared" si="24"/>
        <v>23071914.98</v>
      </c>
      <c r="K575" s="4">
        <v>35.134413739999999</v>
      </c>
      <c r="L575" s="4">
        <v>0.13350000000000001</v>
      </c>
      <c r="M575" s="12">
        <f t="shared" si="23"/>
        <v>133500</v>
      </c>
      <c r="N575" s="4">
        <v>0.13350000000000001</v>
      </c>
      <c r="O575" s="4">
        <v>3.5000000000000031E-3</v>
      </c>
      <c r="P575" s="4" t="s">
        <v>123</v>
      </c>
      <c r="Q575" s="4">
        <v>1</v>
      </c>
      <c r="R575" s="18" t="s">
        <v>117</v>
      </c>
      <c r="S575" s="8" t="s">
        <v>117</v>
      </c>
      <c r="T575" s="8" t="s">
        <v>115</v>
      </c>
      <c r="U575" s="8" t="s">
        <v>115</v>
      </c>
      <c r="V575" s="8" t="s">
        <v>115</v>
      </c>
      <c r="W575" s="8" t="s">
        <v>117</v>
      </c>
    </row>
    <row r="576" spans="1:23" x14ac:dyDescent="0.35">
      <c r="A576" s="5" t="s">
        <v>74</v>
      </c>
      <c r="B576" s="4">
        <v>85</v>
      </c>
      <c r="C576" s="15">
        <v>0</v>
      </c>
      <c r="D576" s="17">
        <f t="shared" si="25"/>
        <v>0</v>
      </c>
      <c r="E576" s="6">
        <v>0</v>
      </c>
      <c r="F576" s="6">
        <v>0.05</v>
      </c>
      <c r="G576" s="9">
        <v>6</v>
      </c>
      <c r="H576" s="7">
        <v>2014</v>
      </c>
      <c r="I576" s="13">
        <v>26.25016716</v>
      </c>
      <c r="J576" s="2">
        <f t="shared" si="24"/>
        <v>26250167.16</v>
      </c>
      <c r="K576" s="4">
        <v>34.91923293</v>
      </c>
      <c r="L576" s="4">
        <v>269.92599999999999</v>
      </c>
      <c r="M576" s="12">
        <f t="shared" si="23"/>
        <v>269926000</v>
      </c>
      <c r="N576" s="4">
        <v>269.92599999999999</v>
      </c>
      <c r="O576" s="4">
        <v>269.92599999999999</v>
      </c>
      <c r="P576" s="4" t="s">
        <v>123</v>
      </c>
      <c r="Q576" s="4">
        <v>1</v>
      </c>
      <c r="R576" s="18" t="s">
        <v>113</v>
      </c>
      <c r="S576" s="8" t="s">
        <v>116</v>
      </c>
      <c r="T576" s="8" t="s">
        <v>114</v>
      </c>
      <c r="U576" s="8" t="s">
        <v>116</v>
      </c>
      <c r="V576" s="8" t="s">
        <v>116</v>
      </c>
      <c r="W576" s="8" t="s">
        <v>115</v>
      </c>
    </row>
    <row r="577" spans="1:23" x14ac:dyDescent="0.35">
      <c r="A577" s="5" t="s">
        <v>75</v>
      </c>
      <c r="B577" s="4">
        <v>86</v>
      </c>
      <c r="C577" s="15">
        <v>0</v>
      </c>
      <c r="D577" s="17">
        <f t="shared" si="25"/>
        <v>0</v>
      </c>
      <c r="E577" s="6">
        <v>0</v>
      </c>
      <c r="F577" s="6">
        <v>0.05</v>
      </c>
      <c r="G577" s="9">
        <v>6</v>
      </c>
      <c r="H577" s="7">
        <v>2014</v>
      </c>
      <c r="I577" s="13">
        <v>22.301521829999999</v>
      </c>
      <c r="J577" s="2">
        <f t="shared" si="24"/>
        <v>22301521.829999998</v>
      </c>
      <c r="K577" s="4">
        <v>34.744670159999998</v>
      </c>
      <c r="L577" s="4">
        <v>325.64999999999998</v>
      </c>
      <c r="M577" s="12">
        <f t="shared" si="23"/>
        <v>325650000</v>
      </c>
      <c r="N577" s="4">
        <v>325.64999999999998</v>
      </c>
      <c r="O577" s="4">
        <v>265.59999999999997</v>
      </c>
      <c r="P577" s="4" t="s">
        <v>123</v>
      </c>
      <c r="Q577" s="4">
        <v>1</v>
      </c>
      <c r="R577" s="18" t="s">
        <v>112</v>
      </c>
      <c r="S577" s="8" t="s">
        <v>116</v>
      </c>
      <c r="T577" s="8" t="s">
        <v>117</v>
      </c>
      <c r="U577" s="8" t="s">
        <v>115</v>
      </c>
      <c r="V577" s="8" t="s">
        <v>114</v>
      </c>
      <c r="W577" s="8" t="s">
        <v>117</v>
      </c>
    </row>
    <row r="578" spans="1:23" x14ac:dyDescent="0.35">
      <c r="A578" s="5" t="s">
        <v>76</v>
      </c>
      <c r="B578" s="4">
        <v>87</v>
      </c>
      <c r="C578" s="15">
        <v>0</v>
      </c>
      <c r="D578" s="17">
        <f t="shared" si="25"/>
        <v>0</v>
      </c>
      <c r="E578" s="6">
        <v>0</v>
      </c>
      <c r="F578" s="6">
        <v>0.05</v>
      </c>
      <c r="G578" s="9">
        <v>6</v>
      </c>
      <c r="H578" s="7">
        <v>2014</v>
      </c>
      <c r="I578" s="13">
        <v>19.99519639</v>
      </c>
      <c r="J578" s="2">
        <f t="shared" si="24"/>
        <v>19995196.390000001</v>
      </c>
      <c r="K578" s="4">
        <v>31.21713875</v>
      </c>
      <c r="L578" s="4">
        <v>7.5</v>
      </c>
      <c r="M578" s="12">
        <f t="shared" si="23"/>
        <v>7500000</v>
      </c>
      <c r="N578" s="4">
        <v>7.5</v>
      </c>
      <c r="O578" s="4">
        <v>7.5</v>
      </c>
      <c r="P578" s="4" t="s">
        <v>123</v>
      </c>
      <c r="Q578" s="4">
        <v>1</v>
      </c>
      <c r="R578" s="18" t="s">
        <v>117</v>
      </c>
      <c r="S578" s="8" t="s">
        <v>117</v>
      </c>
      <c r="T578" s="8" t="s">
        <v>117</v>
      </c>
      <c r="U578" s="8" t="s">
        <v>115</v>
      </c>
      <c r="V578" s="8" t="s">
        <v>115</v>
      </c>
      <c r="W578" s="8" t="s">
        <v>115</v>
      </c>
    </row>
    <row r="579" spans="1:23" x14ac:dyDescent="0.35">
      <c r="A579" s="5" t="s">
        <v>77</v>
      </c>
      <c r="B579" s="4">
        <v>88</v>
      </c>
      <c r="C579" s="15">
        <v>0</v>
      </c>
      <c r="D579" s="17">
        <f t="shared" si="25"/>
        <v>0</v>
      </c>
      <c r="E579" s="6">
        <v>0</v>
      </c>
      <c r="F579" s="6">
        <v>0.05</v>
      </c>
      <c r="G579" s="9">
        <v>6</v>
      </c>
      <c r="H579" s="7">
        <v>2014</v>
      </c>
      <c r="I579" s="13">
        <v>17.320047129999999</v>
      </c>
      <c r="J579" s="2">
        <f t="shared" si="24"/>
        <v>17320047.129999999</v>
      </c>
      <c r="K579" s="4">
        <v>37.134590770000003</v>
      </c>
      <c r="L579" s="4">
        <v>50.2</v>
      </c>
      <c r="M579" s="12">
        <f t="shared" si="23"/>
        <v>50200000</v>
      </c>
      <c r="N579" s="4">
        <v>50.2</v>
      </c>
      <c r="O579" s="4">
        <v>50.2</v>
      </c>
      <c r="P579" s="4" t="s">
        <v>123</v>
      </c>
      <c r="Q579" s="4">
        <v>1</v>
      </c>
      <c r="R579" s="18" t="s">
        <v>117</v>
      </c>
      <c r="S579" s="8" t="s">
        <v>117</v>
      </c>
      <c r="T579" s="8" t="s">
        <v>115</v>
      </c>
      <c r="U579" s="8" t="s">
        <v>115</v>
      </c>
      <c r="V579" s="8" t="s">
        <v>117</v>
      </c>
      <c r="W579" s="8" t="s">
        <v>115</v>
      </c>
    </row>
    <row r="580" spans="1:23" x14ac:dyDescent="0.35">
      <c r="A580" s="5" t="s">
        <v>78</v>
      </c>
      <c r="B580" s="4">
        <v>89</v>
      </c>
      <c r="C580" s="15">
        <v>0</v>
      </c>
      <c r="D580" s="17">
        <f t="shared" si="25"/>
        <v>0</v>
      </c>
      <c r="E580" s="6">
        <v>0</v>
      </c>
      <c r="F580" s="6">
        <v>0.05</v>
      </c>
      <c r="G580" s="9">
        <v>6</v>
      </c>
      <c r="H580" s="7">
        <v>2014</v>
      </c>
      <c r="I580" s="13">
        <v>21.840216479999999</v>
      </c>
      <c r="J580" s="2">
        <f t="shared" si="24"/>
        <v>21840216.48</v>
      </c>
      <c r="K580" s="4">
        <v>36.301958569999996</v>
      </c>
      <c r="L580" s="4">
        <v>40.799999999999997</v>
      </c>
      <c r="M580" s="12">
        <f t="shared" si="23"/>
        <v>40800000</v>
      </c>
      <c r="N580" s="4">
        <v>40.799999999999997</v>
      </c>
      <c r="O580" s="4">
        <v>40.799999999999997</v>
      </c>
      <c r="P580" s="4" t="s">
        <v>123</v>
      </c>
      <c r="Q580" s="4">
        <v>1</v>
      </c>
      <c r="R580" s="18" t="s">
        <v>114</v>
      </c>
      <c r="S580" s="8" t="s">
        <v>117</v>
      </c>
      <c r="T580" s="8" t="s">
        <v>115</v>
      </c>
      <c r="U580" s="8" t="s">
        <v>114</v>
      </c>
      <c r="V580" s="8" t="s">
        <v>115</v>
      </c>
      <c r="W580" s="8" t="s">
        <v>115</v>
      </c>
    </row>
    <row r="581" spans="1:23" x14ac:dyDescent="0.35">
      <c r="A581" s="5" t="s">
        <v>79</v>
      </c>
      <c r="B581" s="4">
        <v>90</v>
      </c>
      <c r="C581" s="15">
        <v>0</v>
      </c>
      <c r="D581" s="17">
        <f t="shared" si="25"/>
        <v>0</v>
      </c>
      <c r="E581" s="6">
        <v>0</v>
      </c>
      <c r="F581" s="6">
        <v>0.05</v>
      </c>
      <c r="G581" s="9">
        <v>6</v>
      </c>
      <c r="H581" s="7">
        <v>2014</v>
      </c>
      <c r="I581" s="13">
        <v>20.960516779999999</v>
      </c>
      <c r="J581" s="2">
        <f t="shared" si="24"/>
        <v>20960516.779999997</v>
      </c>
      <c r="K581" s="4">
        <v>34.91722506</v>
      </c>
      <c r="L581" s="4">
        <v>13.356</v>
      </c>
      <c r="M581" s="12">
        <f t="shared" ref="M581:M644" si="26">L581*1000000</f>
        <v>13356000</v>
      </c>
      <c r="N581" s="4">
        <v>13.356</v>
      </c>
      <c r="O581" s="4">
        <v>2.9459999999999997</v>
      </c>
      <c r="P581" s="4" t="s">
        <v>123</v>
      </c>
      <c r="Q581" s="4">
        <v>1</v>
      </c>
      <c r="R581" s="18" t="s">
        <v>114</v>
      </c>
      <c r="S581" s="8" t="s">
        <v>114</v>
      </c>
      <c r="T581" s="8" t="s">
        <v>115</v>
      </c>
      <c r="U581" s="8" t="s">
        <v>117</v>
      </c>
      <c r="V581" s="8" t="s">
        <v>115</v>
      </c>
      <c r="W581" s="8" t="s">
        <v>117</v>
      </c>
    </row>
    <row r="582" spans="1:23" x14ac:dyDescent="0.35">
      <c r="A582" s="5" t="s">
        <v>80</v>
      </c>
      <c r="B582" s="4">
        <v>91</v>
      </c>
      <c r="C582" s="15">
        <v>0</v>
      </c>
      <c r="D582" s="17">
        <f t="shared" si="25"/>
        <v>0</v>
      </c>
      <c r="E582" s="6">
        <v>0</v>
      </c>
      <c r="F582" s="6">
        <v>0.05</v>
      </c>
      <c r="G582" s="9">
        <v>6</v>
      </c>
      <c r="H582" s="7">
        <v>2014</v>
      </c>
      <c r="I582" s="13">
        <v>22.982211419999999</v>
      </c>
      <c r="J582" s="2">
        <f t="shared" ref="J582:J645" si="27">I582*1000000</f>
        <v>22982211.419999998</v>
      </c>
      <c r="K582" s="4">
        <v>29.964956449999999</v>
      </c>
      <c r="L582" s="4">
        <v>138.3365</v>
      </c>
      <c r="M582" s="12">
        <f t="shared" si="26"/>
        <v>138336500</v>
      </c>
      <c r="N582" s="4">
        <v>138.3365</v>
      </c>
      <c r="O582" s="4">
        <v>118.73650000000001</v>
      </c>
      <c r="P582" s="4" t="s">
        <v>123</v>
      </c>
      <c r="Q582" s="4">
        <v>1</v>
      </c>
      <c r="R582" s="18" t="s">
        <v>113</v>
      </c>
      <c r="S582" s="8" t="s">
        <v>112</v>
      </c>
      <c r="T582" s="8" t="s">
        <v>114</v>
      </c>
      <c r="U582" s="8" t="s">
        <v>114</v>
      </c>
      <c r="V582" s="8" t="s">
        <v>114</v>
      </c>
      <c r="W582" s="8" t="s">
        <v>114</v>
      </c>
    </row>
    <row r="583" spans="1:23" x14ac:dyDescent="0.35">
      <c r="A583" s="5" t="s">
        <v>81</v>
      </c>
      <c r="B583" s="4">
        <v>92</v>
      </c>
      <c r="C583" s="15">
        <v>0</v>
      </c>
      <c r="D583" s="17">
        <f t="shared" ref="D583:D646" si="28">C583*1000000</f>
        <v>0</v>
      </c>
      <c r="E583" s="6">
        <v>0</v>
      </c>
      <c r="F583" s="6">
        <v>0.05</v>
      </c>
      <c r="G583" s="9">
        <v>6</v>
      </c>
      <c r="H583" s="7">
        <v>2014</v>
      </c>
      <c r="I583" s="13">
        <v>16.57705923</v>
      </c>
      <c r="J583" s="2">
        <f t="shared" si="27"/>
        <v>16577059.23</v>
      </c>
      <c r="K583" s="4">
        <v>38.236664849999997</v>
      </c>
      <c r="L583" s="4">
        <v>55.9</v>
      </c>
      <c r="M583" s="12">
        <f t="shared" si="26"/>
        <v>55900000</v>
      </c>
      <c r="N583" s="4">
        <v>55.9</v>
      </c>
      <c r="O583" s="4">
        <v>55.9</v>
      </c>
      <c r="P583" s="4" t="s">
        <v>123</v>
      </c>
      <c r="Q583" s="4">
        <v>1</v>
      </c>
      <c r="R583" s="18" t="s">
        <v>114</v>
      </c>
      <c r="S583" s="8" t="s">
        <v>117</v>
      </c>
      <c r="T583" s="8" t="s">
        <v>115</v>
      </c>
      <c r="U583" s="8" t="s">
        <v>115</v>
      </c>
      <c r="V583" s="8" t="s">
        <v>114</v>
      </c>
      <c r="W583" s="8" t="s">
        <v>115</v>
      </c>
    </row>
    <row r="584" spans="1:23" x14ac:dyDescent="0.35">
      <c r="A584" s="5" t="s">
        <v>82</v>
      </c>
      <c r="B584" s="4">
        <v>93</v>
      </c>
      <c r="C584" s="15">
        <v>0</v>
      </c>
      <c r="D584" s="17">
        <f t="shared" si="28"/>
        <v>0</v>
      </c>
      <c r="E584" s="6">
        <v>0</v>
      </c>
      <c r="F584" s="6">
        <v>0.05</v>
      </c>
      <c r="G584" s="9">
        <v>6</v>
      </c>
      <c r="H584" s="7">
        <v>2014</v>
      </c>
      <c r="I584" s="13">
        <v>25.289046989999999</v>
      </c>
      <c r="J584" s="2">
        <f t="shared" si="27"/>
        <v>25289046.989999998</v>
      </c>
      <c r="K584" s="4">
        <v>34.33444093</v>
      </c>
      <c r="L584" s="4">
        <v>633.81150000000002</v>
      </c>
      <c r="M584" s="12">
        <f t="shared" si="26"/>
        <v>633811500</v>
      </c>
      <c r="N584" s="4">
        <v>633.81150000000002</v>
      </c>
      <c r="O584" s="4">
        <v>169.76150000000007</v>
      </c>
      <c r="P584" s="4" t="s">
        <v>123</v>
      </c>
      <c r="Q584" s="4">
        <v>1</v>
      </c>
      <c r="R584" s="18" t="s">
        <v>111</v>
      </c>
      <c r="S584" s="8" t="s">
        <v>112</v>
      </c>
      <c r="T584" s="8" t="s">
        <v>112</v>
      </c>
      <c r="U584" s="8" t="s">
        <v>112</v>
      </c>
      <c r="V584" s="8" t="s">
        <v>112</v>
      </c>
      <c r="W584" s="8" t="s">
        <v>112</v>
      </c>
    </row>
    <row r="585" spans="1:23" x14ac:dyDescent="0.35">
      <c r="A585" s="5" t="s">
        <v>89</v>
      </c>
      <c r="B585" s="4">
        <v>94</v>
      </c>
      <c r="C585" s="15">
        <v>0</v>
      </c>
      <c r="D585" s="17">
        <f t="shared" si="28"/>
        <v>0</v>
      </c>
      <c r="E585" s="6">
        <v>0</v>
      </c>
      <c r="F585" s="6">
        <v>0.05</v>
      </c>
      <c r="G585" s="9">
        <v>6</v>
      </c>
      <c r="H585" s="7">
        <v>2014</v>
      </c>
      <c r="I585" s="13">
        <v>25.92201936</v>
      </c>
      <c r="J585" s="2">
        <f t="shared" si="27"/>
        <v>25922019.359999999</v>
      </c>
      <c r="K585" s="4">
        <v>34.037418219999999</v>
      </c>
      <c r="M585" s="12">
        <f t="shared" si="26"/>
        <v>0</v>
      </c>
      <c r="O585" s="4">
        <v>0</v>
      </c>
      <c r="Q585" s="4">
        <v>1</v>
      </c>
      <c r="R585" s="18" t="s">
        <v>129</v>
      </c>
      <c r="S585" s="8" t="s">
        <v>130</v>
      </c>
      <c r="T585" s="8" t="s">
        <v>130</v>
      </c>
      <c r="U585" s="8" t="s">
        <v>130</v>
      </c>
      <c r="V585" s="8" t="s">
        <v>130</v>
      </c>
      <c r="W585" s="8" t="s">
        <v>130</v>
      </c>
    </row>
    <row r="586" spans="1:23" x14ac:dyDescent="0.35">
      <c r="A586" s="5" t="s">
        <v>83</v>
      </c>
      <c r="B586" s="4">
        <v>95</v>
      </c>
      <c r="C586" s="15">
        <v>0</v>
      </c>
      <c r="D586" s="17">
        <f t="shared" si="28"/>
        <v>0</v>
      </c>
      <c r="E586" s="6">
        <v>0</v>
      </c>
      <c r="F586" s="6">
        <v>0.05</v>
      </c>
      <c r="G586" s="9">
        <v>6</v>
      </c>
      <c r="H586" s="7">
        <v>2014</v>
      </c>
      <c r="I586" s="13">
        <v>21.806067840000001</v>
      </c>
      <c r="J586" s="2">
        <f t="shared" si="27"/>
        <v>21806067.84</v>
      </c>
      <c r="K586" s="4">
        <v>30.237087320000001</v>
      </c>
      <c r="L586" s="4">
        <v>356.05</v>
      </c>
      <c r="M586" s="12">
        <f t="shared" si="26"/>
        <v>356050000</v>
      </c>
      <c r="N586" s="4">
        <v>356.05</v>
      </c>
      <c r="O586" s="4">
        <v>301.45</v>
      </c>
      <c r="P586" s="4" t="s">
        <v>123</v>
      </c>
      <c r="Q586" s="4">
        <v>1</v>
      </c>
      <c r="R586" s="18" t="s">
        <v>111</v>
      </c>
      <c r="S586" s="8" t="s">
        <v>114</v>
      </c>
      <c r="T586" s="8" t="s">
        <v>115</v>
      </c>
      <c r="U586" s="8" t="s">
        <v>115</v>
      </c>
      <c r="V586" s="8" t="s">
        <v>113</v>
      </c>
      <c r="W586" s="8" t="s">
        <v>113</v>
      </c>
    </row>
    <row r="587" spans="1:23" x14ac:dyDescent="0.35">
      <c r="A587" s="5" t="s">
        <v>84</v>
      </c>
      <c r="B587" s="4">
        <v>96</v>
      </c>
      <c r="C587" s="15">
        <v>0</v>
      </c>
      <c r="D587" s="17">
        <f t="shared" si="28"/>
        <v>0</v>
      </c>
      <c r="E587" s="6">
        <v>0</v>
      </c>
      <c r="F587" s="6">
        <v>0.05</v>
      </c>
      <c r="G587" s="9">
        <v>6</v>
      </c>
      <c r="H587" s="7">
        <v>2014</v>
      </c>
      <c r="I587" s="13">
        <v>18.235140659999999</v>
      </c>
      <c r="J587" s="2">
        <f t="shared" si="27"/>
        <v>18235140.66</v>
      </c>
      <c r="K587" s="4">
        <v>37.825390429999999</v>
      </c>
      <c r="L587" s="4">
        <v>294.34500000000003</v>
      </c>
      <c r="M587" s="12">
        <f t="shared" si="26"/>
        <v>294345000</v>
      </c>
      <c r="N587" s="4">
        <v>294.34500000000003</v>
      </c>
      <c r="O587" s="4">
        <v>4.8450000000000273</v>
      </c>
      <c r="P587" s="4" t="s">
        <v>123</v>
      </c>
      <c r="Q587" s="4">
        <v>1</v>
      </c>
      <c r="R587" s="18" t="s">
        <v>114</v>
      </c>
      <c r="S587" s="8" t="s">
        <v>114</v>
      </c>
      <c r="T587" s="8" t="s">
        <v>115</v>
      </c>
      <c r="U587" s="8" t="s">
        <v>115</v>
      </c>
      <c r="V587" s="8" t="s">
        <v>117</v>
      </c>
      <c r="W587" s="8" t="s">
        <v>117</v>
      </c>
    </row>
    <row r="588" spans="1:23" x14ac:dyDescent="0.35">
      <c r="A588" s="5" t="s">
        <v>85</v>
      </c>
      <c r="B588" s="4">
        <v>97</v>
      </c>
      <c r="C588" s="15">
        <v>0</v>
      </c>
      <c r="D588" s="17">
        <f t="shared" si="28"/>
        <v>0</v>
      </c>
      <c r="E588" s="6">
        <v>0</v>
      </c>
      <c r="F588" s="6">
        <v>0.05</v>
      </c>
      <c r="G588" s="9">
        <v>6</v>
      </c>
      <c r="H588" s="7">
        <v>2014</v>
      </c>
      <c r="I588" s="13">
        <v>22.438082730000001</v>
      </c>
      <c r="J588" s="2">
        <f t="shared" si="27"/>
        <v>22438082.73</v>
      </c>
      <c r="K588" s="4">
        <v>32.995424010000001</v>
      </c>
      <c r="L588" s="4">
        <v>196.1</v>
      </c>
      <c r="M588" s="12">
        <f t="shared" si="26"/>
        <v>196100000</v>
      </c>
      <c r="N588" s="4">
        <v>196.1</v>
      </c>
      <c r="O588" s="4">
        <v>196.1</v>
      </c>
      <c r="P588" s="4" t="s">
        <v>123</v>
      </c>
      <c r="Q588" s="4">
        <v>1</v>
      </c>
      <c r="R588" s="18" t="s">
        <v>112</v>
      </c>
      <c r="S588" s="8" t="s">
        <v>117</v>
      </c>
      <c r="T588" s="8" t="s">
        <v>115</v>
      </c>
      <c r="U588" s="8" t="s">
        <v>115</v>
      </c>
      <c r="V588" s="8" t="s">
        <v>112</v>
      </c>
      <c r="W588" s="8" t="s">
        <v>115</v>
      </c>
    </row>
    <row r="589" spans="1:23" x14ac:dyDescent="0.35">
      <c r="A589" s="5" t="s">
        <v>93</v>
      </c>
      <c r="B589" s="4">
        <v>98</v>
      </c>
      <c r="C589" s="15">
        <v>0</v>
      </c>
      <c r="D589" s="17">
        <f t="shared" si="28"/>
        <v>0</v>
      </c>
      <c r="E589" s="6">
        <v>0</v>
      </c>
      <c r="F589" s="6">
        <v>0.05</v>
      </c>
      <c r="G589" s="9">
        <v>6</v>
      </c>
      <c r="H589" s="7">
        <v>2014</v>
      </c>
      <c r="I589" s="13">
        <v>27.141164570000001</v>
      </c>
      <c r="J589" s="2">
        <f t="shared" si="27"/>
        <v>27141164.57</v>
      </c>
      <c r="K589" s="4">
        <v>32.56323708</v>
      </c>
      <c r="M589" s="12">
        <f t="shared" si="26"/>
        <v>0</v>
      </c>
      <c r="O589" s="4">
        <v>0</v>
      </c>
      <c r="Q589" s="4">
        <v>1</v>
      </c>
      <c r="R589" s="18" t="s">
        <v>132</v>
      </c>
    </row>
    <row r="590" spans="1:23" x14ac:dyDescent="0.35">
      <c r="A590" s="5" t="s">
        <v>90</v>
      </c>
      <c r="B590" s="4">
        <v>1</v>
      </c>
      <c r="C590" s="15">
        <v>0</v>
      </c>
      <c r="D590" s="17">
        <f t="shared" si="28"/>
        <v>0</v>
      </c>
      <c r="E590" s="6">
        <v>0</v>
      </c>
      <c r="F590" s="6">
        <v>0.05</v>
      </c>
      <c r="G590" s="10">
        <v>7</v>
      </c>
      <c r="H590" s="7">
        <v>2017</v>
      </c>
      <c r="I590" s="13">
        <v>55.02687512</v>
      </c>
      <c r="J590" s="2">
        <f t="shared" si="27"/>
        <v>55026875.119999997</v>
      </c>
      <c r="K590" s="4">
        <v>13.521911210000001</v>
      </c>
      <c r="M590" s="12">
        <f t="shared" si="26"/>
        <v>0</v>
      </c>
      <c r="Q590" s="4">
        <v>1</v>
      </c>
      <c r="R590" s="18" t="s">
        <v>125</v>
      </c>
    </row>
    <row r="591" spans="1:23" x14ac:dyDescent="0.35">
      <c r="A591" s="5" t="s">
        <v>91</v>
      </c>
      <c r="B591" s="4">
        <v>2</v>
      </c>
      <c r="C591" s="15">
        <v>0</v>
      </c>
      <c r="D591" s="17">
        <f t="shared" si="28"/>
        <v>0</v>
      </c>
      <c r="E591" s="6">
        <v>0</v>
      </c>
      <c r="F591" s="6">
        <v>0.05</v>
      </c>
      <c r="G591" s="10">
        <v>7</v>
      </c>
      <c r="H591" s="7">
        <v>2017</v>
      </c>
      <c r="I591" s="13">
        <v>52.535106480000003</v>
      </c>
      <c r="J591" s="2">
        <f t="shared" si="27"/>
        <v>52535106.480000004</v>
      </c>
      <c r="K591" s="4">
        <v>19.62336707</v>
      </c>
      <c r="M591" s="12">
        <f t="shared" si="26"/>
        <v>0</v>
      </c>
      <c r="Q591" s="4">
        <v>1</v>
      </c>
      <c r="R591" s="18" t="s">
        <v>126</v>
      </c>
    </row>
    <row r="592" spans="1:23" x14ac:dyDescent="0.35">
      <c r="A592" s="5" t="s">
        <v>4</v>
      </c>
      <c r="B592" s="4">
        <v>3</v>
      </c>
      <c r="C592" s="15">
        <v>0</v>
      </c>
      <c r="D592" s="17">
        <f t="shared" si="28"/>
        <v>0</v>
      </c>
      <c r="E592" s="6">
        <v>0</v>
      </c>
      <c r="F592" s="6">
        <v>0.05</v>
      </c>
      <c r="G592" s="10">
        <v>7</v>
      </c>
      <c r="H592" s="7">
        <v>2017</v>
      </c>
      <c r="I592" s="13">
        <v>23.579569209999999</v>
      </c>
      <c r="J592" s="2">
        <f t="shared" si="27"/>
        <v>23579569.209999997</v>
      </c>
      <c r="K592" s="4">
        <v>5.7827077999999998</v>
      </c>
      <c r="L592" s="4">
        <v>181.96</v>
      </c>
      <c r="M592" s="12">
        <f t="shared" si="26"/>
        <v>181960000</v>
      </c>
      <c r="N592" s="4">
        <v>181.96</v>
      </c>
      <c r="O592" s="4">
        <v>179.3</v>
      </c>
      <c r="P592" s="4" t="s">
        <v>123</v>
      </c>
      <c r="Q592" s="4">
        <v>1</v>
      </c>
      <c r="R592" s="18" t="s">
        <v>111</v>
      </c>
      <c r="S592" s="8" t="s">
        <v>112</v>
      </c>
      <c r="T592" s="8" t="s">
        <v>112</v>
      </c>
      <c r="U592" s="8" t="s">
        <v>112</v>
      </c>
      <c r="V592" s="8" t="s">
        <v>112</v>
      </c>
      <c r="W592" s="8" t="s">
        <v>112</v>
      </c>
    </row>
    <row r="593" spans="1:23" x14ac:dyDescent="0.35">
      <c r="A593" s="5" t="s">
        <v>5</v>
      </c>
      <c r="B593" s="4">
        <v>4</v>
      </c>
      <c r="C593" s="15">
        <v>0</v>
      </c>
      <c r="D593" s="17">
        <f t="shared" si="28"/>
        <v>0</v>
      </c>
      <c r="E593" s="6">
        <v>0</v>
      </c>
      <c r="F593" s="6">
        <v>0.05</v>
      </c>
      <c r="G593" s="10">
        <v>7</v>
      </c>
      <c r="H593" s="7">
        <v>2017</v>
      </c>
      <c r="I593" s="13">
        <v>23.2858968</v>
      </c>
      <c r="J593" s="2">
        <f t="shared" si="27"/>
        <v>23285896.800000001</v>
      </c>
      <c r="K593" s="4">
        <v>5.8018089000000002</v>
      </c>
      <c r="L593" s="4">
        <v>263.37333330000001</v>
      </c>
      <c r="M593" s="12">
        <f t="shared" si="26"/>
        <v>263373333.30000001</v>
      </c>
      <c r="N593" s="4">
        <v>263.37333330000001</v>
      </c>
      <c r="O593" s="4">
        <v>263.37333330000001</v>
      </c>
      <c r="P593" s="4" t="s">
        <v>123</v>
      </c>
      <c r="Q593" s="4">
        <v>1</v>
      </c>
      <c r="R593" s="18" t="s">
        <v>113</v>
      </c>
      <c r="S593" s="8" t="s">
        <v>114</v>
      </c>
      <c r="T593" s="8" t="s">
        <v>112</v>
      </c>
      <c r="U593" s="8" t="s">
        <v>115</v>
      </c>
      <c r="V593" s="8" t="s">
        <v>112</v>
      </c>
      <c r="W593" s="8" t="s">
        <v>115</v>
      </c>
    </row>
    <row r="594" spans="1:23" x14ac:dyDescent="0.35">
      <c r="A594" s="5" t="s">
        <v>6</v>
      </c>
      <c r="B594" s="4">
        <v>5</v>
      </c>
      <c r="C594" s="15">
        <v>0</v>
      </c>
      <c r="D594" s="17">
        <f t="shared" si="28"/>
        <v>0</v>
      </c>
      <c r="E594" s="6">
        <v>0</v>
      </c>
      <c r="F594" s="6">
        <v>0.05</v>
      </c>
      <c r="G594" s="10">
        <v>7</v>
      </c>
      <c r="H594" s="7">
        <v>2017</v>
      </c>
      <c r="I594" s="13">
        <v>21.671342580000001</v>
      </c>
      <c r="J594" s="2">
        <f t="shared" si="27"/>
        <v>21671342.580000002</v>
      </c>
      <c r="K594" s="4">
        <v>6.4142108499999999</v>
      </c>
      <c r="L594" s="4">
        <v>39.763333330000002</v>
      </c>
      <c r="M594" s="12">
        <f t="shared" si="26"/>
        <v>39763333.329999998</v>
      </c>
      <c r="N594" s="4">
        <v>39.763333330000002</v>
      </c>
      <c r="O594" s="4">
        <v>29.393333330000004</v>
      </c>
      <c r="P594" s="4" t="s">
        <v>123</v>
      </c>
      <c r="Q594" s="4">
        <v>1</v>
      </c>
      <c r="R594" s="18" t="s">
        <v>113</v>
      </c>
      <c r="S594" s="8" t="s">
        <v>116</v>
      </c>
      <c r="T594" s="8" t="s">
        <v>116</v>
      </c>
      <c r="U594" s="8" t="s">
        <v>116</v>
      </c>
      <c r="V594" s="8" t="s">
        <v>115</v>
      </c>
      <c r="W594" s="8" t="s">
        <v>114</v>
      </c>
    </row>
    <row r="595" spans="1:23" x14ac:dyDescent="0.35">
      <c r="A595" s="5" t="s">
        <v>7</v>
      </c>
      <c r="B595" s="4">
        <v>6</v>
      </c>
      <c r="C595" s="15">
        <v>0</v>
      </c>
      <c r="D595" s="17">
        <f t="shared" si="28"/>
        <v>0</v>
      </c>
      <c r="E595" s="6">
        <v>0</v>
      </c>
      <c r="F595" s="6">
        <v>0.05</v>
      </c>
      <c r="G595" s="10">
        <v>7</v>
      </c>
      <c r="H595" s="7">
        <v>2017</v>
      </c>
      <c r="I595" s="13">
        <v>23.541579039999998</v>
      </c>
      <c r="J595" s="2">
        <f t="shared" si="27"/>
        <v>23541579.039999999</v>
      </c>
      <c r="K595" s="4">
        <v>6.75142592</v>
      </c>
      <c r="L595" s="4">
        <v>157.41333330000001</v>
      </c>
      <c r="M595" s="12">
        <f t="shared" si="26"/>
        <v>157413333.30000001</v>
      </c>
      <c r="N595" s="4">
        <v>157.41333330000001</v>
      </c>
      <c r="O595" s="4">
        <v>157.41333330000001</v>
      </c>
      <c r="P595" s="4" t="s">
        <v>123</v>
      </c>
      <c r="Q595" s="4">
        <v>1</v>
      </c>
      <c r="R595" s="18" t="s">
        <v>112</v>
      </c>
      <c r="S595" s="8" t="s">
        <v>112</v>
      </c>
      <c r="T595" s="8" t="s">
        <v>117</v>
      </c>
      <c r="U595" s="8" t="s">
        <v>117</v>
      </c>
      <c r="V595" s="8" t="s">
        <v>117</v>
      </c>
      <c r="W595" s="8" t="s">
        <v>117</v>
      </c>
    </row>
    <row r="596" spans="1:23" x14ac:dyDescent="0.35">
      <c r="A596" s="5" t="s">
        <v>8</v>
      </c>
      <c r="B596" s="4">
        <v>7</v>
      </c>
      <c r="C596" s="15">
        <v>0</v>
      </c>
      <c r="D596" s="17">
        <f t="shared" si="28"/>
        <v>0</v>
      </c>
      <c r="E596" s="6">
        <v>0</v>
      </c>
      <c r="F596" s="6">
        <v>0.05</v>
      </c>
      <c r="G596" s="10">
        <v>7</v>
      </c>
      <c r="H596" s="7">
        <v>2017</v>
      </c>
      <c r="I596" s="13">
        <v>17.690717589999998</v>
      </c>
      <c r="J596" s="2">
        <f t="shared" si="27"/>
        <v>17690717.59</v>
      </c>
      <c r="K596" s="4">
        <v>5.9701763799999998</v>
      </c>
      <c r="L596" s="4">
        <v>37.65666667</v>
      </c>
      <c r="M596" s="12">
        <f t="shared" si="26"/>
        <v>37656666.670000002</v>
      </c>
      <c r="N596" s="4">
        <v>37.65666667</v>
      </c>
      <c r="O596" s="4">
        <v>-3.3333299999966925E-3</v>
      </c>
      <c r="P596" s="4" t="s">
        <v>123</v>
      </c>
      <c r="Q596" s="4">
        <v>1</v>
      </c>
      <c r="R596" s="18" t="s">
        <v>114</v>
      </c>
      <c r="S596" s="8" t="s">
        <v>117</v>
      </c>
      <c r="T596" s="8" t="s">
        <v>115</v>
      </c>
      <c r="U596" s="8" t="s">
        <v>115</v>
      </c>
      <c r="V596" s="8" t="s">
        <v>115</v>
      </c>
      <c r="W596" s="8" t="s">
        <v>114</v>
      </c>
    </row>
    <row r="597" spans="1:23" x14ac:dyDescent="0.35">
      <c r="A597" s="5" t="s">
        <v>9</v>
      </c>
      <c r="B597" s="4">
        <v>8</v>
      </c>
      <c r="C597" s="15">
        <v>0</v>
      </c>
      <c r="D597" s="17">
        <f t="shared" si="28"/>
        <v>0</v>
      </c>
      <c r="E597" s="6">
        <v>0</v>
      </c>
      <c r="F597" s="6">
        <v>0.05</v>
      </c>
      <c r="G597" s="10">
        <v>7</v>
      </c>
      <c r="H597" s="7">
        <v>2017</v>
      </c>
      <c r="I597" s="13">
        <v>23.753694289999999</v>
      </c>
      <c r="J597" s="2">
        <f t="shared" si="27"/>
        <v>23753694.289999999</v>
      </c>
      <c r="K597" s="4">
        <v>5.4430571800000003</v>
      </c>
      <c r="L597" s="4">
        <v>142.86333329999999</v>
      </c>
      <c r="M597" s="12">
        <f t="shared" si="26"/>
        <v>142863333.29999998</v>
      </c>
      <c r="N597" s="4">
        <v>142.86333329999999</v>
      </c>
      <c r="O597" s="4">
        <v>142.86333329999999</v>
      </c>
      <c r="P597" s="4" t="s">
        <v>123</v>
      </c>
      <c r="Q597" s="4">
        <v>1</v>
      </c>
      <c r="R597" s="18" t="s">
        <v>111</v>
      </c>
      <c r="S597" s="8" t="s">
        <v>114</v>
      </c>
      <c r="T597" s="8" t="s">
        <v>113</v>
      </c>
      <c r="U597" s="8" t="s">
        <v>115</v>
      </c>
      <c r="V597" s="8" t="s">
        <v>113</v>
      </c>
      <c r="W597" s="8" t="s">
        <v>115</v>
      </c>
    </row>
    <row r="598" spans="1:23" x14ac:dyDescent="0.35">
      <c r="A598" s="5" t="s">
        <v>10</v>
      </c>
      <c r="B598" s="4">
        <v>9</v>
      </c>
      <c r="C598" s="15">
        <v>0</v>
      </c>
      <c r="D598" s="17">
        <f t="shared" si="28"/>
        <v>0</v>
      </c>
      <c r="E598" s="6">
        <v>0</v>
      </c>
      <c r="F598" s="6">
        <v>0.05</v>
      </c>
      <c r="G598" s="10">
        <v>7</v>
      </c>
      <c r="H598" s="7">
        <v>2017</v>
      </c>
      <c r="I598" s="13">
        <v>19.57328944</v>
      </c>
      <c r="J598" s="2">
        <f t="shared" si="27"/>
        <v>19573289.440000001</v>
      </c>
      <c r="K598" s="4">
        <v>5.8723519099999999</v>
      </c>
      <c r="L598" s="4">
        <v>109.3833333</v>
      </c>
      <c r="M598" s="12">
        <f t="shared" si="26"/>
        <v>109383333.3</v>
      </c>
      <c r="N598" s="4">
        <v>109.3833333</v>
      </c>
      <c r="O598" s="4">
        <v>109.3833333</v>
      </c>
      <c r="P598" s="4" t="s">
        <v>123</v>
      </c>
      <c r="Q598" s="4">
        <v>1</v>
      </c>
      <c r="R598" s="18" t="s">
        <v>114</v>
      </c>
      <c r="S598" s="8" t="s">
        <v>117</v>
      </c>
      <c r="T598" s="8" t="s">
        <v>115</v>
      </c>
      <c r="U598" s="8" t="s">
        <v>115</v>
      </c>
      <c r="V598" s="8" t="s">
        <v>114</v>
      </c>
      <c r="W598" s="8" t="s">
        <v>115</v>
      </c>
    </row>
    <row r="599" spans="1:23" x14ac:dyDescent="0.35">
      <c r="A599" s="5" t="s">
        <v>11</v>
      </c>
      <c r="B599" s="4">
        <v>10</v>
      </c>
      <c r="C599" s="15">
        <v>0</v>
      </c>
      <c r="D599" s="17">
        <f t="shared" si="28"/>
        <v>0</v>
      </c>
      <c r="E599" s="6">
        <v>0</v>
      </c>
      <c r="F599" s="6">
        <v>0.05</v>
      </c>
      <c r="G599" s="10">
        <v>7</v>
      </c>
      <c r="H599" s="7">
        <v>2017</v>
      </c>
      <c r="I599" s="13">
        <v>17.893808539999998</v>
      </c>
      <c r="J599" s="2">
        <f t="shared" si="27"/>
        <v>17893808.539999999</v>
      </c>
      <c r="K599" s="4">
        <v>5.5786832799999999</v>
      </c>
      <c r="L599" s="4">
        <v>84.5</v>
      </c>
      <c r="M599" s="12">
        <f t="shared" si="26"/>
        <v>84500000</v>
      </c>
      <c r="N599" s="4">
        <v>84.5</v>
      </c>
      <c r="O599" s="4">
        <v>0</v>
      </c>
      <c r="P599" s="4" t="s">
        <v>123</v>
      </c>
      <c r="Q599" s="4">
        <v>1</v>
      </c>
      <c r="R599" s="18" t="s">
        <v>117</v>
      </c>
      <c r="S599" s="8" t="s">
        <v>117</v>
      </c>
      <c r="T599" s="8" t="s">
        <v>115</v>
      </c>
      <c r="U599" s="8" t="s">
        <v>115</v>
      </c>
      <c r="V599" s="8" t="s">
        <v>115</v>
      </c>
      <c r="W599" s="8" t="s">
        <v>117</v>
      </c>
    </row>
    <row r="600" spans="1:23" x14ac:dyDescent="0.35">
      <c r="A600" s="5" t="s">
        <v>12</v>
      </c>
      <c r="B600" s="4">
        <v>11</v>
      </c>
      <c r="C600" s="15">
        <v>0</v>
      </c>
      <c r="D600" s="17">
        <f t="shared" si="28"/>
        <v>0</v>
      </c>
      <c r="E600" s="6">
        <v>0</v>
      </c>
      <c r="F600" s="6">
        <v>0.05</v>
      </c>
      <c r="G600" s="10">
        <v>7</v>
      </c>
      <c r="H600" s="7">
        <v>2017</v>
      </c>
      <c r="I600" s="13">
        <v>22.54877334</v>
      </c>
      <c r="J600" s="2">
        <f t="shared" si="27"/>
        <v>22548773.34</v>
      </c>
      <c r="K600" s="4">
        <v>5.5064713000000003</v>
      </c>
      <c r="M600" s="12">
        <f t="shared" si="26"/>
        <v>0</v>
      </c>
      <c r="Q600" s="4">
        <v>1</v>
      </c>
      <c r="R600" s="18" t="s">
        <v>134</v>
      </c>
      <c r="S600" s="8" t="s">
        <v>117</v>
      </c>
      <c r="T600" s="8" t="s">
        <v>117</v>
      </c>
      <c r="U600" s="8" t="s">
        <v>115</v>
      </c>
      <c r="V600" s="8" t="s">
        <v>115</v>
      </c>
      <c r="W600" s="8" t="s">
        <v>115</v>
      </c>
    </row>
    <row r="601" spans="1:23" x14ac:dyDescent="0.35">
      <c r="A601" s="5" t="s">
        <v>98</v>
      </c>
      <c r="B601" s="4">
        <v>12</v>
      </c>
      <c r="C601" s="15">
        <v>0</v>
      </c>
      <c r="D601" s="17">
        <f t="shared" si="28"/>
        <v>0</v>
      </c>
      <c r="E601" s="6">
        <v>0</v>
      </c>
      <c r="F601" s="6">
        <v>0.05</v>
      </c>
      <c r="G601" s="10">
        <v>7</v>
      </c>
      <c r="H601" s="7">
        <v>2017</v>
      </c>
      <c r="I601" s="13">
        <v>16.844858479999999</v>
      </c>
      <c r="J601" s="2">
        <f t="shared" si="27"/>
        <v>16844858.48</v>
      </c>
      <c r="K601" s="4">
        <v>7.0704149999999997</v>
      </c>
      <c r="M601" s="12">
        <f t="shared" si="26"/>
        <v>0</v>
      </c>
      <c r="Q601" s="4">
        <v>1</v>
      </c>
      <c r="R601" s="18" t="s">
        <v>128</v>
      </c>
      <c r="S601" s="8" t="s">
        <v>115</v>
      </c>
      <c r="T601" s="8" t="s">
        <v>115</v>
      </c>
      <c r="U601" s="8" t="s">
        <v>115</v>
      </c>
      <c r="V601" s="8" t="s">
        <v>115</v>
      </c>
      <c r="W601" s="8" t="s">
        <v>115</v>
      </c>
    </row>
    <row r="602" spans="1:23" x14ac:dyDescent="0.35">
      <c r="A602" s="5" t="s">
        <v>13</v>
      </c>
      <c r="B602" s="4">
        <v>13</v>
      </c>
      <c r="C602" s="15">
        <v>0</v>
      </c>
      <c r="D602" s="17">
        <f t="shared" si="28"/>
        <v>0</v>
      </c>
      <c r="E602" s="6">
        <v>0</v>
      </c>
      <c r="F602" s="6">
        <v>0.05</v>
      </c>
      <c r="G602" s="10">
        <v>7</v>
      </c>
      <c r="H602" s="7">
        <v>2017</v>
      </c>
      <c r="I602" s="13">
        <v>26.55435237</v>
      </c>
      <c r="J602" s="2">
        <f t="shared" si="27"/>
        <v>26554352.370000001</v>
      </c>
      <c r="K602" s="4">
        <v>7.6531705399999996</v>
      </c>
      <c r="L602" s="4">
        <v>87.073333329999997</v>
      </c>
      <c r="M602" s="12">
        <f t="shared" si="26"/>
        <v>87073333.329999998</v>
      </c>
      <c r="N602" s="4">
        <v>87.073333329999997</v>
      </c>
      <c r="O602" s="4">
        <v>87.073333329999997</v>
      </c>
      <c r="P602" s="4" t="s">
        <v>123</v>
      </c>
      <c r="Q602" s="4">
        <v>1</v>
      </c>
      <c r="R602" s="18" t="s">
        <v>111</v>
      </c>
      <c r="S602" s="8" t="s">
        <v>117</v>
      </c>
      <c r="T602" s="8" t="s">
        <v>115</v>
      </c>
      <c r="U602" s="8" t="s">
        <v>115</v>
      </c>
      <c r="V602" s="8" t="s">
        <v>111</v>
      </c>
      <c r="W602" s="8" t="s">
        <v>115</v>
      </c>
    </row>
    <row r="603" spans="1:23" x14ac:dyDescent="0.35">
      <c r="A603" s="5" t="s">
        <v>14</v>
      </c>
      <c r="B603" s="4">
        <v>14</v>
      </c>
      <c r="C603" s="15">
        <v>0</v>
      </c>
      <c r="D603" s="17">
        <f t="shared" si="28"/>
        <v>0</v>
      </c>
      <c r="E603" s="6">
        <v>0</v>
      </c>
      <c r="F603" s="6">
        <v>0.05</v>
      </c>
      <c r="G603" s="10">
        <v>7</v>
      </c>
      <c r="H603" s="7">
        <v>2017</v>
      </c>
      <c r="I603" s="13">
        <v>19.041146569999999</v>
      </c>
      <c r="J603" s="2">
        <f t="shared" si="27"/>
        <v>19041146.57</v>
      </c>
      <c r="K603" s="4">
        <v>7.90263019</v>
      </c>
      <c r="L603" s="4">
        <v>255.21333329999999</v>
      </c>
      <c r="M603" s="12">
        <f t="shared" si="26"/>
        <v>255213333.29999998</v>
      </c>
      <c r="N603" s="4">
        <v>255.21333329999999</v>
      </c>
      <c r="O603" s="4">
        <v>3.3332999999799995E-3</v>
      </c>
      <c r="P603" s="4" t="s">
        <v>123</v>
      </c>
      <c r="Q603" s="4">
        <v>1</v>
      </c>
      <c r="R603" s="18" t="s">
        <v>113</v>
      </c>
      <c r="S603" s="8" t="s">
        <v>117</v>
      </c>
      <c r="T603" s="8" t="s">
        <v>115</v>
      </c>
      <c r="U603" s="8" t="s">
        <v>115</v>
      </c>
      <c r="V603" s="8" t="s">
        <v>115</v>
      </c>
      <c r="W603" s="8" t="s">
        <v>113</v>
      </c>
    </row>
    <row r="604" spans="1:23" x14ac:dyDescent="0.35">
      <c r="A604" s="5" t="s">
        <v>15</v>
      </c>
      <c r="B604" s="4">
        <v>15</v>
      </c>
      <c r="C604" s="15">
        <v>0</v>
      </c>
      <c r="D604" s="17">
        <f t="shared" si="28"/>
        <v>0</v>
      </c>
      <c r="E604" s="6">
        <v>0</v>
      </c>
      <c r="F604" s="6">
        <v>0.05</v>
      </c>
      <c r="G604" s="10">
        <v>7</v>
      </c>
      <c r="H604" s="7">
        <v>2017</v>
      </c>
      <c r="I604" s="13">
        <v>17.252473640000002</v>
      </c>
      <c r="J604" s="2">
        <f t="shared" si="27"/>
        <v>17252473.640000001</v>
      </c>
      <c r="K604" s="4">
        <v>6.2571992999999999</v>
      </c>
      <c r="L604" s="4">
        <v>143.13999999999999</v>
      </c>
      <c r="M604" s="12">
        <f t="shared" si="26"/>
        <v>143140000</v>
      </c>
      <c r="N604" s="4">
        <v>143.13999999999999</v>
      </c>
      <c r="O604" s="4">
        <v>0</v>
      </c>
      <c r="P604" s="4" t="s">
        <v>123</v>
      </c>
      <c r="Q604" s="4">
        <v>1</v>
      </c>
      <c r="R604" s="18" t="s">
        <v>112</v>
      </c>
      <c r="S604" s="8" t="s">
        <v>117</v>
      </c>
      <c r="T604" s="8" t="s">
        <v>115</v>
      </c>
      <c r="U604" s="8" t="s">
        <v>115</v>
      </c>
      <c r="V604" s="8" t="s">
        <v>115</v>
      </c>
      <c r="W604" s="8" t="s">
        <v>112</v>
      </c>
    </row>
    <row r="605" spans="1:23" x14ac:dyDescent="0.35">
      <c r="A605" s="5" t="s">
        <v>16</v>
      </c>
      <c r="B605" s="4">
        <v>16</v>
      </c>
      <c r="C605" s="15">
        <v>0</v>
      </c>
      <c r="D605" s="17">
        <f t="shared" si="28"/>
        <v>0</v>
      </c>
      <c r="E605" s="6">
        <v>0</v>
      </c>
      <c r="F605" s="6">
        <v>0.05</v>
      </c>
      <c r="G605" s="10">
        <v>7</v>
      </c>
      <c r="H605" s="7">
        <v>2017</v>
      </c>
      <c r="I605" s="13">
        <v>27.334558569999999</v>
      </c>
      <c r="J605" s="2">
        <f t="shared" si="27"/>
        <v>27334558.57</v>
      </c>
      <c r="K605" s="4">
        <v>6.3248844200000001</v>
      </c>
      <c r="L605" s="4">
        <v>111.41333330000001</v>
      </c>
      <c r="M605" s="12">
        <f t="shared" si="26"/>
        <v>111413333.30000001</v>
      </c>
      <c r="N605" s="4">
        <v>111.41333330000001</v>
      </c>
      <c r="O605" s="4">
        <v>97.443333300000006</v>
      </c>
      <c r="P605" s="4" t="s">
        <v>123</v>
      </c>
      <c r="Q605" s="4">
        <v>1</v>
      </c>
      <c r="R605" s="18" t="s">
        <v>113</v>
      </c>
      <c r="S605" s="8" t="s">
        <v>112</v>
      </c>
      <c r="T605" s="8" t="s">
        <v>114</v>
      </c>
      <c r="U605" s="8" t="s">
        <v>114</v>
      </c>
      <c r="V605" s="8" t="s">
        <v>114</v>
      </c>
      <c r="W605" s="8" t="s">
        <v>114</v>
      </c>
    </row>
    <row r="606" spans="1:23" x14ac:dyDescent="0.35">
      <c r="A606" s="5" t="s">
        <v>17</v>
      </c>
      <c r="B606" s="4">
        <v>17</v>
      </c>
      <c r="C606" s="15">
        <v>0</v>
      </c>
      <c r="D606" s="17">
        <f t="shared" si="28"/>
        <v>0</v>
      </c>
      <c r="E606" s="6">
        <v>0</v>
      </c>
      <c r="F606" s="6">
        <v>0.05</v>
      </c>
      <c r="G606" s="10">
        <v>7</v>
      </c>
      <c r="H606" s="7">
        <v>2017</v>
      </c>
      <c r="I606" s="13">
        <v>19.034225899999999</v>
      </c>
      <c r="J606" s="2">
        <f t="shared" si="27"/>
        <v>19034225.899999999</v>
      </c>
      <c r="K606" s="4">
        <v>7.53193424</v>
      </c>
      <c r="L606" s="4">
        <v>0</v>
      </c>
      <c r="M606" s="12">
        <f t="shared" si="26"/>
        <v>0</v>
      </c>
      <c r="N606" s="4">
        <v>0</v>
      </c>
      <c r="O606" s="4">
        <v>0</v>
      </c>
      <c r="P606" s="4" t="s">
        <v>123</v>
      </c>
      <c r="Q606" s="4">
        <v>1</v>
      </c>
      <c r="R606" s="18" t="s">
        <v>117</v>
      </c>
      <c r="S606" s="8" t="s">
        <v>117</v>
      </c>
      <c r="T606" s="8" t="s">
        <v>115</v>
      </c>
      <c r="U606" s="8" t="s">
        <v>115</v>
      </c>
      <c r="V606" s="8" t="s">
        <v>117</v>
      </c>
      <c r="W606" s="8" t="s">
        <v>115</v>
      </c>
    </row>
    <row r="607" spans="1:23" x14ac:dyDescent="0.35">
      <c r="A607" s="5" t="s">
        <v>18</v>
      </c>
      <c r="B607" s="4">
        <v>18</v>
      </c>
      <c r="C607" s="15">
        <v>0</v>
      </c>
      <c r="D607" s="17">
        <f t="shared" si="28"/>
        <v>0</v>
      </c>
      <c r="E607" s="6">
        <v>0</v>
      </c>
      <c r="F607" s="6">
        <v>0.05</v>
      </c>
      <c r="G607" s="10">
        <v>7</v>
      </c>
      <c r="H607" s="7">
        <v>2017</v>
      </c>
      <c r="I607" s="13">
        <v>24.357942529999999</v>
      </c>
      <c r="J607" s="2">
        <f t="shared" si="27"/>
        <v>24357942.529999997</v>
      </c>
      <c r="K607" s="4">
        <v>7.39610506</v>
      </c>
      <c r="L607" s="4">
        <v>71.921666669999993</v>
      </c>
      <c r="M607" s="12">
        <f t="shared" si="26"/>
        <v>71921666.669999987</v>
      </c>
      <c r="N607" s="4">
        <v>71.921666669999993</v>
      </c>
      <c r="O607" s="4">
        <v>71.921666669999993</v>
      </c>
      <c r="P607" s="4" t="s">
        <v>123</v>
      </c>
      <c r="Q607" s="4">
        <v>1</v>
      </c>
      <c r="R607" s="18" t="s">
        <v>114</v>
      </c>
      <c r="S607" s="8" t="s">
        <v>114</v>
      </c>
      <c r="T607" s="8" t="s">
        <v>117</v>
      </c>
      <c r="U607" s="8" t="s">
        <v>117</v>
      </c>
      <c r="V607" s="8" t="s">
        <v>115</v>
      </c>
      <c r="W607" s="8" t="s">
        <v>115</v>
      </c>
    </row>
    <row r="608" spans="1:23" x14ac:dyDescent="0.35">
      <c r="A608" s="5" t="s">
        <v>19</v>
      </c>
      <c r="B608" s="4">
        <v>19</v>
      </c>
      <c r="C608" s="15">
        <v>0</v>
      </c>
      <c r="D608" s="17">
        <f t="shared" si="28"/>
        <v>0</v>
      </c>
      <c r="E608" s="6">
        <v>0</v>
      </c>
      <c r="F608" s="6">
        <v>0.05</v>
      </c>
      <c r="G608" s="10">
        <v>7</v>
      </c>
      <c r="H608" s="7">
        <v>2017</v>
      </c>
      <c r="I608" s="13">
        <v>20.723068349999998</v>
      </c>
      <c r="J608" s="2">
        <f t="shared" si="27"/>
        <v>20723068.349999998</v>
      </c>
      <c r="K608" s="4">
        <v>7.6610923</v>
      </c>
      <c r="L608" s="4">
        <v>40.91333333</v>
      </c>
      <c r="M608" s="12">
        <f t="shared" si="26"/>
        <v>40913333.329999998</v>
      </c>
      <c r="N608" s="4">
        <v>40.91333333</v>
      </c>
      <c r="O608" s="4">
        <v>40.91333333</v>
      </c>
      <c r="P608" s="4" t="s">
        <v>123</v>
      </c>
      <c r="Q608" s="4">
        <v>1</v>
      </c>
      <c r="R608" s="18" t="s">
        <v>114</v>
      </c>
      <c r="S608" s="8" t="s">
        <v>114</v>
      </c>
      <c r="T608" s="8" t="s">
        <v>117</v>
      </c>
      <c r="U608" s="8" t="s">
        <v>115</v>
      </c>
      <c r="V608" s="8" t="s">
        <v>117</v>
      </c>
      <c r="W608" s="8" t="s">
        <v>115</v>
      </c>
    </row>
    <row r="609" spans="1:23" x14ac:dyDescent="0.35">
      <c r="A609" s="5" t="s">
        <v>20</v>
      </c>
      <c r="B609" s="4">
        <v>20</v>
      </c>
      <c r="C609" s="15">
        <v>0</v>
      </c>
      <c r="D609" s="17">
        <f t="shared" si="28"/>
        <v>0</v>
      </c>
      <c r="E609" s="6">
        <v>0</v>
      </c>
      <c r="F609" s="6">
        <v>0.05</v>
      </c>
      <c r="G609" s="10">
        <v>7</v>
      </c>
      <c r="H609" s="7">
        <v>2017</v>
      </c>
      <c r="I609" s="13">
        <v>21.143127629999999</v>
      </c>
      <c r="J609" s="2">
        <f t="shared" si="27"/>
        <v>21143127.629999999</v>
      </c>
      <c r="K609" s="4">
        <v>7.2336396799999996</v>
      </c>
      <c r="L609" s="4">
        <v>35.81</v>
      </c>
      <c r="M609" s="12">
        <f t="shared" si="26"/>
        <v>35810000</v>
      </c>
      <c r="N609" s="4">
        <v>35.81</v>
      </c>
      <c r="O609" s="4">
        <v>35.81</v>
      </c>
      <c r="P609" s="4" t="s">
        <v>123</v>
      </c>
      <c r="Q609" s="4">
        <v>1</v>
      </c>
      <c r="R609" s="18" t="s">
        <v>117</v>
      </c>
      <c r="S609" s="8" t="s">
        <v>117</v>
      </c>
      <c r="T609" s="8" t="s">
        <v>115</v>
      </c>
      <c r="U609" s="8" t="s">
        <v>117</v>
      </c>
      <c r="V609" s="8" t="s">
        <v>115</v>
      </c>
      <c r="W609" s="8" t="s">
        <v>115</v>
      </c>
    </row>
    <row r="610" spans="1:23" x14ac:dyDescent="0.35">
      <c r="A610" s="5" t="s">
        <v>21</v>
      </c>
      <c r="B610" s="4">
        <v>21</v>
      </c>
      <c r="C610" s="15">
        <v>0</v>
      </c>
      <c r="D610" s="17">
        <f t="shared" si="28"/>
        <v>0</v>
      </c>
      <c r="E610" s="6">
        <v>0</v>
      </c>
      <c r="F610" s="6">
        <v>0.05</v>
      </c>
      <c r="G610" s="10">
        <v>7</v>
      </c>
      <c r="H610" s="7">
        <v>2017</v>
      </c>
      <c r="I610" s="13">
        <v>26.20369131</v>
      </c>
      <c r="J610" s="2">
        <f t="shared" si="27"/>
        <v>26203691.309999999</v>
      </c>
      <c r="K610" s="4">
        <v>7.1939761600000001</v>
      </c>
      <c r="L610" s="4">
        <v>143.96</v>
      </c>
      <c r="M610" s="12">
        <f t="shared" si="26"/>
        <v>143960000</v>
      </c>
      <c r="N610" s="4">
        <v>143.96</v>
      </c>
      <c r="O610" s="4">
        <v>143.96</v>
      </c>
      <c r="P610" s="4" t="s">
        <v>123</v>
      </c>
      <c r="Q610" s="4">
        <v>1</v>
      </c>
      <c r="R610" s="18" t="s">
        <v>112</v>
      </c>
      <c r="S610" s="8" t="s">
        <v>116</v>
      </c>
      <c r="T610" s="8" t="s">
        <v>114</v>
      </c>
      <c r="U610" s="8" t="s">
        <v>117</v>
      </c>
      <c r="V610" s="8" t="s">
        <v>117</v>
      </c>
      <c r="W610" s="8" t="s">
        <v>115</v>
      </c>
    </row>
    <row r="611" spans="1:23" x14ac:dyDescent="0.35">
      <c r="A611" s="5" t="s">
        <v>22</v>
      </c>
      <c r="B611" s="4">
        <v>22</v>
      </c>
      <c r="C611" s="15">
        <v>0</v>
      </c>
      <c r="D611" s="17">
        <f t="shared" si="28"/>
        <v>0</v>
      </c>
      <c r="E611" s="6">
        <v>0</v>
      </c>
      <c r="F611" s="6">
        <v>0.05</v>
      </c>
      <c r="G611" s="10">
        <v>7</v>
      </c>
      <c r="H611" s="7">
        <v>2017</v>
      </c>
      <c r="I611" s="13">
        <v>26.65829445</v>
      </c>
      <c r="J611" s="2">
        <f t="shared" si="27"/>
        <v>26658294.449999999</v>
      </c>
      <c r="K611" s="4">
        <v>7.16624733</v>
      </c>
      <c r="L611" s="4">
        <v>111.0366667</v>
      </c>
      <c r="M611" s="12">
        <f t="shared" si="26"/>
        <v>111036666.7</v>
      </c>
      <c r="N611" s="4">
        <v>111.0366667</v>
      </c>
      <c r="O611" s="4">
        <v>75.686666699999989</v>
      </c>
      <c r="P611" s="4" t="s">
        <v>123</v>
      </c>
      <c r="Q611" s="4">
        <v>1</v>
      </c>
      <c r="R611" s="18" t="s">
        <v>111</v>
      </c>
      <c r="S611" s="8" t="s">
        <v>116</v>
      </c>
      <c r="T611" s="8" t="s">
        <v>115</v>
      </c>
      <c r="U611" s="8" t="s">
        <v>118</v>
      </c>
      <c r="V611" s="8" t="s">
        <v>119</v>
      </c>
      <c r="W611" s="8" t="s">
        <v>119</v>
      </c>
    </row>
    <row r="612" spans="1:23" x14ac:dyDescent="0.35">
      <c r="A612" s="5" t="s">
        <v>23</v>
      </c>
      <c r="B612" s="4">
        <v>23</v>
      </c>
      <c r="C612" s="15">
        <v>0</v>
      </c>
      <c r="D612" s="17">
        <f t="shared" si="28"/>
        <v>0</v>
      </c>
      <c r="E612" s="6">
        <v>0</v>
      </c>
      <c r="F612" s="6">
        <v>0.05</v>
      </c>
      <c r="G612" s="10">
        <v>7</v>
      </c>
      <c r="H612" s="7">
        <v>2017</v>
      </c>
      <c r="I612" s="13">
        <v>22.1503476</v>
      </c>
      <c r="J612" s="2">
        <f t="shared" si="27"/>
        <v>22150347.600000001</v>
      </c>
      <c r="K612" s="4">
        <v>8.2586585100000001</v>
      </c>
      <c r="L612" s="4">
        <v>111.5766667</v>
      </c>
      <c r="M612" s="12">
        <f t="shared" si="26"/>
        <v>111576666.7</v>
      </c>
      <c r="N612" s="4">
        <v>111.5766667</v>
      </c>
      <c r="O612" s="4">
        <v>111.5766667</v>
      </c>
      <c r="P612" s="4" t="s">
        <v>123</v>
      </c>
      <c r="Q612" s="4">
        <v>1</v>
      </c>
      <c r="R612" s="18" t="s">
        <v>112</v>
      </c>
      <c r="S612" s="8" t="s">
        <v>114</v>
      </c>
      <c r="T612" s="8" t="s">
        <v>114</v>
      </c>
      <c r="U612" s="8" t="s">
        <v>115</v>
      </c>
      <c r="V612" s="8" t="s">
        <v>114</v>
      </c>
      <c r="W612" s="8" t="s">
        <v>115</v>
      </c>
    </row>
    <row r="613" spans="1:23" x14ac:dyDescent="0.35">
      <c r="A613" s="5" t="s">
        <v>24</v>
      </c>
      <c r="B613" s="4">
        <v>24</v>
      </c>
      <c r="C613" s="15">
        <v>0</v>
      </c>
      <c r="D613" s="17">
        <f t="shared" si="28"/>
        <v>0</v>
      </c>
      <c r="E613" s="6">
        <v>0</v>
      </c>
      <c r="F613" s="6">
        <v>0.05</v>
      </c>
      <c r="G613" s="10">
        <v>7</v>
      </c>
      <c r="H613" s="7">
        <v>2017</v>
      </c>
      <c r="I613" s="13">
        <v>34.397285959999998</v>
      </c>
      <c r="J613" s="2">
        <f t="shared" si="27"/>
        <v>34397285.960000001</v>
      </c>
      <c r="K613" s="4">
        <v>8.4594630800000008</v>
      </c>
      <c r="L613" s="4">
        <v>330.97</v>
      </c>
      <c r="M613" s="12">
        <f t="shared" si="26"/>
        <v>330970000</v>
      </c>
      <c r="N613" s="4">
        <v>330.97</v>
      </c>
      <c r="O613" s="4">
        <v>318.84000000000003</v>
      </c>
      <c r="P613" s="4" t="s">
        <v>123</v>
      </c>
      <c r="Q613" s="4">
        <v>1</v>
      </c>
      <c r="R613" s="18" t="s">
        <v>120</v>
      </c>
      <c r="S613" s="8" t="s">
        <v>112</v>
      </c>
      <c r="T613" s="8" t="s">
        <v>111</v>
      </c>
      <c r="U613" s="8" t="s">
        <v>121</v>
      </c>
      <c r="V613" s="8" t="s">
        <v>122</v>
      </c>
      <c r="W613" s="8" t="s">
        <v>121</v>
      </c>
    </row>
    <row r="614" spans="1:23" x14ac:dyDescent="0.35">
      <c r="A614" s="5" t="s">
        <v>86</v>
      </c>
      <c r="B614" s="4">
        <v>25</v>
      </c>
      <c r="C614" s="15">
        <v>0</v>
      </c>
      <c r="D614" s="17">
        <f t="shared" si="28"/>
        <v>0</v>
      </c>
      <c r="E614" s="6">
        <v>0</v>
      </c>
      <c r="F614" s="6">
        <v>0.05</v>
      </c>
      <c r="G614" s="10">
        <v>7</v>
      </c>
      <c r="H614" s="7">
        <v>2017</v>
      </c>
      <c r="I614" s="13">
        <v>15.70965717</v>
      </c>
      <c r="J614" s="2">
        <f t="shared" si="27"/>
        <v>15709657.17</v>
      </c>
      <c r="K614" s="4">
        <v>6.2537119700000003</v>
      </c>
      <c r="M614" s="12">
        <f t="shared" si="26"/>
        <v>0</v>
      </c>
      <c r="Q614" s="4">
        <v>1</v>
      </c>
      <c r="R614" s="18" t="s">
        <v>127</v>
      </c>
    </row>
    <row r="615" spans="1:23" x14ac:dyDescent="0.35">
      <c r="A615" s="5" t="s">
        <v>25</v>
      </c>
      <c r="B615" s="4">
        <v>26</v>
      </c>
      <c r="C615" s="15">
        <v>0</v>
      </c>
      <c r="D615" s="17">
        <f t="shared" si="28"/>
        <v>0</v>
      </c>
      <c r="E615" s="6">
        <v>0</v>
      </c>
      <c r="F615" s="6">
        <v>0.05</v>
      </c>
      <c r="G615" s="10">
        <v>7</v>
      </c>
      <c r="H615" s="7">
        <v>2017</v>
      </c>
      <c r="I615" s="13">
        <v>21.24857939</v>
      </c>
      <c r="J615" s="2">
        <f t="shared" si="27"/>
        <v>21248579.390000001</v>
      </c>
      <c r="K615" s="4">
        <v>6.7382412199999999</v>
      </c>
      <c r="L615" s="4">
        <v>213.3833333</v>
      </c>
      <c r="M615" s="12">
        <f t="shared" si="26"/>
        <v>213383333.30000001</v>
      </c>
      <c r="N615" s="4">
        <v>213.3833333</v>
      </c>
      <c r="O615" s="4">
        <v>144.8533333</v>
      </c>
      <c r="P615" s="4" t="s">
        <v>123</v>
      </c>
      <c r="Q615" s="4">
        <v>1</v>
      </c>
      <c r="R615" s="18" t="s">
        <v>112</v>
      </c>
      <c r="S615" s="8" t="s">
        <v>112</v>
      </c>
      <c r="T615" s="8" t="s">
        <v>117</v>
      </c>
      <c r="U615" s="8" t="s">
        <v>117</v>
      </c>
      <c r="V615" s="8" t="s">
        <v>117</v>
      </c>
      <c r="W615" s="8" t="s">
        <v>117</v>
      </c>
    </row>
    <row r="616" spans="1:23" x14ac:dyDescent="0.35">
      <c r="A616" s="5" t="s">
        <v>26</v>
      </c>
      <c r="B616" s="4">
        <v>27</v>
      </c>
      <c r="C616" s="15">
        <v>0</v>
      </c>
      <c r="D616" s="17">
        <f t="shared" si="28"/>
        <v>0</v>
      </c>
      <c r="E616" s="6">
        <v>0</v>
      </c>
      <c r="F616" s="6">
        <v>0.05</v>
      </c>
      <c r="G616" s="10">
        <v>7</v>
      </c>
      <c r="H616" s="7">
        <v>2017</v>
      </c>
      <c r="I616" s="13">
        <v>24.83809814</v>
      </c>
      <c r="J616" s="2">
        <f t="shared" si="27"/>
        <v>24838098.140000001</v>
      </c>
      <c r="K616" s="4">
        <v>8.1670732099999999</v>
      </c>
      <c r="L616" s="4">
        <v>77.123333329999994</v>
      </c>
      <c r="M616" s="12">
        <f t="shared" si="26"/>
        <v>77123333.329999998</v>
      </c>
      <c r="N616" s="4">
        <v>77.123333329999994</v>
      </c>
      <c r="O616" s="4">
        <v>77.123333329999994</v>
      </c>
      <c r="P616" s="4" t="s">
        <v>123</v>
      </c>
      <c r="Q616" s="4">
        <v>1</v>
      </c>
      <c r="R616" s="18" t="s">
        <v>114</v>
      </c>
      <c r="S616" s="8" t="s">
        <v>117</v>
      </c>
      <c r="T616" s="8" t="s">
        <v>114</v>
      </c>
      <c r="U616" s="8" t="s">
        <v>115</v>
      </c>
      <c r="V616" s="8" t="s">
        <v>115</v>
      </c>
      <c r="W616" s="8" t="s">
        <v>115</v>
      </c>
    </row>
    <row r="617" spans="1:23" x14ac:dyDescent="0.35">
      <c r="A617" s="5" t="s">
        <v>27</v>
      </c>
      <c r="B617" s="4">
        <v>28</v>
      </c>
      <c r="C617" s="15">
        <v>0</v>
      </c>
      <c r="D617" s="17">
        <f t="shared" si="28"/>
        <v>0</v>
      </c>
      <c r="E617" s="6">
        <v>0</v>
      </c>
      <c r="F617" s="6">
        <v>0.05</v>
      </c>
      <c r="G617" s="10">
        <v>7</v>
      </c>
      <c r="H617" s="7">
        <v>2017</v>
      </c>
      <c r="I617" s="13">
        <v>29.42558296</v>
      </c>
      <c r="J617" s="2">
        <f t="shared" si="27"/>
        <v>29425582.960000001</v>
      </c>
      <c r="K617" s="4">
        <v>7.1768781500000003</v>
      </c>
      <c r="L617" s="4">
        <v>312.45999999999998</v>
      </c>
      <c r="M617" s="12">
        <f t="shared" si="26"/>
        <v>312460000</v>
      </c>
      <c r="N617" s="4">
        <v>312.45999999999998</v>
      </c>
      <c r="O617" s="4">
        <v>296.34999999999997</v>
      </c>
      <c r="P617" s="4" t="s">
        <v>123</v>
      </c>
      <c r="Q617" s="4">
        <v>1</v>
      </c>
      <c r="R617" s="18" t="s">
        <v>120</v>
      </c>
      <c r="S617" s="8" t="s">
        <v>112</v>
      </c>
      <c r="T617" s="8" t="s">
        <v>111</v>
      </c>
      <c r="U617" s="8" t="s">
        <v>121</v>
      </c>
      <c r="V617" s="8" t="s">
        <v>122</v>
      </c>
      <c r="W617" s="8" t="s">
        <v>121</v>
      </c>
    </row>
    <row r="618" spans="1:23" x14ac:dyDescent="0.35">
      <c r="A618" s="5" t="s">
        <v>28</v>
      </c>
      <c r="B618" s="4">
        <v>29</v>
      </c>
      <c r="C618" s="15">
        <v>0</v>
      </c>
      <c r="D618" s="17">
        <f t="shared" si="28"/>
        <v>0</v>
      </c>
      <c r="E618" s="6">
        <v>0</v>
      </c>
      <c r="F618" s="6">
        <v>0.05</v>
      </c>
      <c r="G618" s="10">
        <v>7</v>
      </c>
      <c r="H618" s="7">
        <v>2017</v>
      </c>
      <c r="I618" s="13">
        <v>20.695399890000001</v>
      </c>
      <c r="J618" s="2">
        <f t="shared" si="27"/>
        <v>20695399.890000001</v>
      </c>
      <c r="K618" s="4">
        <v>8.8444622400000004</v>
      </c>
      <c r="L618" s="4">
        <v>70.599999999999994</v>
      </c>
      <c r="M618" s="12">
        <f t="shared" si="26"/>
        <v>70600000</v>
      </c>
      <c r="N618" s="4">
        <v>70.599999999999994</v>
      </c>
      <c r="O618" s="4">
        <v>70.599999999999994</v>
      </c>
      <c r="P618" s="4" t="s">
        <v>123</v>
      </c>
      <c r="Q618" s="4">
        <v>1</v>
      </c>
      <c r="R618" s="18" t="s">
        <v>117</v>
      </c>
      <c r="S618" s="8" t="s">
        <v>117</v>
      </c>
      <c r="T618" s="8" t="s">
        <v>115</v>
      </c>
      <c r="U618" s="8" t="s">
        <v>115</v>
      </c>
      <c r="V618" s="8" t="s">
        <v>117</v>
      </c>
      <c r="W618" s="8" t="s">
        <v>115</v>
      </c>
    </row>
    <row r="619" spans="1:23" x14ac:dyDescent="0.35">
      <c r="A619" s="5" t="s">
        <v>29</v>
      </c>
      <c r="B619" s="4">
        <v>30</v>
      </c>
      <c r="C619" s="15">
        <v>0</v>
      </c>
      <c r="D619" s="17">
        <f t="shared" si="28"/>
        <v>0</v>
      </c>
      <c r="E619" s="6">
        <v>0</v>
      </c>
      <c r="F619" s="6">
        <v>0.05</v>
      </c>
      <c r="G619" s="10">
        <v>7</v>
      </c>
      <c r="H619" s="7">
        <v>2017</v>
      </c>
      <c r="I619" s="13">
        <v>21.554166120000001</v>
      </c>
      <c r="J619" s="2">
        <f t="shared" si="27"/>
        <v>21554166.120000001</v>
      </c>
      <c r="K619" s="4">
        <v>9.3849728599999995</v>
      </c>
      <c r="L619" s="4">
        <v>0</v>
      </c>
      <c r="M619" s="12">
        <f t="shared" si="26"/>
        <v>0</v>
      </c>
      <c r="N619" s="4">
        <v>0</v>
      </c>
      <c r="O619" s="4">
        <v>0</v>
      </c>
      <c r="P619" s="4" t="s">
        <v>123</v>
      </c>
      <c r="Q619" s="4">
        <v>1</v>
      </c>
      <c r="R619" s="18" t="s">
        <v>117</v>
      </c>
      <c r="S619" s="8" t="s">
        <v>117</v>
      </c>
      <c r="T619" s="8" t="s">
        <v>117</v>
      </c>
      <c r="U619" s="8" t="s">
        <v>115</v>
      </c>
      <c r="V619" s="8" t="s">
        <v>115</v>
      </c>
      <c r="W619" s="8" t="s">
        <v>115</v>
      </c>
    </row>
    <row r="620" spans="1:23" x14ac:dyDescent="0.35">
      <c r="A620" s="5" t="s">
        <v>30</v>
      </c>
      <c r="B620" s="4">
        <v>31</v>
      </c>
      <c r="C620" s="15">
        <v>0</v>
      </c>
      <c r="D620" s="17">
        <f t="shared" si="28"/>
        <v>0</v>
      </c>
      <c r="E620" s="6">
        <v>0</v>
      </c>
      <c r="F620" s="6">
        <v>0.05</v>
      </c>
      <c r="G620" s="10">
        <v>7</v>
      </c>
      <c r="H620" s="7">
        <v>2017</v>
      </c>
      <c r="I620" s="13">
        <v>30.14401793</v>
      </c>
      <c r="J620" s="2">
        <f t="shared" si="27"/>
        <v>30144017.93</v>
      </c>
      <c r="K620" s="4">
        <v>11.43026412</v>
      </c>
      <c r="L620" s="4">
        <v>219.00333330000001</v>
      </c>
      <c r="M620" s="12">
        <f t="shared" si="26"/>
        <v>219003333.30000001</v>
      </c>
      <c r="N620" s="4">
        <v>219.00333330000001</v>
      </c>
      <c r="O620" s="4">
        <v>82.903333300000014</v>
      </c>
      <c r="P620" s="4" t="s">
        <v>123</v>
      </c>
      <c r="Q620" s="4">
        <v>1</v>
      </c>
      <c r="R620" s="18" t="s">
        <v>112</v>
      </c>
      <c r="S620" s="8" t="s">
        <v>114</v>
      </c>
      <c r="T620" s="8" t="s">
        <v>115</v>
      </c>
      <c r="U620" s="8" t="s">
        <v>114</v>
      </c>
      <c r="V620" s="8" t="s">
        <v>115</v>
      </c>
      <c r="W620" s="8" t="s">
        <v>114</v>
      </c>
    </row>
    <row r="621" spans="1:23" x14ac:dyDescent="0.35">
      <c r="A621" s="5" t="s">
        <v>99</v>
      </c>
      <c r="B621" s="4">
        <v>32</v>
      </c>
      <c r="C621" s="15">
        <v>0</v>
      </c>
      <c r="D621" s="17">
        <f t="shared" si="28"/>
        <v>0</v>
      </c>
      <c r="E621" s="6">
        <v>0</v>
      </c>
      <c r="F621" s="6">
        <v>0.05</v>
      </c>
      <c r="G621" s="10">
        <v>7</v>
      </c>
      <c r="H621" s="7">
        <v>2017</v>
      </c>
      <c r="I621" s="13">
        <v>21.178574789999999</v>
      </c>
      <c r="J621" s="2">
        <f t="shared" si="27"/>
        <v>21178574.789999999</v>
      </c>
      <c r="K621" s="4">
        <v>11.76576691</v>
      </c>
      <c r="M621" s="12">
        <f t="shared" si="26"/>
        <v>0</v>
      </c>
      <c r="Q621" s="4">
        <v>1</v>
      </c>
      <c r="R621" s="18" t="s">
        <v>128</v>
      </c>
      <c r="S621" s="8" t="s">
        <v>115</v>
      </c>
      <c r="T621" s="8" t="s">
        <v>115</v>
      </c>
      <c r="U621" s="8" t="s">
        <v>115</v>
      </c>
      <c r="V621" s="8" t="s">
        <v>115</v>
      </c>
      <c r="W621" s="8" t="s">
        <v>115</v>
      </c>
    </row>
    <row r="622" spans="1:23" x14ac:dyDescent="0.35">
      <c r="A622" s="5" t="s">
        <v>31</v>
      </c>
      <c r="B622" s="4">
        <v>33</v>
      </c>
      <c r="C622" s="15">
        <v>0</v>
      </c>
      <c r="D622" s="17">
        <f t="shared" si="28"/>
        <v>0</v>
      </c>
      <c r="E622" s="6">
        <v>0</v>
      </c>
      <c r="F622" s="6">
        <v>0.05</v>
      </c>
      <c r="G622" s="10">
        <v>7</v>
      </c>
      <c r="H622" s="7">
        <v>2017</v>
      </c>
      <c r="I622" s="13">
        <v>27.02453362</v>
      </c>
      <c r="J622" s="2">
        <f t="shared" si="27"/>
        <v>27024533.620000001</v>
      </c>
      <c r="K622" s="4">
        <v>10.843746429999999</v>
      </c>
      <c r="L622" s="4">
        <v>110.55666669999999</v>
      </c>
      <c r="M622" s="12">
        <f t="shared" si="26"/>
        <v>110556666.69999999</v>
      </c>
      <c r="N622" s="4">
        <v>110.55666669999999</v>
      </c>
      <c r="O622" s="4">
        <v>103.66666669999999</v>
      </c>
      <c r="P622" s="4" t="s">
        <v>123</v>
      </c>
      <c r="Q622" s="4">
        <v>1</v>
      </c>
      <c r="R622" s="18" t="s">
        <v>114</v>
      </c>
      <c r="S622" s="8" t="s">
        <v>114</v>
      </c>
      <c r="T622" s="8" t="s">
        <v>115</v>
      </c>
      <c r="U622" s="8" t="s">
        <v>115</v>
      </c>
      <c r="V622" s="8" t="s">
        <v>117</v>
      </c>
      <c r="W622" s="8" t="s">
        <v>117</v>
      </c>
    </row>
    <row r="623" spans="1:23" x14ac:dyDescent="0.35">
      <c r="A623" s="5" t="s">
        <v>32</v>
      </c>
      <c r="B623" s="4">
        <v>34</v>
      </c>
      <c r="C623" s="15">
        <v>0</v>
      </c>
      <c r="D623" s="17">
        <f t="shared" si="28"/>
        <v>0</v>
      </c>
      <c r="E623" s="6">
        <v>0</v>
      </c>
      <c r="F623" s="6">
        <v>0.05</v>
      </c>
      <c r="G623" s="10">
        <v>7</v>
      </c>
      <c r="H623" s="7">
        <v>2017</v>
      </c>
      <c r="I623" s="13">
        <v>30.04524473</v>
      </c>
      <c r="J623" s="2">
        <f t="shared" si="27"/>
        <v>30045244.73</v>
      </c>
      <c r="K623" s="4">
        <v>11.48299899</v>
      </c>
      <c r="L623" s="4">
        <v>82.103333329999998</v>
      </c>
      <c r="M623" s="12">
        <f t="shared" si="26"/>
        <v>82103333.329999998</v>
      </c>
      <c r="N623" s="4">
        <v>82.103333329999998</v>
      </c>
      <c r="O623" s="4">
        <v>82.103333329999998</v>
      </c>
      <c r="P623" s="4" t="s">
        <v>123</v>
      </c>
      <c r="Q623" s="4">
        <v>1</v>
      </c>
      <c r="R623" s="18" t="s">
        <v>112</v>
      </c>
      <c r="S623" s="8" t="s">
        <v>117</v>
      </c>
      <c r="T623" s="8" t="s">
        <v>115</v>
      </c>
      <c r="U623" s="8" t="s">
        <v>112</v>
      </c>
      <c r="V623" s="8" t="s">
        <v>115</v>
      </c>
      <c r="W623" s="8" t="s">
        <v>115</v>
      </c>
    </row>
    <row r="624" spans="1:23" x14ac:dyDescent="0.35">
      <c r="A624" s="5" t="s">
        <v>33</v>
      </c>
      <c r="B624" s="4">
        <v>35</v>
      </c>
      <c r="C624" s="15">
        <v>0</v>
      </c>
      <c r="D624" s="17">
        <f t="shared" si="28"/>
        <v>0</v>
      </c>
      <c r="E624" s="6">
        <v>0</v>
      </c>
      <c r="F624" s="6">
        <v>0.05</v>
      </c>
      <c r="G624" s="10">
        <v>7</v>
      </c>
      <c r="H624" s="7">
        <v>2017</v>
      </c>
      <c r="I624" s="13">
        <v>34.700823829999997</v>
      </c>
      <c r="J624" s="2">
        <f t="shared" si="27"/>
        <v>34700823.829999998</v>
      </c>
      <c r="K624" s="4">
        <v>10.557064670000001</v>
      </c>
      <c r="L624" s="4">
        <v>163.77000000000001</v>
      </c>
      <c r="M624" s="12">
        <f t="shared" si="26"/>
        <v>163770000</v>
      </c>
      <c r="N624" s="4">
        <v>163.77000000000001</v>
      </c>
      <c r="O624" s="4">
        <v>163.77000000000001</v>
      </c>
      <c r="P624" s="4" t="s">
        <v>123</v>
      </c>
      <c r="Q624" s="4">
        <v>1</v>
      </c>
      <c r="R624" s="18" t="s">
        <v>111</v>
      </c>
      <c r="S624" s="8" t="s">
        <v>114</v>
      </c>
      <c r="T624" s="8" t="s">
        <v>113</v>
      </c>
      <c r="U624" s="8" t="s">
        <v>113</v>
      </c>
      <c r="V624" s="8" t="s">
        <v>115</v>
      </c>
      <c r="W624" s="8" t="s">
        <v>115</v>
      </c>
    </row>
    <row r="625" spans="1:23" x14ac:dyDescent="0.35">
      <c r="A625" s="5" t="s">
        <v>88</v>
      </c>
      <c r="B625" s="4">
        <v>36</v>
      </c>
      <c r="C625" s="15">
        <v>0</v>
      </c>
      <c r="D625" s="17">
        <f t="shared" si="28"/>
        <v>0</v>
      </c>
      <c r="E625" s="6">
        <v>0</v>
      </c>
      <c r="F625" s="6">
        <v>0.05</v>
      </c>
      <c r="G625" s="10">
        <v>7</v>
      </c>
      <c r="H625" s="7">
        <v>2017</v>
      </c>
      <c r="I625" s="13">
        <v>31.925745939999999</v>
      </c>
      <c r="J625" s="2">
        <f t="shared" si="27"/>
        <v>31925745.939999998</v>
      </c>
      <c r="K625" s="4">
        <v>12.02860441</v>
      </c>
      <c r="M625" s="12">
        <f t="shared" si="26"/>
        <v>0</v>
      </c>
      <c r="Q625" s="4">
        <v>1</v>
      </c>
      <c r="R625" s="19" t="s">
        <v>129</v>
      </c>
      <c r="S625" s="8" t="s">
        <v>130</v>
      </c>
      <c r="T625" s="8" t="s">
        <v>130</v>
      </c>
      <c r="U625" s="8" t="s">
        <v>130</v>
      </c>
      <c r="V625" s="8" t="s">
        <v>130</v>
      </c>
      <c r="W625" s="8" t="s">
        <v>130</v>
      </c>
    </row>
    <row r="626" spans="1:23" x14ac:dyDescent="0.35">
      <c r="A626" s="5" t="s">
        <v>34</v>
      </c>
      <c r="B626" s="4">
        <v>37</v>
      </c>
      <c r="C626" s="15">
        <v>0</v>
      </c>
      <c r="D626" s="17">
        <f t="shared" si="28"/>
        <v>0</v>
      </c>
      <c r="E626" s="6">
        <v>0</v>
      </c>
      <c r="F626" s="6">
        <v>0.05</v>
      </c>
      <c r="G626" s="10">
        <v>7</v>
      </c>
      <c r="H626" s="7">
        <v>2017</v>
      </c>
      <c r="I626" s="13">
        <v>24.887550149999999</v>
      </c>
      <c r="J626" s="2">
        <f t="shared" si="27"/>
        <v>24887550.149999999</v>
      </c>
      <c r="K626" s="4">
        <v>7.8013326799999998</v>
      </c>
      <c r="L626" s="4">
        <v>241.50333330000001</v>
      </c>
      <c r="M626" s="12">
        <f t="shared" si="26"/>
        <v>241503333.30000001</v>
      </c>
      <c r="N626" s="4">
        <v>241.50333330000001</v>
      </c>
      <c r="O626" s="4">
        <v>241.50333330000001</v>
      </c>
      <c r="P626" s="4" t="s">
        <v>123</v>
      </c>
      <c r="Q626" s="4">
        <v>1</v>
      </c>
      <c r="R626" s="18" t="s">
        <v>113</v>
      </c>
      <c r="S626" s="8" t="s">
        <v>117</v>
      </c>
      <c r="T626" s="8" t="s">
        <v>115</v>
      </c>
      <c r="U626" s="8" t="s">
        <v>115</v>
      </c>
      <c r="V626" s="8" t="s">
        <v>113</v>
      </c>
      <c r="W626" s="8" t="s">
        <v>115</v>
      </c>
    </row>
    <row r="627" spans="1:23" x14ac:dyDescent="0.35">
      <c r="A627" s="5" t="s">
        <v>35</v>
      </c>
      <c r="B627" s="4">
        <v>38</v>
      </c>
      <c r="C627" s="15">
        <v>0</v>
      </c>
      <c r="D627" s="17">
        <f t="shared" si="28"/>
        <v>0</v>
      </c>
      <c r="E627" s="6">
        <v>0</v>
      </c>
      <c r="F627" s="6">
        <v>0.05</v>
      </c>
      <c r="G627" s="10">
        <v>7</v>
      </c>
      <c r="H627" s="7">
        <v>2017</v>
      </c>
      <c r="I627" s="13">
        <v>20.383571509999999</v>
      </c>
      <c r="J627" s="2">
        <f t="shared" si="27"/>
        <v>20383571.509999998</v>
      </c>
      <c r="K627" s="4">
        <v>13.031284210000001</v>
      </c>
      <c r="L627" s="4">
        <v>68.266666670000006</v>
      </c>
      <c r="M627" s="12">
        <f t="shared" si="26"/>
        <v>68266666.670000002</v>
      </c>
      <c r="N627" s="4">
        <v>68.266666670000006</v>
      </c>
      <c r="O627" s="4">
        <v>68.266666670000006</v>
      </c>
      <c r="P627" s="4" t="s">
        <v>123</v>
      </c>
      <c r="Q627" s="4">
        <v>1</v>
      </c>
      <c r="R627" s="18" t="s">
        <v>117</v>
      </c>
      <c r="S627" s="8" t="s">
        <v>117</v>
      </c>
      <c r="T627" s="8" t="s">
        <v>115</v>
      </c>
      <c r="U627" s="8" t="s">
        <v>117</v>
      </c>
      <c r="V627" s="8" t="s">
        <v>115</v>
      </c>
      <c r="W627" s="8" t="s">
        <v>115</v>
      </c>
    </row>
    <row r="628" spans="1:23" x14ac:dyDescent="0.35">
      <c r="A628" s="5" t="s">
        <v>36</v>
      </c>
      <c r="B628" s="4">
        <v>39</v>
      </c>
      <c r="C628" s="15">
        <v>0</v>
      </c>
      <c r="D628" s="17">
        <f t="shared" si="28"/>
        <v>0</v>
      </c>
      <c r="E628" s="6">
        <v>0</v>
      </c>
      <c r="F628" s="6">
        <v>0.05</v>
      </c>
      <c r="G628" s="10">
        <v>7</v>
      </c>
      <c r="H628" s="7">
        <v>2017</v>
      </c>
      <c r="I628" s="13">
        <v>26.375158819999999</v>
      </c>
      <c r="J628" s="2">
        <f t="shared" si="27"/>
        <v>26375158.82</v>
      </c>
      <c r="K628" s="4">
        <v>9.2140696999999996</v>
      </c>
      <c r="L628" s="4">
        <v>199.9266667</v>
      </c>
      <c r="M628" s="12">
        <f t="shared" si="26"/>
        <v>199926666.69999999</v>
      </c>
      <c r="N628" s="4">
        <v>199.9266667</v>
      </c>
      <c r="O628" s="4">
        <v>174.84666670000001</v>
      </c>
      <c r="P628" s="4" t="s">
        <v>123</v>
      </c>
      <c r="Q628" s="4">
        <v>1</v>
      </c>
      <c r="R628" s="18" t="s">
        <v>113</v>
      </c>
      <c r="S628" s="8" t="s">
        <v>112</v>
      </c>
      <c r="T628" s="8" t="s">
        <v>114</v>
      </c>
      <c r="U628" s="8" t="s">
        <v>114</v>
      </c>
      <c r="V628" s="8" t="s">
        <v>114</v>
      </c>
      <c r="W628" s="8" t="s">
        <v>114</v>
      </c>
    </row>
    <row r="629" spans="1:23" x14ac:dyDescent="0.35">
      <c r="A629" s="5" t="s">
        <v>37</v>
      </c>
      <c r="B629" s="4">
        <v>40</v>
      </c>
      <c r="C629" s="15">
        <v>0</v>
      </c>
      <c r="D629" s="17">
        <f t="shared" si="28"/>
        <v>0</v>
      </c>
      <c r="E629" s="6">
        <v>0</v>
      </c>
      <c r="F629" s="6">
        <v>0.05</v>
      </c>
      <c r="G629" s="10">
        <v>7</v>
      </c>
      <c r="H629" s="7">
        <v>2017</v>
      </c>
      <c r="I629" s="13">
        <v>21.61824348</v>
      </c>
      <c r="J629" s="2">
        <f t="shared" si="27"/>
        <v>21618243.48</v>
      </c>
      <c r="K629" s="4">
        <v>11.14791469</v>
      </c>
      <c r="L629" s="4">
        <v>0</v>
      </c>
      <c r="M629" s="12">
        <f t="shared" si="26"/>
        <v>0</v>
      </c>
      <c r="N629" s="4">
        <v>0</v>
      </c>
      <c r="O629" s="4">
        <v>0</v>
      </c>
      <c r="P629" s="4" t="s">
        <v>123</v>
      </c>
      <c r="Q629" s="4">
        <v>1</v>
      </c>
      <c r="R629" s="18" t="s">
        <v>117</v>
      </c>
      <c r="S629" s="8" t="s">
        <v>117</v>
      </c>
      <c r="T629" s="8" t="s">
        <v>115</v>
      </c>
      <c r="U629" s="8" t="s">
        <v>115</v>
      </c>
      <c r="V629" s="8" t="s">
        <v>115</v>
      </c>
      <c r="W629" s="8" t="s">
        <v>117</v>
      </c>
    </row>
    <row r="630" spans="1:23" x14ac:dyDescent="0.35">
      <c r="A630" s="5" t="s">
        <v>38</v>
      </c>
      <c r="B630" s="4">
        <v>41</v>
      </c>
      <c r="C630" s="15">
        <v>0</v>
      </c>
      <c r="D630" s="17">
        <f t="shared" si="28"/>
        <v>0</v>
      </c>
      <c r="E630" s="6">
        <v>0</v>
      </c>
      <c r="F630" s="6">
        <v>0.05</v>
      </c>
      <c r="G630" s="10">
        <v>7</v>
      </c>
      <c r="H630" s="7">
        <v>2017</v>
      </c>
      <c r="I630" s="13">
        <v>30.056362839999998</v>
      </c>
      <c r="J630" s="2">
        <f t="shared" si="27"/>
        <v>30056362.84</v>
      </c>
      <c r="K630" s="4">
        <v>12.279706729999999</v>
      </c>
      <c r="L630" s="4">
        <v>413.74333330000002</v>
      </c>
      <c r="M630" s="12">
        <f t="shared" si="26"/>
        <v>413743333.30000001</v>
      </c>
      <c r="N630" s="4">
        <v>413.74333330000002</v>
      </c>
      <c r="O630" s="4">
        <v>323.0733333</v>
      </c>
      <c r="P630" s="4" t="s">
        <v>123</v>
      </c>
      <c r="Q630" s="4">
        <v>1</v>
      </c>
      <c r="R630" s="18" t="s">
        <v>112</v>
      </c>
      <c r="S630" s="8" t="s">
        <v>116</v>
      </c>
      <c r="T630" s="8" t="s">
        <v>115</v>
      </c>
      <c r="U630" s="8" t="s">
        <v>114</v>
      </c>
      <c r="V630" s="8" t="s">
        <v>117</v>
      </c>
      <c r="W630" s="8" t="s">
        <v>117</v>
      </c>
    </row>
    <row r="631" spans="1:23" x14ac:dyDescent="0.35">
      <c r="A631" s="5" t="s">
        <v>39</v>
      </c>
      <c r="B631" s="4">
        <v>42</v>
      </c>
      <c r="C631" s="15">
        <v>0</v>
      </c>
      <c r="D631" s="17">
        <f t="shared" si="28"/>
        <v>0</v>
      </c>
      <c r="E631" s="6">
        <v>0</v>
      </c>
      <c r="F631" s="6">
        <v>0.05</v>
      </c>
      <c r="G631" s="10">
        <v>7</v>
      </c>
      <c r="H631" s="7">
        <v>2017</v>
      </c>
      <c r="I631" s="13">
        <v>29.875533189999999</v>
      </c>
      <c r="J631" s="2">
        <f t="shared" si="27"/>
        <v>29875533.189999998</v>
      </c>
      <c r="K631" s="4">
        <v>12.88545394</v>
      </c>
      <c r="L631" s="4">
        <v>241.28333330000001</v>
      </c>
      <c r="M631" s="12">
        <f t="shared" si="26"/>
        <v>241283333.30000001</v>
      </c>
      <c r="N631" s="4">
        <v>241.28333330000001</v>
      </c>
      <c r="O631" s="4">
        <v>118.8833333</v>
      </c>
      <c r="P631" s="4" t="s">
        <v>123</v>
      </c>
      <c r="Q631" s="4">
        <v>1</v>
      </c>
      <c r="R631" s="18" t="s">
        <v>113</v>
      </c>
      <c r="S631" s="8" t="s">
        <v>114</v>
      </c>
      <c r="T631" s="8" t="s">
        <v>115</v>
      </c>
      <c r="U631" s="8" t="s">
        <v>112</v>
      </c>
      <c r="V631" s="8" t="s">
        <v>115</v>
      </c>
      <c r="W631" s="8" t="s">
        <v>112</v>
      </c>
    </row>
    <row r="632" spans="1:23" x14ac:dyDescent="0.35">
      <c r="A632" s="5" t="s">
        <v>40</v>
      </c>
      <c r="B632" s="4">
        <v>43</v>
      </c>
      <c r="C632" s="15">
        <v>0</v>
      </c>
      <c r="D632" s="17">
        <f t="shared" si="28"/>
        <v>0</v>
      </c>
      <c r="E632" s="6">
        <v>0</v>
      </c>
      <c r="F632" s="6">
        <v>0.05</v>
      </c>
      <c r="G632" s="10">
        <v>7</v>
      </c>
      <c r="H632" s="7">
        <v>2017</v>
      </c>
      <c r="I632" s="13">
        <v>29.005315410000001</v>
      </c>
      <c r="J632" s="2">
        <f t="shared" si="27"/>
        <v>29005315.41</v>
      </c>
      <c r="K632" s="4">
        <v>13.434169539999999</v>
      </c>
      <c r="L632" s="4">
        <v>208.66666670000001</v>
      </c>
      <c r="M632" s="12">
        <f t="shared" si="26"/>
        <v>208666666.70000002</v>
      </c>
      <c r="N632" s="4">
        <v>208.66666670000001</v>
      </c>
      <c r="O632" s="4">
        <v>154.9566667</v>
      </c>
      <c r="P632" s="4" t="s">
        <v>123</v>
      </c>
      <c r="Q632" s="4">
        <v>1</v>
      </c>
      <c r="R632" s="18" t="s">
        <v>111</v>
      </c>
      <c r="S632" s="8" t="s">
        <v>112</v>
      </c>
      <c r="T632" s="8" t="s">
        <v>112</v>
      </c>
      <c r="U632" s="8" t="s">
        <v>112</v>
      </c>
      <c r="V632" s="8" t="s">
        <v>112</v>
      </c>
      <c r="W632" s="8" t="s">
        <v>112</v>
      </c>
    </row>
    <row r="633" spans="1:23" x14ac:dyDescent="0.35">
      <c r="A633" s="5" t="s">
        <v>41</v>
      </c>
      <c r="B633" s="4">
        <v>44</v>
      </c>
      <c r="C633" s="15">
        <v>0</v>
      </c>
      <c r="D633" s="17">
        <f t="shared" si="28"/>
        <v>0</v>
      </c>
      <c r="E633" s="6">
        <v>0</v>
      </c>
      <c r="F633" s="6">
        <v>0.05</v>
      </c>
      <c r="G633" s="10">
        <v>7</v>
      </c>
      <c r="H633" s="7">
        <v>2017</v>
      </c>
      <c r="I633" s="13">
        <v>29.436454609999998</v>
      </c>
      <c r="J633" s="2">
        <f t="shared" si="27"/>
        <v>29436454.609999999</v>
      </c>
      <c r="K633" s="4">
        <v>13.6372175</v>
      </c>
      <c r="L633" s="4">
        <v>139.74333329999999</v>
      </c>
      <c r="M633" s="12">
        <f t="shared" si="26"/>
        <v>139743333.29999998</v>
      </c>
      <c r="N633" s="4">
        <v>139.74333329999999</v>
      </c>
      <c r="O633" s="4">
        <v>139.74333329999999</v>
      </c>
      <c r="P633" s="4" t="s">
        <v>123</v>
      </c>
      <c r="Q633" s="4">
        <v>1</v>
      </c>
      <c r="R633" s="18" t="s">
        <v>114</v>
      </c>
      <c r="S633" s="8" t="s">
        <v>117</v>
      </c>
      <c r="T633" s="8" t="s">
        <v>115</v>
      </c>
      <c r="U633" s="8" t="s">
        <v>114</v>
      </c>
      <c r="V633" s="8" t="s">
        <v>115</v>
      </c>
      <c r="W633" s="8" t="s">
        <v>115</v>
      </c>
    </row>
    <row r="634" spans="1:23" x14ac:dyDescent="0.35">
      <c r="A634" s="5" t="s">
        <v>42</v>
      </c>
      <c r="B634" s="4">
        <v>45</v>
      </c>
      <c r="C634" s="15">
        <v>0</v>
      </c>
      <c r="D634" s="17">
        <f t="shared" si="28"/>
        <v>0</v>
      </c>
      <c r="E634" s="6">
        <v>0</v>
      </c>
      <c r="F634" s="6">
        <v>0.05</v>
      </c>
      <c r="G634" s="10">
        <v>7</v>
      </c>
      <c r="H634" s="7">
        <v>2017</v>
      </c>
      <c r="I634" s="13">
        <v>26.859669910000001</v>
      </c>
      <c r="J634" s="2">
        <f t="shared" si="27"/>
        <v>26859669.91</v>
      </c>
      <c r="K634" s="4">
        <v>11.89074477</v>
      </c>
      <c r="L634" s="4">
        <v>53.263333330000002</v>
      </c>
      <c r="M634" s="12">
        <f t="shared" si="26"/>
        <v>53263333.329999998</v>
      </c>
      <c r="N634" s="4">
        <v>53.263333330000002</v>
      </c>
      <c r="O634" s="4">
        <v>51.963333330000005</v>
      </c>
      <c r="P634" s="4" t="s">
        <v>123</v>
      </c>
      <c r="Q634" s="4">
        <v>1</v>
      </c>
      <c r="R634" s="18" t="s">
        <v>114</v>
      </c>
      <c r="S634" s="8" t="s">
        <v>114</v>
      </c>
      <c r="T634" s="8" t="s">
        <v>115</v>
      </c>
      <c r="U634" s="8" t="s">
        <v>117</v>
      </c>
      <c r="V634" s="8" t="s">
        <v>115</v>
      </c>
      <c r="W634" s="8" t="s">
        <v>117</v>
      </c>
    </row>
    <row r="635" spans="1:23" x14ac:dyDescent="0.35">
      <c r="A635" s="5" t="s">
        <v>43</v>
      </c>
      <c r="B635" s="4">
        <v>46</v>
      </c>
      <c r="C635" s="15">
        <v>0</v>
      </c>
      <c r="D635" s="17">
        <f t="shared" si="28"/>
        <v>0</v>
      </c>
      <c r="E635" s="6">
        <v>0</v>
      </c>
      <c r="F635" s="6">
        <v>0.05</v>
      </c>
      <c r="G635" s="10">
        <v>7</v>
      </c>
      <c r="H635" s="7">
        <v>2017</v>
      </c>
      <c r="I635" s="13">
        <v>29.16713464</v>
      </c>
      <c r="J635" s="2">
        <f t="shared" si="27"/>
        <v>29167134.640000001</v>
      </c>
      <c r="K635" s="4">
        <v>13.041030409999999</v>
      </c>
      <c r="L635" s="4">
        <v>216.15</v>
      </c>
      <c r="M635" s="12">
        <f t="shared" si="26"/>
        <v>216150000</v>
      </c>
      <c r="N635" s="4">
        <v>216.15</v>
      </c>
      <c r="O635" s="4">
        <v>175.65</v>
      </c>
      <c r="P635" s="4" t="s">
        <v>123</v>
      </c>
      <c r="Q635" s="4">
        <v>1</v>
      </c>
      <c r="R635" s="18" t="s">
        <v>113</v>
      </c>
      <c r="S635" s="8" t="s">
        <v>116</v>
      </c>
      <c r="T635" s="8" t="s">
        <v>115</v>
      </c>
      <c r="U635" s="8" t="s">
        <v>114</v>
      </c>
      <c r="V635" s="8" t="s">
        <v>116</v>
      </c>
      <c r="W635" s="8" t="s">
        <v>116</v>
      </c>
    </row>
    <row r="636" spans="1:23" x14ac:dyDescent="0.35">
      <c r="A636" s="5" t="s">
        <v>44</v>
      </c>
      <c r="B636" s="4">
        <v>47</v>
      </c>
      <c r="C636" s="15">
        <v>0</v>
      </c>
      <c r="D636" s="17">
        <f t="shared" si="28"/>
        <v>0</v>
      </c>
      <c r="E636" s="6">
        <v>0</v>
      </c>
      <c r="F636" s="6">
        <v>0.05</v>
      </c>
      <c r="G636" s="10">
        <v>7</v>
      </c>
      <c r="H636" s="7">
        <v>2017</v>
      </c>
      <c r="I636" s="13">
        <v>36.190727670000001</v>
      </c>
      <c r="J636" s="2">
        <f t="shared" si="27"/>
        <v>36190727.670000002</v>
      </c>
      <c r="K636" s="4">
        <v>11.165573200000001</v>
      </c>
      <c r="L636" s="4">
        <v>279.81</v>
      </c>
      <c r="M636" s="12">
        <f t="shared" si="26"/>
        <v>279810000</v>
      </c>
      <c r="N636" s="4">
        <v>279.81</v>
      </c>
      <c r="O636" s="4">
        <v>184.16</v>
      </c>
      <c r="P636" s="4" t="s">
        <v>123</v>
      </c>
      <c r="Q636" s="4">
        <v>1</v>
      </c>
      <c r="R636" s="18" t="s">
        <v>111</v>
      </c>
      <c r="S636" s="8" t="s">
        <v>116</v>
      </c>
      <c r="T636" s="8" t="s">
        <v>119</v>
      </c>
      <c r="U636" s="8" t="s">
        <v>115</v>
      </c>
      <c r="V636" s="8" t="s">
        <v>119</v>
      </c>
      <c r="W636" s="8" t="s">
        <v>118</v>
      </c>
    </row>
    <row r="637" spans="1:23" x14ac:dyDescent="0.35">
      <c r="A637" s="5" t="s">
        <v>94</v>
      </c>
      <c r="B637" s="4">
        <v>48</v>
      </c>
      <c r="C637" s="15">
        <v>0</v>
      </c>
      <c r="D637" s="17">
        <f t="shared" si="28"/>
        <v>0</v>
      </c>
      <c r="E637" s="6">
        <v>0</v>
      </c>
      <c r="F637" s="6">
        <v>0.05</v>
      </c>
      <c r="G637" s="10">
        <v>7</v>
      </c>
      <c r="H637" s="7">
        <v>2017</v>
      </c>
      <c r="I637" s="13">
        <v>20.325666210000001</v>
      </c>
      <c r="J637" s="2">
        <f t="shared" si="27"/>
        <v>20325666.210000001</v>
      </c>
      <c r="K637" s="4">
        <v>7.9540555700000004</v>
      </c>
      <c r="M637" s="12">
        <f t="shared" si="26"/>
        <v>0</v>
      </c>
      <c r="Q637" s="4">
        <v>1</v>
      </c>
      <c r="R637" s="18" t="s">
        <v>131</v>
      </c>
      <c r="S637" s="8" t="s">
        <v>130</v>
      </c>
      <c r="T637" s="8" t="s">
        <v>130</v>
      </c>
      <c r="U637" s="8" t="s">
        <v>130</v>
      </c>
      <c r="V637" s="8" t="s">
        <v>130</v>
      </c>
      <c r="W637" s="8" t="s">
        <v>130</v>
      </c>
    </row>
    <row r="638" spans="1:23" x14ac:dyDescent="0.35">
      <c r="A638" s="5" t="s">
        <v>95</v>
      </c>
      <c r="B638" s="4">
        <v>49</v>
      </c>
      <c r="C638" s="15">
        <v>0</v>
      </c>
      <c r="D638" s="17">
        <f t="shared" si="28"/>
        <v>0</v>
      </c>
      <c r="E638" s="6">
        <v>0</v>
      </c>
      <c r="F638" s="6">
        <v>0.05</v>
      </c>
      <c r="G638" s="10">
        <v>7</v>
      </c>
      <c r="H638" s="7">
        <v>2017</v>
      </c>
      <c r="I638" s="13">
        <v>28.369303389999999</v>
      </c>
      <c r="J638" s="2">
        <f t="shared" si="27"/>
        <v>28369303.390000001</v>
      </c>
      <c r="K638" s="4">
        <v>8.6099648599999998</v>
      </c>
      <c r="M638" s="12">
        <f t="shared" si="26"/>
        <v>0</v>
      </c>
      <c r="Q638" s="4">
        <v>1</v>
      </c>
      <c r="R638" s="18" t="s">
        <v>131</v>
      </c>
    </row>
    <row r="639" spans="1:23" x14ac:dyDescent="0.35">
      <c r="A639" s="5" t="s">
        <v>45</v>
      </c>
      <c r="B639" s="4">
        <v>50</v>
      </c>
      <c r="C639" s="15">
        <v>0</v>
      </c>
      <c r="D639" s="17">
        <f t="shared" si="28"/>
        <v>0</v>
      </c>
      <c r="E639" s="6">
        <v>0</v>
      </c>
      <c r="F639" s="6">
        <v>0.05</v>
      </c>
      <c r="G639" s="10">
        <v>7</v>
      </c>
      <c r="H639" s="7">
        <v>2017</v>
      </c>
      <c r="I639" s="13">
        <v>24.24585591</v>
      </c>
      <c r="J639" s="2">
        <f t="shared" si="27"/>
        <v>24245855.91</v>
      </c>
      <c r="K639" s="4">
        <v>12.63452624</v>
      </c>
      <c r="L639" s="4">
        <v>143.19999999999999</v>
      </c>
      <c r="M639" s="12">
        <f t="shared" si="26"/>
        <v>143200000</v>
      </c>
      <c r="N639" s="4">
        <v>143.19999999999999</v>
      </c>
      <c r="O639" s="4">
        <v>143.19999999999999</v>
      </c>
      <c r="P639" s="4" t="s">
        <v>123</v>
      </c>
      <c r="Q639" s="4">
        <v>1</v>
      </c>
      <c r="R639" s="18" t="s">
        <v>117</v>
      </c>
      <c r="S639" s="8" t="s">
        <v>117</v>
      </c>
      <c r="T639" s="8" t="s">
        <v>115</v>
      </c>
      <c r="U639" s="8" t="s">
        <v>115</v>
      </c>
      <c r="V639" s="8" t="s">
        <v>117</v>
      </c>
      <c r="W639" s="8" t="s">
        <v>115</v>
      </c>
    </row>
    <row r="640" spans="1:23" x14ac:dyDescent="0.35">
      <c r="A640" s="5" t="s">
        <v>46</v>
      </c>
      <c r="B640" s="4">
        <v>51</v>
      </c>
      <c r="C640" s="15">
        <v>0</v>
      </c>
      <c r="D640" s="17">
        <f t="shared" si="28"/>
        <v>0</v>
      </c>
      <c r="E640" s="6">
        <v>0</v>
      </c>
      <c r="F640" s="6">
        <v>0.05</v>
      </c>
      <c r="G640" s="10">
        <v>7</v>
      </c>
      <c r="H640" s="7">
        <v>2017</v>
      </c>
      <c r="I640" s="13">
        <v>20.039944770000002</v>
      </c>
      <c r="J640" s="2">
        <f t="shared" si="27"/>
        <v>20039944.770000003</v>
      </c>
      <c r="K640" s="4">
        <v>13.189190610000001</v>
      </c>
      <c r="L640" s="4">
        <v>54.933333330000004</v>
      </c>
      <c r="M640" s="12">
        <f t="shared" si="26"/>
        <v>54933333.330000006</v>
      </c>
      <c r="N640" s="4">
        <v>54.933333330000004</v>
      </c>
      <c r="O640" s="4">
        <v>54.933333330000004</v>
      </c>
      <c r="P640" s="4" t="s">
        <v>123</v>
      </c>
      <c r="Q640" s="4">
        <v>1</v>
      </c>
      <c r="R640" s="18" t="s">
        <v>114</v>
      </c>
      <c r="S640" s="8" t="s">
        <v>114</v>
      </c>
      <c r="T640" s="8" t="s">
        <v>117</v>
      </c>
      <c r="U640" s="8" t="s">
        <v>115</v>
      </c>
      <c r="V640" s="8" t="s">
        <v>117</v>
      </c>
      <c r="W640" s="8" t="s">
        <v>115</v>
      </c>
    </row>
    <row r="641" spans="1:23" x14ac:dyDescent="0.35">
      <c r="A641" s="5" t="s">
        <v>47</v>
      </c>
      <c r="B641" s="4">
        <v>52</v>
      </c>
      <c r="C641" s="15">
        <v>0</v>
      </c>
      <c r="D641" s="17">
        <f t="shared" si="28"/>
        <v>0</v>
      </c>
      <c r="E641" s="6">
        <v>0</v>
      </c>
      <c r="F641" s="6">
        <v>0.05</v>
      </c>
      <c r="G641" s="10">
        <v>7</v>
      </c>
      <c r="H641" s="7">
        <v>2017</v>
      </c>
      <c r="I641" s="13">
        <v>23.854080639999999</v>
      </c>
      <c r="J641" s="2">
        <f t="shared" si="27"/>
        <v>23854080.640000001</v>
      </c>
      <c r="K641" s="4">
        <v>13.48651836</v>
      </c>
      <c r="L641" s="4">
        <v>42.68</v>
      </c>
      <c r="M641" s="12">
        <f t="shared" si="26"/>
        <v>42680000</v>
      </c>
      <c r="N641" s="4">
        <v>42.68</v>
      </c>
      <c r="O641" s="4">
        <v>40.019999999999996</v>
      </c>
      <c r="P641" s="4" t="s">
        <v>123</v>
      </c>
      <c r="Q641" s="4">
        <v>1</v>
      </c>
      <c r="R641" s="18" t="s">
        <v>112</v>
      </c>
      <c r="S641" s="8" t="s">
        <v>116</v>
      </c>
      <c r="T641" s="8" t="s">
        <v>117</v>
      </c>
      <c r="U641" s="8" t="s">
        <v>117</v>
      </c>
      <c r="V641" s="8" t="s">
        <v>115</v>
      </c>
      <c r="W641" s="8" t="s">
        <v>114</v>
      </c>
    </row>
    <row r="642" spans="1:23" x14ac:dyDescent="0.35">
      <c r="A642" s="5" t="s">
        <v>48</v>
      </c>
      <c r="B642" s="4">
        <v>53</v>
      </c>
      <c r="C642" s="15">
        <v>0</v>
      </c>
      <c r="D642" s="17">
        <f t="shared" si="28"/>
        <v>0</v>
      </c>
      <c r="E642" s="6">
        <v>0</v>
      </c>
      <c r="F642" s="6">
        <v>0.05</v>
      </c>
      <c r="G642" s="10">
        <v>7</v>
      </c>
      <c r="H642" s="7">
        <v>2017</v>
      </c>
      <c r="I642" s="13">
        <v>26.113946739999999</v>
      </c>
      <c r="J642" s="2">
        <f t="shared" si="27"/>
        <v>26113946.739999998</v>
      </c>
      <c r="K642" s="4">
        <v>15.96333325</v>
      </c>
      <c r="L642" s="4">
        <v>303.88</v>
      </c>
      <c r="M642" s="12">
        <f t="shared" si="26"/>
        <v>303880000</v>
      </c>
      <c r="N642" s="4">
        <v>303.88</v>
      </c>
      <c r="O642" s="4">
        <v>303.88</v>
      </c>
      <c r="P642" s="4" t="s">
        <v>123</v>
      </c>
      <c r="Q642" s="4">
        <v>1</v>
      </c>
      <c r="R642" s="18" t="s">
        <v>113</v>
      </c>
      <c r="S642" s="8" t="s">
        <v>117</v>
      </c>
      <c r="T642" s="8" t="s">
        <v>113</v>
      </c>
      <c r="U642" s="8" t="s">
        <v>115</v>
      </c>
      <c r="V642" s="8" t="s">
        <v>115</v>
      </c>
      <c r="W642" s="8" t="s">
        <v>115</v>
      </c>
    </row>
    <row r="643" spans="1:23" x14ac:dyDescent="0.35">
      <c r="A643" s="5" t="s">
        <v>49</v>
      </c>
      <c r="B643" s="4">
        <v>54</v>
      </c>
      <c r="C643" s="15">
        <v>0</v>
      </c>
      <c r="D643" s="17">
        <f t="shared" si="28"/>
        <v>0</v>
      </c>
      <c r="E643" s="6">
        <v>0</v>
      </c>
      <c r="F643" s="6">
        <v>0.05</v>
      </c>
      <c r="G643" s="10">
        <v>7</v>
      </c>
      <c r="H643" s="7">
        <v>2017</v>
      </c>
      <c r="I643" s="13">
        <v>30.79562542</v>
      </c>
      <c r="J643" s="2">
        <f t="shared" si="27"/>
        <v>30795625.420000002</v>
      </c>
      <c r="K643" s="4">
        <v>14.012011149999999</v>
      </c>
      <c r="L643" s="4">
        <v>313.69666669999998</v>
      </c>
      <c r="M643" s="12">
        <f t="shared" si="26"/>
        <v>313696666.69999999</v>
      </c>
      <c r="N643" s="4">
        <v>313.69666669999998</v>
      </c>
      <c r="O643" s="4">
        <v>221.8666667</v>
      </c>
      <c r="P643" s="4" t="s">
        <v>123</v>
      </c>
      <c r="Q643" s="4">
        <v>1</v>
      </c>
      <c r="R643" s="18" t="s">
        <v>113</v>
      </c>
      <c r="S643" s="8" t="s">
        <v>116</v>
      </c>
      <c r="T643" s="8" t="s">
        <v>116</v>
      </c>
      <c r="U643" s="8" t="s">
        <v>115</v>
      </c>
      <c r="V643" s="8" t="s">
        <v>114</v>
      </c>
      <c r="W643" s="8" t="s">
        <v>116</v>
      </c>
    </row>
    <row r="644" spans="1:23" x14ac:dyDescent="0.35">
      <c r="A644" s="5" t="s">
        <v>50</v>
      </c>
      <c r="B644" s="4">
        <v>55</v>
      </c>
      <c r="C644" s="15">
        <v>0</v>
      </c>
      <c r="D644" s="17">
        <f t="shared" si="28"/>
        <v>0</v>
      </c>
      <c r="E644" s="6">
        <v>0</v>
      </c>
      <c r="F644" s="6">
        <v>0.05</v>
      </c>
      <c r="G644" s="10">
        <v>7</v>
      </c>
      <c r="H644" s="7">
        <v>2017</v>
      </c>
      <c r="I644" s="13">
        <v>29.11154728</v>
      </c>
      <c r="J644" s="2">
        <f t="shared" si="27"/>
        <v>29111547.280000001</v>
      </c>
      <c r="K644" s="4">
        <v>14.41113565</v>
      </c>
      <c r="L644" s="4">
        <v>100.1</v>
      </c>
      <c r="M644" s="12">
        <f t="shared" si="26"/>
        <v>100100000</v>
      </c>
      <c r="N644" s="4">
        <v>100.1</v>
      </c>
      <c r="O644" s="4">
        <v>100.1</v>
      </c>
      <c r="P644" s="4" t="s">
        <v>123</v>
      </c>
      <c r="Q644" s="4">
        <v>1</v>
      </c>
      <c r="R644" s="18" t="s">
        <v>117</v>
      </c>
      <c r="S644" s="8" t="s">
        <v>117</v>
      </c>
      <c r="T644" s="8" t="s">
        <v>117</v>
      </c>
      <c r="U644" s="8" t="s">
        <v>115</v>
      </c>
      <c r="V644" s="8" t="s">
        <v>115</v>
      </c>
      <c r="W644" s="8" t="s">
        <v>115</v>
      </c>
    </row>
    <row r="645" spans="1:23" x14ac:dyDescent="0.35">
      <c r="A645" s="5" t="s">
        <v>51</v>
      </c>
      <c r="B645" s="4">
        <v>56</v>
      </c>
      <c r="C645" s="15">
        <v>0</v>
      </c>
      <c r="D645" s="17">
        <f t="shared" si="28"/>
        <v>0</v>
      </c>
      <c r="E645" s="6">
        <v>0</v>
      </c>
      <c r="F645" s="6">
        <v>0.05</v>
      </c>
      <c r="G645" s="10">
        <v>7</v>
      </c>
      <c r="H645" s="7">
        <v>2017</v>
      </c>
      <c r="I645" s="13">
        <v>30.498638540000002</v>
      </c>
      <c r="J645" s="2">
        <f t="shared" si="27"/>
        <v>30498638.540000003</v>
      </c>
      <c r="K645" s="4">
        <v>14.786709030000001</v>
      </c>
      <c r="L645" s="4">
        <v>251.35</v>
      </c>
      <c r="M645" s="12">
        <f t="shared" ref="M645:M687" si="29">L645*1000000</f>
        <v>251350000</v>
      </c>
      <c r="N645" s="4">
        <v>251.35</v>
      </c>
      <c r="O645" s="4">
        <v>250.79</v>
      </c>
      <c r="P645" s="4" t="s">
        <v>123</v>
      </c>
      <c r="Q645" s="4">
        <v>1</v>
      </c>
      <c r="R645" s="18" t="s">
        <v>113</v>
      </c>
      <c r="S645" s="8" t="s">
        <v>112</v>
      </c>
      <c r="T645" s="8" t="s">
        <v>114</v>
      </c>
      <c r="U645" s="8" t="s">
        <v>114</v>
      </c>
      <c r="V645" s="8" t="s">
        <v>114</v>
      </c>
      <c r="W645" s="8" t="s">
        <v>114</v>
      </c>
    </row>
    <row r="646" spans="1:23" x14ac:dyDescent="0.35">
      <c r="A646" s="5" t="s">
        <v>52</v>
      </c>
      <c r="B646" s="4">
        <v>57</v>
      </c>
      <c r="C646" s="15">
        <v>0</v>
      </c>
      <c r="D646" s="17">
        <f t="shared" si="28"/>
        <v>0</v>
      </c>
      <c r="E646" s="6">
        <v>0</v>
      </c>
      <c r="F646" s="6">
        <v>0.05</v>
      </c>
      <c r="G646" s="10">
        <v>7</v>
      </c>
      <c r="H646" s="7">
        <v>2017</v>
      </c>
      <c r="I646" s="13">
        <v>24.436323250000001</v>
      </c>
      <c r="J646" s="2">
        <f t="shared" ref="J646:J687" si="30">I646*1000000</f>
        <v>24436323.25</v>
      </c>
      <c r="K646" s="4">
        <v>14.18104608</v>
      </c>
      <c r="L646" s="4">
        <v>58.3</v>
      </c>
      <c r="M646" s="12">
        <f t="shared" si="29"/>
        <v>58300000</v>
      </c>
      <c r="N646" s="4">
        <v>58.3</v>
      </c>
      <c r="O646" s="4">
        <v>58.3</v>
      </c>
      <c r="P646" s="4" t="s">
        <v>123</v>
      </c>
      <c r="Q646" s="4">
        <v>1</v>
      </c>
      <c r="R646" s="18" t="s">
        <v>114</v>
      </c>
      <c r="S646" s="8" t="s">
        <v>117</v>
      </c>
      <c r="T646" s="8" t="s">
        <v>114</v>
      </c>
      <c r="U646" s="8" t="s">
        <v>115</v>
      </c>
      <c r="V646" s="8" t="s">
        <v>115</v>
      </c>
      <c r="W646" s="8" t="s">
        <v>115</v>
      </c>
    </row>
    <row r="647" spans="1:23" x14ac:dyDescent="0.35">
      <c r="A647" s="5" t="s">
        <v>53</v>
      </c>
      <c r="B647" s="4">
        <v>58</v>
      </c>
      <c r="C647" s="15">
        <v>0</v>
      </c>
      <c r="D647" s="17">
        <f t="shared" ref="D647:D687" si="31">C647*1000000</f>
        <v>0</v>
      </c>
      <c r="E647" s="6">
        <v>0</v>
      </c>
      <c r="F647" s="6">
        <v>0.05</v>
      </c>
      <c r="G647" s="10">
        <v>7</v>
      </c>
      <c r="H647" s="7">
        <v>2017</v>
      </c>
      <c r="I647" s="13">
        <v>33.702563769999998</v>
      </c>
      <c r="J647" s="2">
        <f t="shared" si="30"/>
        <v>33702563.769999996</v>
      </c>
      <c r="K647" s="4">
        <v>9.3775791300000009</v>
      </c>
      <c r="L647" s="4">
        <v>413.23</v>
      </c>
      <c r="M647" s="12">
        <f t="shared" si="29"/>
        <v>413230000</v>
      </c>
      <c r="N647" s="4">
        <v>413.23</v>
      </c>
      <c r="O647" s="4">
        <v>413.23</v>
      </c>
      <c r="P647" s="4" t="s">
        <v>123</v>
      </c>
      <c r="Q647" s="4">
        <v>1</v>
      </c>
      <c r="R647" s="18" t="s">
        <v>111</v>
      </c>
      <c r="S647" s="8" t="s">
        <v>117</v>
      </c>
      <c r="T647" s="8" t="s">
        <v>111</v>
      </c>
      <c r="U647" s="8" t="s">
        <v>115</v>
      </c>
      <c r="V647" s="8" t="s">
        <v>115</v>
      </c>
      <c r="W647" s="8" t="s">
        <v>115</v>
      </c>
    </row>
    <row r="648" spans="1:23" x14ac:dyDescent="0.35">
      <c r="A648" s="5" t="s">
        <v>100</v>
      </c>
      <c r="B648" s="4">
        <v>59</v>
      </c>
      <c r="C648" s="15">
        <v>0</v>
      </c>
      <c r="D648" s="17">
        <f t="shared" si="31"/>
        <v>0</v>
      </c>
      <c r="E648" s="6">
        <v>0</v>
      </c>
      <c r="F648" s="6">
        <v>0.05</v>
      </c>
      <c r="G648" s="10">
        <v>7</v>
      </c>
      <c r="H648" s="7">
        <v>2017</v>
      </c>
      <c r="I648" s="13">
        <v>21.777960199999999</v>
      </c>
      <c r="J648" s="2">
        <f t="shared" si="30"/>
        <v>21777960.199999999</v>
      </c>
      <c r="K648" s="4">
        <v>12.73974539</v>
      </c>
      <c r="M648" s="12">
        <f t="shared" si="29"/>
        <v>0</v>
      </c>
      <c r="Q648" s="4">
        <v>1</v>
      </c>
      <c r="R648" s="19" t="s">
        <v>128</v>
      </c>
      <c r="S648" s="8" t="s">
        <v>115</v>
      </c>
      <c r="T648" s="8" t="s">
        <v>115</v>
      </c>
      <c r="U648" s="8" t="s">
        <v>115</v>
      </c>
      <c r="V648" s="8" t="s">
        <v>115</v>
      </c>
      <c r="W648" s="8" t="s">
        <v>115</v>
      </c>
    </row>
    <row r="649" spans="1:23" x14ac:dyDescent="0.35">
      <c r="A649" s="5" t="s">
        <v>54</v>
      </c>
      <c r="B649" s="4">
        <v>60</v>
      </c>
      <c r="C649" s="15">
        <v>0</v>
      </c>
      <c r="D649" s="17">
        <f t="shared" si="31"/>
        <v>0</v>
      </c>
      <c r="E649" s="6">
        <v>0</v>
      </c>
      <c r="F649" s="6">
        <v>0.05</v>
      </c>
      <c r="G649" s="10">
        <v>7</v>
      </c>
      <c r="H649" s="7">
        <v>2017</v>
      </c>
      <c r="I649" s="13">
        <v>29.536158919999998</v>
      </c>
      <c r="J649" s="2">
        <f t="shared" si="30"/>
        <v>29536158.919999998</v>
      </c>
      <c r="K649" s="4">
        <v>12.19516819</v>
      </c>
      <c r="L649" s="4">
        <v>212.97666670000001</v>
      </c>
      <c r="M649" s="12">
        <f t="shared" si="29"/>
        <v>212976666.70000002</v>
      </c>
      <c r="N649" s="4">
        <v>212.97666670000001</v>
      </c>
      <c r="O649" s="4">
        <v>212.97666670000001</v>
      </c>
      <c r="P649" s="4" t="s">
        <v>123</v>
      </c>
      <c r="Q649" s="4">
        <v>1</v>
      </c>
      <c r="R649" s="18" t="s">
        <v>112</v>
      </c>
      <c r="S649" s="8" t="s">
        <v>114</v>
      </c>
      <c r="T649" s="8" t="s">
        <v>114</v>
      </c>
      <c r="U649" s="8" t="s">
        <v>114</v>
      </c>
      <c r="V649" s="8" t="s">
        <v>115</v>
      </c>
      <c r="W649" s="8" t="s">
        <v>115</v>
      </c>
    </row>
    <row r="650" spans="1:23" x14ac:dyDescent="0.35">
      <c r="A650" s="5" t="s">
        <v>55</v>
      </c>
      <c r="B650" s="4">
        <v>61</v>
      </c>
      <c r="C650" s="15">
        <v>0</v>
      </c>
      <c r="D650" s="17">
        <f t="shared" si="31"/>
        <v>0</v>
      </c>
      <c r="E650" s="6">
        <v>0</v>
      </c>
      <c r="F650" s="6">
        <v>0.05</v>
      </c>
      <c r="G650" s="10">
        <v>7</v>
      </c>
      <c r="H650" s="7">
        <v>2017</v>
      </c>
      <c r="I650" s="13">
        <v>26.945580230000001</v>
      </c>
      <c r="J650" s="2">
        <f t="shared" si="30"/>
        <v>26945580.23</v>
      </c>
      <c r="K650" s="4">
        <v>14.07137541</v>
      </c>
      <c r="L650" s="4">
        <v>72.133333329999999</v>
      </c>
      <c r="M650" s="12">
        <f t="shared" si="29"/>
        <v>72133333.329999998</v>
      </c>
      <c r="N650" s="4">
        <v>72.133333329999999</v>
      </c>
      <c r="O650" s="4">
        <v>3.333330000003798E-3</v>
      </c>
      <c r="P650" s="4" t="s">
        <v>123</v>
      </c>
      <c r="Q650" s="4">
        <v>1</v>
      </c>
      <c r="R650" s="18" t="s">
        <v>117</v>
      </c>
      <c r="S650" s="8" t="s">
        <v>117</v>
      </c>
      <c r="T650" s="8" t="s">
        <v>115</v>
      </c>
      <c r="U650" s="8" t="s">
        <v>115</v>
      </c>
      <c r="V650" s="8" t="s">
        <v>115</v>
      </c>
      <c r="W650" s="8" t="s">
        <v>117</v>
      </c>
    </row>
    <row r="651" spans="1:23" x14ac:dyDescent="0.35">
      <c r="A651" s="5" t="s">
        <v>56</v>
      </c>
      <c r="B651" s="4">
        <v>62</v>
      </c>
      <c r="C651" s="15">
        <v>0</v>
      </c>
      <c r="D651" s="17">
        <f t="shared" si="31"/>
        <v>0</v>
      </c>
      <c r="E651" s="6">
        <v>0</v>
      </c>
      <c r="F651" s="6">
        <v>0.05</v>
      </c>
      <c r="G651" s="10">
        <v>7</v>
      </c>
      <c r="H651" s="7">
        <v>2017</v>
      </c>
      <c r="I651" s="13">
        <v>29.743556219999999</v>
      </c>
      <c r="J651" s="2">
        <f t="shared" si="30"/>
        <v>29743556.219999999</v>
      </c>
      <c r="K651" s="4">
        <v>19.369022279999999</v>
      </c>
      <c r="L651" s="4">
        <v>232.41333330000001</v>
      </c>
      <c r="M651" s="12">
        <f t="shared" si="29"/>
        <v>232413333.30000001</v>
      </c>
      <c r="N651" s="4">
        <v>232.41333330000001</v>
      </c>
      <c r="O651" s="4">
        <v>232.41333330000001</v>
      </c>
      <c r="P651" s="4" t="s">
        <v>123</v>
      </c>
      <c r="Q651" s="4">
        <v>1</v>
      </c>
      <c r="R651" s="18" t="s">
        <v>112</v>
      </c>
      <c r="S651" s="8" t="s">
        <v>117</v>
      </c>
      <c r="T651" s="8" t="s">
        <v>112</v>
      </c>
      <c r="U651" s="8" t="s">
        <v>115</v>
      </c>
      <c r="V651" s="8" t="s">
        <v>115</v>
      </c>
      <c r="W651" s="8" t="s">
        <v>115</v>
      </c>
    </row>
    <row r="652" spans="1:23" x14ac:dyDescent="0.35">
      <c r="A652" s="5" t="s">
        <v>57</v>
      </c>
      <c r="B652" s="4">
        <v>63</v>
      </c>
      <c r="C652" s="15">
        <v>0</v>
      </c>
      <c r="D652" s="17">
        <f t="shared" si="31"/>
        <v>0</v>
      </c>
      <c r="E652" s="6">
        <v>0</v>
      </c>
      <c r="F652" s="6">
        <v>0.05</v>
      </c>
      <c r="G652" s="10">
        <v>7</v>
      </c>
      <c r="H652" s="7">
        <v>2017</v>
      </c>
      <c r="I652" s="13">
        <v>28.49668853</v>
      </c>
      <c r="J652" s="2">
        <f t="shared" si="30"/>
        <v>28496688.530000001</v>
      </c>
      <c r="K652" s="4">
        <v>17.72503459</v>
      </c>
      <c r="L652" s="4">
        <v>291.3666667</v>
      </c>
      <c r="M652" s="12">
        <f t="shared" si="29"/>
        <v>291366666.69999999</v>
      </c>
      <c r="N652" s="4">
        <v>291.3666667</v>
      </c>
      <c r="O652" s="4">
        <v>266.5466667</v>
      </c>
      <c r="P652" s="4" t="s">
        <v>123</v>
      </c>
      <c r="Q652" s="4">
        <v>1</v>
      </c>
      <c r="R652" s="18" t="s">
        <v>120</v>
      </c>
      <c r="S652" s="8" t="s">
        <v>112</v>
      </c>
      <c r="T652" s="8" t="s">
        <v>111</v>
      </c>
      <c r="U652" s="8" t="s">
        <v>121</v>
      </c>
      <c r="V652" s="8" t="s">
        <v>122</v>
      </c>
      <c r="W652" s="8" t="s">
        <v>121</v>
      </c>
    </row>
    <row r="653" spans="1:23" x14ac:dyDescent="0.35">
      <c r="A653" s="5" t="s">
        <v>92</v>
      </c>
      <c r="B653" s="4">
        <v>64</v>
      </c>
      <c r="C653" s="15">
        <v>0</v>
      </c>
      <c r="D653" s="17">
        <f t="shared" si="31"/>
        <v>0</v>
      </c>
      <c r="E653" s="6">
        <v>0</v>
      </c>
      <c r="F653" s="6">
        <v>0.05</v>
      </c>
      <c r="G653" s="10">
        <v>7</v>
      </c>
      <c r="H653" s="7">
        <v>2017</v>
      </c>
      <c r="I653" s="13">
        <v>27.92354134</v>
      </c>
      <c r="J653" s="2">
        <f t="shared" si="30"/>
        <v>27923541.34</v>
      </c>
      <c r="K653" s="4">
        <v>17.867823909999998</v>
      </c>
      <c r="M653" s="12">
        <f t="shared" si="29"/>
        <v>0</v>
      </c>
      <c r="O653" s="4">
        <v>0</v>
      </c>
      <c r="Q653" s="4">
        <v>1</v>
      </c>
      <c r="R653" s="19" t="s">
        <v>132</v>
      </c>
      <c r="S653" s="8" t="s">
        <v>130</v>
      </c>
      <c r="T653" s="8" t="s">
        <v>130</v>
      </c>
      <c r="U653" s="8" t="s">
        <v>130</v>
      </c>
      <c r="V653" s="8" t="s">
        <v>130</v>
      </c>
      <c r="W653" s="8" t="s">
        <v>130</v>
      </c>
    </row>
    <row r="654" spans="1:23" x14ac:dyDescent="0.35">
      <c r="A654" s="5" t="s">
        <v>58</v>
      </c>
      <c r="B654" s="4">
        <v>65</v>
      </c>
      <c r="C654" s="15">
        <v>0</v>
      </c>
      <c r="D654" s="17">
        <f t="shared" si="31"/>
        <v>0</v>
      </c>
      <c r="E654" s="6">
        <v>0</v>
      </c>
      <c r="F654" s="6">
        <v>0.05</v>
      </c>
      <c r="G654" s="10">
        <v>7</v>
      </c>
      <c r="H654" s="7">
        <v>2017</v>
      </c>
      <c r="I654" s="13">
        <v>27.665095130000001</v>
      </c>
      <c r="J654" s="2">
        <f t="shared" si="30"/>
        <v>27665095.130000003</v>
      </c>
      <c r="K654" s="4">
        <v>18.672649</v>
      </c>
      <c r="L654" s="4">
        <v>290.12</v>
      </c>
      <c r="M654" s="12">
        <f t="shared" si="29"/>
        <v>290120000</v>
      </c>
      <c r="N654" s="4">
        <v>290.12</v>
      </c>
      <c r="O654" s="4">
        <v>135.06</v>
      </c>
      <c r="P654" s="4" t="s">
        <v>123</v>
      </c>
      <c r="Q654" s="4">
        <v>1</v>
      </c>
      <c r="R654" s="18" t="s">
        <v>111</v>
      </c>
      <c r="S654" s="8" t="s">
        <v>114</v>
      </c>
      <c r="T654" s="8" t="s">
        <v>115</v>
      </c>
      <c r="U654" s="8" t="s">
        <v>113</v>
      </c>
      <c r="V654" s="8" t="s">
        <v>115</v>
      </c>
      <c r="W654" s="8" t="s">
        <v>113</v>
      </c>
    </row>
    <row r="655" spans="1:23" x14ac:dyDescent="0.35">
      <c r="A655" s="5" t="s">
        <v>59</v>
      </c>
      <c r="B655" s="4">
        <v>66</v>
      </c>
      <c r="C655" s="15">
        <v>0</v>
      </c>
      <c r="D655" s="17">
        <f t="shared" si="31"/>
        <v>0</v>
      </c>
      <c r="E655" s="6">
        <v>0</v>
      </c>
      <c r="F655" s="6">
        <v>0.05</v>
      </c>
      <c r="G655" s="10">
        <v>7</v>
      </c>
      <c r="H655" s="7">
        <v>2017</v>
      </c>
      <c r="I655" s="13">
        <v>20.014520390000001</v>
      </c>
      <c r="J655" s="2">
        <f t="shared" si="30"/>
        <v>20014520.390000001</v>
      </c>
      <c r="K655" s="4">
        <v>18.109187339999998</v>
      </c>
      <c r="L655" s="4">
        <v>44.636666669999997</v>
      </c>
      <c r="M655" s="12">
        <f t="shared" si="29"/>
        <v>44636666.669999994</v>
      </c>
      <c r="N655" s="4">
        <v>44.636666669999997</v>
      </c>
      <c r="O655" s="4">
        <v>44.636666669999997</v>
      </c>
      <c r="P655" s="4" t="s">
        <v>123</v>
      </c>
      <c r="Q655" s="4">
        <v>1</v>
      </c>
      <c r="R655" s="18" t="s">
        <v>117</v>
      </c>
      <c r="S655" s="8" t="s">
        <v>117</v>
      </c>
      <c r="T655" s="8" t="s">
        <v>115</v>
      </c>
      <c r="U655" s="8" t="s">
        <v>117</v>
      </c>
      <c r="V655" s="8" t="s">
        <v>115</v>
      </c>
      <c r="W655" s="8" t="s">
        <v>115</v>
      </c>
    </row>
    <row r="656" spans="1:23" x14ac:dyDescent="0.35">
      <c r="A656" s="5" t="s">
        <v>96</v>
      </c>
      <c r="B656" s="4">
        <v>67</v>
      </c>
      <c r="C656" s="15">
        <v>0</v>
      </c>
      <c r="D656" s="17">
        <f t="shared" si="31"/>
        <v>0</v>
      </c>
      <c r="E656" s="6">
        <v>0</v>
      </c>
      <c r="F656" s="6">
        <v>0.05</v>
      </c>
      <c r="G656" s="10">
        <v>7</v>
      </c>
      <c r="H656" s="7">
        <v>2017</v>
      </c>
      <c r="I656" s="13">
        <v>22.892254170000001</v>
      </c>
      <c r="J656" s="2">
        <f t="shared" si="30"/>
        <v>22892254.170000002</v>
      </c>
      <c r="K656" s="4">
        <v>15.935478549999999</v>
      </c>
      <c r="M656" s="12">
        <f t="shared" si="29"/>
        <v>0</v>
      </c>
      <c r="Q656" s="4">
        <v>1</v>
      </c>
      <c r="R656" s="18" t="s">
        <v>131</v>
      </c>
      <c r="S656" s="8" t="s">
        <v>130</v>
      </c>
      <c r="T656" s="8" t="s">
        <v>130</v>
      </c>
      <c r="U656" s="8" t="s">
        <v>130</v>
      </c>
      <c r="V656" s="8" t="s">
        <v>130</v>
      </c>
      <c r="W656" s="8" t="s">
        <v>130</v>
      </c>
    </row>
    <row r="657" spans="1:23" x14ac:dyDescent="0.35">
      <c r="A657" s="5" t="s">
        <v>97</v>
      </c>
      <c r="B657" s="4">
        <v>68</v>
      </c>
      <c r="C657" s="15">
        <v>0</v>
      </c>
      <c r="D657" s="17">
        <f t="shared" si="31"/>
        <v>0</v>
      </c>
      <c r="E657" s="6">
        <v>0</v>
      </c>
      <c r="F657" s="6">
        <v>0.05</v>
      </c>
      <c r="G657" s="10">
        <v>7</v>
      </c>
      <c r="H657" s="7">
        <v>2017</v>
      </c>
      <c r="I657" s="13">
        <v>29.22168525</v>
      </c>
      <c r="J657" s="2">
        <f t="shared" si="30"/>
        <v>29221685.25</v>
      </c>
      <c r="K657" s="4">
        <v>16.429928719999999</v>
      </c>
      <c r="M657" s="12">
        <f t="shared" si="29"/>
        <v>0</v>
      </c>
      <c r="Q657" s="4">
        <v>1</v>
      </c>
      <c r="R657" s="18" t="s">
        <v>131</v>
      </c>
    </row>
    <row r="658" spans="1:23" x14ac:dyDescent="0.35">
      <c r="A658" s="5" t="s">
        <v>60</v>
      </c>
      <c r="B658" s="4">
        <v>69</v>
      </c>
      <c r="C658" s="15">
        <v>0</v>
      </c>
      <c r="D658" s="17">
        <f t="shared" si="31"/>
        <v>0</v>
      </c>
      <c r="E658" s="6">
        <v>0</v>
      </c>
      <c r="F658" s="6">
        <v>0.05</v>
      </c>
      <c r="G658" s="10">
        <v>7</v>
      </c>
      <c r="H658" s="7">
        <v>2017</v>
      </c>
      <c r="I658" s="13">
        <v>23.991101</v>
      </c>
      <c r="J658" s="2">
        <f t="shared" si="30"/>
        <v>23991101</v>
      </c>
      <c r="K658" s="4">
        <v>16.526889789999998</v>
      </c>
      <c r="L658" s="4">
        <v>82.97</v>
      </c>
      <c r="M658" s="12">
        <f t="shared" si="29"/>
        <v>82970000</v>
      </c>
      <c r="N658" s="4">
        <v>82.97</v>
      </c>
      <c r="O658" s="4">
        <v>82.97</v>
      </c>
      <c r="P658" s="4" t="s">
        <v>123</v>
      </c>
      <c r="Q658" s="4">
        <v>1</v>
      </c>
      <c r="R658" s="18" t="s">
        <v>114</v>
      </c>
      <c r="S658" s="8" t="s">
        <v>114</v>
      </c>
      <c r="T658" s="8" t="s">
        <v>117</v>
      </c>
      <c r="U658" s="8" t="s">
        <v>117</v>
      </c>
      <c r="V658" s="8" t="s">
        <v>115</v>
      </c>
      <c r="W658" s="8" t="s">
        <v>115</v>
      </c>
    </row>
    <row r="659" spans="1:23" x14ac:dyDescent="0.35">
      <c r="A659" s="5" t="s">
        <v>61</v>
      </c>
      <c r="B659" s="4">
        <v>70</v>
      </c>
      <c r="C659" s="15">
        <v>0</v>
      </c>
      <c r="D659" s="17">
        <f t="shared" si="31"/>
        <v>0</v>
      </c>
      <c r="E659" s="6">
        <v>0</v>
      </c>
      <c r="F659" s="6">
        <v>0.05</v>
      </c>
      <c r="G659" s="10">
        <v>7</v>
      </c>
      <c r="H659" s="7">
        <v>2017</v>
      </c>
      <c r="I659" s="13">
        <v>24.388507310000001</v>
      </c>
      <c r="J659" s="2">
        <f t="shared" si="30"/>
        <v>24388507.310000002</v>
      </c>
      <c r="K659" s="4">
        <v>14.93225142</v>
      </c>
      <c r="L659" s="4">
        <v>393.47666670000001</v>
      </c>
      <c r="M659" s="12">
        <f t="shared" si="29"/>
        <v>393476666.69999999</v>
      </c>
      <c r="N659" s="4">
        <v>393.47666670000001</v>
      </c>
      <c r="O659" s="4">
        <v>389.96666670000002</v>
      </c>
      <c r="P659" s="4" t="s">
        <v>123</v>
      </c>
      <c r="Q659" s="4">
        <v>1</v>
      </c>
      <c r="R659" s="18" t="s">
        <v>113</v>
      </c>
      <c r="S659" s="8" t="s">
        <v>114</v>
      </c>
      <c r="T659" s="8" t="s">
        <v>115</v>
      </c>
      <c r="U659" s="8" t="s">
        <v>115</v>
      </c>
      <c r="V659" s="8" t="s">
        <v>112</v>
      </c>
      <c r="W659" s="8" t="s">
        <v>112</v>
      </c>
    </row>
    <row r="660" spans="1:23" x14ac:dyDescent="0.35">
      <c r="A660" s="5" t="s">
        <v>62</v>
      </c>
      <c r="B660" s="4">
        <v>71</v>
      </c>
      <c r="C660" s="15">
        <v>0</v>
      </c>
      <c r="D660" s="17">
        <f t="shared" si="31"/>
        <v>0</v>
      </c>
      <c r="E660" s="6">
        <v>0</v>
      </c>
      <c r="F660" s="6">
        <v>0.05</v>
      </c>
      <c r="G660" s="10">
        <v>7</v>
      </c>
      <c r="H660" s="7">
        <v>2017</v>
      </c>
      <c r="I660" s="13">
        <v>24.115245689999998</v>
      </c>
      <c r="J660" s="2">
        <f t="shared" si="30"/>
        <v>24115245.689999998</v>
      </c>
      <c r="K660" s="4">
        <v>14.730016969999999</v>
      </c>
      <c r="L660" s="4">
        <v>132.05333329999999</v>
      </c>
      <c r="M660" s="12">
        <f t="shared" si="29"/>
        <v>132053333.3</v>
      </c>
      <c r="N660" s="4">
        <v>132.05333329999999</v>
      </c>
      <c r="O660" s="4">
        <v>-1.0066667000000109</v>
      </c>
      <c r="P660" s="4" t="s">
        <v>123</v>
      </c>
      <c r="Q660" s="4">
        <v>1</v>
      </c>
      <c r="R660" s="18" t="s">
        <v>114</v>
      </c>
      <c r="S660" s="8" t="s">
        <v>117</v>
      </c>
      <c r="T660" s="8" t="s">
        <v>115</v>
      </c>
      <c r="U660" s="8" t="s">
        <v>115</v>
      </c>
      <c r="V660" s="8" t="s">
        <v>115</v>
      </c>
      <c r="W660" s="8" t="s">
        <v>114</v>
      </c>
    </row>
    <row r="661" spans="1:23" x14ac:dyDescent="0.35">
      <c r="A661" s="5" t="s">
        <v>63</v>
      </c>
      <c r="B661" s="4">
        <v>72</v>
      </c>
      <c r="C661" s="15">
        <v>0</v>
      </c>
      <c r="D661" s="17">
        <f t="shared" si="31"/>
        <v>0</v>
      </c>
      <c r="E661" s="6">
        <v>0</v>
      </c>
      <c r="F661" s="6">
        <v>0.05</v>
      </c>
      <c r="G661" s="10">
        <v>7</v>
      </c>
      <c r="H661" s="7">
        <v>2017</v>
      </c>
      <c r="I661" s="13">
        <v>31.980854050000001</v>
      </c>
      <c r="J661" s="2">
        <f t="shared" si="30"/>
        <v>31980854.050000001</v>
      </c>
      <c r="K661" s="4">
        <v>13.67511419</v>
      </c>
      <c r="L661" s="4">
        <v>265.95</v>
      </c>
      <c r="M661" s="12">
        <f t="shared" si="29"/>
        <v>265950000</v>
      </c>
      <c r="N661" s="4">
        <v>265.95</v>
      </c>
      <c r="O661" s="4">
        <v>253.79999999999998</v>
      </c>
      <c r="P661" s="4" t="s">
        <v>123</v>
      </c>
      <c r="Q661" s="4">
        <v>1</v>
      </c>
      <c r="R661" s="18" t="s">
        <v>111</v>
      </c>
      <c r="S661" s="8" t="s">
        <v>112</v>
      </c>
      <c r="T661" s="8" t="s">
        <v>112</v>
      </c>
      <c r="U661" s="8" t="s">
        <v>112</v>
      </c>
      <c r="V661" s="8" t="s">
        <v>112</v>
      </c>
      <c r="W661" s="8" t="s">
        <v>112</v>
      </c>
    </row>
    <row r="662" spans="1:23" x14ac:dyDescent="0.35">
      <c r="A662" s="5" t="s">
        <v>64</v>
      </c>
      <c r="B662" s="4">
        <v>73</v>
      </c>
      <c r="C662" s="15">
        <v>0</v>
      </c>
      <c r="D662" s="17">
        <f t="shared" si="31"/>
        <v>0</v>
      </c>
      <c r="E662" s="6">
        <v>0</v>
      </c>
      <c r="F662" s="6">
        <v>0.05</v>
      </c>
      <c r="G662" s="10">
        <v>7</v>
      </c>
      <c r="H662" s="7">
        <v>2017</v>
      </c>
      <c r="I662" s="13">
        <v>30.704388309999999</v>
      </c>
      <c r="J662" s="2">
        <f t="shared" si="30"/>
        <v>30704388.309999999</v>
      </c>
      <c r="K662" s="4">
        <v>13.347163200000001</v>
      </c>
      <c r="L662" s="4">
        <v>169.85666670000001</v>
      </c>
      <c r="M662" s="12">
        <f t="shared" si="29"/>
        <v>169856666.70000002</v>
      </c>
      <c r="N662" s="4">
        <v>169.85666670000001</v>
      </c>
      <c r="O662" s="4">
        <v>86.826666700000004</v>
      </c>
      <c r="P662" s="4" t="s">
        <v>123</v>
      </c>
      <c r="Q662" s="4">
        <v>1</v>
      </c>
      <c r="R662" s="18" t="s">
        <v>112</v>
      </c>
      <c r="S662" s="8" t="s">
        <v>112</v>
      </c>
      <c r="T662" s="8" t="s">
        <v>117</v>
      </c>
      <c r="U662" s="8" t="s">
        <v>117</v>
      </c>
      <c r="V662" s="8" t="s">
        <v>117</v>
      </c>
      <c r="W662" s="8" t="s">
        <v>117</v>
      </c>
    </row>
    <row r="663" spans="1:23" x14ac:dyDescent="0.35">
      <c r="A663" s="5" t="s">
        <v>65</v>
      </c>
      <c r="B663" s="4">
        <v>74</v>
      </c>
      <c r="C663" s="15">
        <v>0</v>
      </c>
      <c r="D663" s="17">
        <f t="shared" si="31"/>
        <v>0</v>
      </c>
      <c r="E663" s="6">
        <v>0</v>
      </c>
      <c r="F663" s="6">
        <v>0.05</v>
      </c>
      <c r="G663" s="10">
        <v>7</v>
      </c>
      <c r="H663" s="7">
        <v>2017</v>
      </c>
      <c r="I663" s="13">
        <v>36.895947980000003</v>
      </c>
      <c r="J663" s="2">
        <f t="shared" si="30"/>
        <v>36895947.980000004</v>
      </c>
      <c r="K663" s="4">
        <v>15.194703840000001</v>
      </c>
      <c r="L663" s="4">
        <v>457.7033333</v>
      </c>
      <c r="M663" s="12">
        <f t="shared" si="29"/>
        <v>457703333.30000001</v>
      </c>
      <c r="N663" s="4">
        <v>457.7033333</v>
      </c>
      <c r="O663" s="4">
        <v>457.7033333</v>
      </c>
      <c r="P663" s="4" t="s">
        <v>123</v>
      </c>
      <c r="Q663" s="4">
        <v>1</v>
      </c>
      <c r="R663" s="18" t="s">
        <v>111</v>
      </c>
      <c r="S663" s="8" t="s">
        <v>116</v>
      </c>
      <c r="T663" s="8" t="s">
        <v>118</v>
      </c>
      <c r="U663" s="8" t="s">
        <v>119</v>
      </c>
      <c r="V663" s="8" t="s">
        <v>115</v>
      </c>
      <c r="W663" s="8" t="s">
        <v>119</v>
      </c>
    </row>
    <row r="664" spans="1:23" x14ac:dyDescent="0.35">
      <c r="A664" s="5" t="s">
        <v>87</v>
      </c>
      <c r="B664" s="4">
        <v>75</v>
      </c>
      <c r="C664" s="15">
        <v>0</v>
      </c>
      <c r="D664" s="17">
        <f t="shared" si="31"/>
        <v>0</v>
      </c>
      <c r="E664" s="6">
        <v>0</v>
      </c>
      <c r="F664" s="6">
        <v>0.05</v>
      </c>
      <c r="G664" s="10">
        <v>7</v>
      </c>
      <c r="H664" s="7">
        <v>2017</v>
      </c>
      <c r="I664" s="13">
        <v>21.908332569999999</v>
      </c>
      <c r="J664" s="2">
        <f t="shared" si="30"/>
        <v>21908332.57</v>
      </c>
      <c r="K664" s="4">
        <v>16.00447428</v>
      </c>
      <c r="M664" s="12">
        <f t="shared" si="29"/>
        <v>0</v>
      </c>
      <c r="Q664" s="4">
        <v>1</v>
      </c>
      <c r="R664" s="12" t="s">
        <v>133</v>
      </c>
    </row>
    <row r="665" spans="1:23" x14ac:dyDescent="0.35">
      <c r="A665" s="5" t="s">
        <v>66</v>
      </c>
      <c r="B665" s="4">
        <v>76</v>
      </c>
      <c r="C665" s="15">
        <v>0</v>
      </c>
      <c r="D665" s="17">
        <f t="shared" si="31"/>
        <v>0</v>
      </c>
      <c r="E665" s="6">
        <v>0</v>
      </c>
      <c r="F665" s="6">
        <v>0.05</v>
      </c>
      <c r="G665" s="10">
        <v>7</v>
      </c>
      <c r="H665" s="7">
        <v>2017</v>
      </c>
      <c r="I665" s="13">
        <v>34.34463942</v>
      </c>
      <c r="J665" s="2">
        <f t="shared" si="30"/>
        <v>34344639.420000002</v>
      </c>
      <c r="K665" s="4">
        <v>31.240706100000001</v>
      </c>
      <c r="L665" s="4">
        <v>535.83666670000002</v>
      </c>
      <c r="M665" s="12">
        <f t="shared" si="29"/>
        <v>535836666.70000005</v>
      </c>
      <c r="N665" s="4">
        <v>535.83666670000002</v>
      </c>
      <c r="O665" s="4">
        <v>510.4866667</v>
      </c>
      <c r="P665" s="4" t="s">
        <v>123</v>
      </c>
      <c r="Q665" s="4">
        <v>1</v>
      </c>
      <c r="R665" s="18" t="s">
        <v>120</v>
      </c>
      <c r="S665" s="8" t="s">
        <v>112</v>
      </c>
      <c r="T665" s="8" t="s">
        <v>111</v>
      </c>
      <c r="U665" s="8" t="s">
        <v>121</v>
      </c>
      <c r="V665" s="8" t="s">
        <v>122</v>
      </c>
      <c r="W665" s="8" t="s">
        <v>121</v>
      </c>
    </row>
    <row r="666" spans="1:23" x14ac:dyDescent="0.35">
      <c r="A666" s="5" t="s">
        <v>67</v>
      </c>
      <c r="B666" s="4">
        <v>77</v>
      </c>
      <c r="C666" s="15">
        <v>0</v>
      </c>
      <c r="D666" s="17">
        <f t="shared" si="31"/>
        <v>0</v>
      </c>
      <c r="E666" s="6">
        <v>0</v>
      </c>
      <c r="F666" s="6">
        <v>0.05</v>
      </c>
      <c r="G666" s="10">
        <v>7</v>
      </c>
      <c r="H666" s="7">
        <v>2017</v>
      </c>
      <c r="I666" s="13">
        <v>29.773937790000002</v>
      </c>
      <c r="J666" s="2">
        <f t="shared" si="30"/>
        <v>29773937.790000003</v>
      </c>
      <c r="K666" s="4">
        <v>29.738013559999999</v>
      </c>
      <c r="L666" s="4">
        <v>182.47166669999999</v>
      </c>
      <c r="M666" s="12">
        <f t="shared" si="29"/>
        <v>182471666.69999999</v>
      </c>
      <c r="N666" s="4">
        <v>182.47166669999999</v>
      </c>
      <c r="O666" s="4">
        <v>182.47166669999999</v>
      </c>
      <c r="P666" s="4" t="s">
        <v>123</v>
      </c>
      <c r="Q666" s="4">
        <v>1</v>
      </c>
      <c r="R666" s="18" t="s">
        <v>111</v>
      </c>
      <c r="S666" s="8" t="s">
        <v>116</v>
      </c>
      <c r="T666" s="8" t="s">
        <v>119</v>
      </c>
      <c r="U666" s="8" t="s">
        <v>119</v>
      </c>
      <c r="V666" s="8" t="s">
        <v>118</v>
      </c>
      <c r="W666" s="8" t="s">
        <v>115</v>
      </c>
    </row>
    <row r="667" spans="1:23" x14ac:dyDescent="0.35">
      <c r="A667" s="5" t="s">
        <v>68</v>
      </c>
      <c r="B667" s="4">
        <v>78</v>
      </c>
      <c r="C667" s="15">
        <v>0</v>
      </c>
      <c r="D667" s="17">
        <f t="shared" si="31"/>
        <v>0</v>
      </c>
      <c r="E667" s="6">
        <v>0</v>
      </c>
      <c r="F667" s="6">
        <v>0.05</v>
      </c>
      <c r="G667" s="10">
        <v>7</v>
      </c>
      <c r="H667" s="7">
        <v>2017</v>
      </c>
      <c r="I667" s="13">
        <v>25.28186607</v>
      </c>
      <c r="J667" s="2">
        <f t="shared" si="30"/>
        <v>25281866.07</v>
      </c>
      <c r="K667" s="4">
        <v>30.402843570000002</v>
      </c>
      <c r="M667" s="12">
        <f t="shared" si="29"/>
        <v>0</v>
      </c>
      <c r="Q667" s="4">
        <v>1</v>
      </c>
      <c r="R667" s="18" t="s">
        <v>134</v>
      </c>
      <c r="S667" s="8" t="s">
        <v>117</v>
      </c>
      <c r="T667" s="8" t="s">
        <v>115</v>
      </c>
      <c r="U667" s="8" t="s">
        <v>117</v>
      </c>
      <c r="V667" s="8" t="s">
        <v>115</v>
      </c>
      <c r="W667" s="8" t="s">
        <v>115</v>
      </c>
    </row>
    <row r="668" spans="1:23" x14ac:dyDescent="0.35">
      <c r="A668" s="5" t="s">
        <v>69</v>
      </c>
      <c r="B668" s="4">
        <v>79</v>
      </c>
      <c r="C668" s="15">
        <v>0</v>
      </c>
      <c r="D668" s="17">
        <f t="shared" si="31"/>
        <v>0</v>
      </c>
      <c r="E668" s="6">
        <v>0</v>
      </c>
      <c r="F668" s="6">
        <v>0.05</v>
      </c>
      <c r="G668" s="10">
        <v>7</v>
      </c>
      <c r="H668" s="7">
        <v>2017</v>
      </c>
      <c r="I668" s="13">
        <v>22.710587919999998</v>
      </c>
      <c r="J668" s="2">
        <f t="shared" si="30"/>
        <v>22710587.919999998</v>
      </c>
      <c r="K668" s="4">
        <v>28.72681742</v>
      </c>
      <c r="L668" s="4">
        <v>220.69666670000001</v>
      </c>
      <c r="M668" s="12">
        <f t="shared" si="29"/>
        <v>220696666.70000002</v>
      </c>
      <c r="N668" s="4">
        <v>220.69666670000001</v>
      </c>
      <c r="O668" s="4">
        <v>220.69666670000001</v>
      </c>
      <c r="P668" s="4" t="s">
        <v>123</v>
      </c>
      <c r="Q668" s="4">
        <v>1</v>
      </c>
      <c r="R668" s="18" t="s">
        <v>112</v>
      </c>
      <c r="S668" s="8" t="s">
        <v>112</v>
      </c>
      <c r="T668" s="8" t="s">
        <v>117</v>
      </c>
      <c r="U668" s="8" t="s">
        <v>117</v>
      </c>
      <c r="V668" s="8" t="s">
        <v>117</v>
      </c>
      <c r="W668" s="8" t="s">
        <v>117</v>
      </c>
    </row>
    <row r="669" spans="1:23" x14ac:dyDescent="0.35">
      <c r="A669" s="5" t="s">
        <v>101</v>
      </c>
      <c r="B669" s="4">
        <v>80</v>
      </c>
      <c r="C669" s="15">
        <v>0</v>
      </c>
      <c r="D669" s="17">
        <f t="shared" si="31"/>
        <v>0</v>
      </c>
      <c r="E669" s="6">
        <v>0</v>
      </c>
      <c r="F669" s="6">
        <v>0.05</v>
      </c>
      <c r="G669" s="10">
        <v>7</v>
      </c>
      <c r="H669" s="7">
        <v>2017</v>
      </c>
      <c r="I669" s="13">
        <v>17.479450199999999</v>
      </c>
      <c r="J669" s="2">
        <f t="shared" si="30"/>
        <v>17479450.199999999</v>
      </c>
      <c r="K669" s="4">
        <v>34.082885130000001</v>
      </c>
      <c r="M669" s="12">
        <f t="shared" si="29"/>
        <v>0</v>
      </c>
      <c r="Q669" s="4">
        <v>1</v>
      </c>
      <c r="R669" s="19" t="s">
        <v>128</v>
      </c>
      <c r="S669" s="8" t="s">
        <v>115</v>
      </c>
      <c r="T669" s="8" t="s">
        <v>115</v>
      </c>
      <c r="U669" s="8" t="s">
        <v>115</v>
      </c>
      <c r="V669" s="8" t="s">
        <v>115</v>
      </c>
      <c r="W669" s="8" t="s">
        <v>115</v>
      </c>
    </row>
    <row r="670" spans="1:23" x14ac:dyDescent="0.35">
      <c r="A670" s="5" t="s">
        <v>70</v>
      </c>
      <c r="B670" s="4">
        <v>81</v>
      </c>
      <c r="C670" s="15">
        <v>0</v>
      </c>
      <c r="D670" s="17">
        <f t="shared" si="31"/>
        <v>0</v>
      </c>
      <c r="E670" s="6">
        <v>0</v>
      </c>
      <c r="F670" s="6">
        <v>0.05</v>
      </c>
      <c r="G670" s="10">
        <v>7</v>
      </c>
      <c r="H670" s="7">
        <v>2017</v>
      </c>
      <c r="I670" s="13">
        <v>25.059993989999999</v>
      </c>
      <c r="J670" s="2">
        <f t="shared" si="30"/>
        <v>25059993.989999998</v>
      </c>
      <c r="K670" s="4">
        <v>32.805769740000002</v>
      </c>
      <c r="L670" s="4">
        <v>206.91333330000001</v>
      </c>
      <c r="M670" s="12">
        <f t="shared" si="29"/>
        <v>206913333.30000001</v>
      </c>
      <c r="N670" s="4">
        <v>206.91333330000001</v>
      </c>
      <c r="O670" s="4">
        <v>206.91333330000001</v>
      </c>
      <c r="P670" s="4" t="s">
        <v>123</v>
      </c>
      <c r="Q670" s="4">
        <v>1</v>
      </c>
      <c r="R670" s="18" t="s">
        <v>113</v>
      </c>
      <c r="S670" s="8" t="s">
        <v>117</v>
      </c>
      <c r="T670" s="8" t="s">
        <v>115</v>
      </c>
      <c r="U670" s="8" t="s">
        <v>113</v>
      </c>
      <c r="V670" s="8" t="s">
        <v>115</v>
      </c>
      <c r="W670" s="8" t="s">
        <v>115</v>
      </c>
    </row>
    <row r="671" spans="1:23" x14ac:dyDescent="0.35">
      <c r="A671" s="5" t="s">
        <v>71</v>
      </c>
      <c r="B671" s="4">
        <v>82</v>
      </c>
      <c r="C671" s="15">
        <v>0</v>
      </c>
      <c r="D671" s="17">
        <f t="shared" si="31"/>
        <v>0</v>
      </c>
      <c r="E671" s="6">
        <v>0</v>
      </c>
      <c r="F671" s="6">
        <v>0.05</v>
      </c>
      <c r="G671" s="10">
        <v>7</v>
      </c>
      <c r="H671" s="7">
        <v>2017</v>
      </c>
      <c r="I671" s="13">
        <v>23.223498960000001</v>
      </c>
      <c r="J671" s="2">
        <f t="shared" si="30"/>
        <v>23223498.960000001</v>
      </c>
      <c r="K671" s="4">
        <v>31.56253379</v>
      </c>
      <c r="L671" s="4">
        <v>0.85666666700000005</v>
      </c>
      <c r="M671" s="12">
        <f t="shared" si="29"/>
        <v>856666.66700000002</v>
      </c>
      <c r="N671" s="4">
        <v>0.85666666700000005</v>
      </c>
      <c r="O671" s="4">
        <v>-3.3333329999999384E-3</v>
      </c>
      <c r="P671" s="4" t="s">
        <v>123</v>
      </c>
      <c r="Q671" s="4">
        <v>1</v>
      </c>
      <c r="R671" s="18" t="s">
        <v>112</v>
      </c>
      <c r="S671" s="8" t="s">
        <v>114</v>
      </c>
      <c r="T671" s="8" t="s">
        <v>115</v>
      </c>
      <c r="U671" s="8" t="s">
        <v>115</v>
      </c>
      <c r="V671" s="8" t="s">
        <v>114</v>
      </c>
      <c r="W671" s="8" t="s">
        <v>114</v>
      </c>
    </row>
    <row r="672" spans="1:23" x14ac:dyDescent="0.35">
      <c r="A672" s="5" t="s">
        <v>72</v>
      </c>
      <c r="B672" s="4">
        <v>83</v>
      </c>
      <c r="C672" s="15">
        <v>0</v>
      </c>
      <c r="D672" s="17">
        <f t="shared" si="31"/>
        <v>0</v>
      </c>
      <c r="E672" s="6">
        <v>0</v>
      </c>
      <c r="F672" s="6">
        <v>0.05</v>
      </c>
      <c r="G672" s="10">
        <v>7</v>
      </c>
      <c r="H672" s="7">
        <v>2017</v>
      </c>
      <c r="I672" s="13">
        <v>26.446699519999999</v>
      </c>
      <c r="J672" s="2">
        <f t="shared" si="30"/>
        <v>26446699.52</v>
      </c>
      <c r="K672" s="4">
        <v>28.896044320000001</v>
      </c>
      <c r="L672" s="4">
        <v>112.6733333</v>
      </c>
      <c r="M672" s="12">
        <f t="shared" si="29"/>
        <v>112673333.3</v>
      </c>
      <c r="N672" s="4">
        <v>112.6733333</v>
      </c>
      <c r="O672" s="4">
        <v>112.6733333</v>
      </c>
      <c r="P672" s="4" t="s">
        <v>123</v>
      </c>
      <c r="Q672" s="4">
        <v>1</v>
      </c>
      <c r="R672" s="18" t="s">
        <v>113</v>
      </c>
      <c r="S672" s="8" t="s">
        <v>114</v>
      </c>
      <c r="T672" s="8" t="s">
        <v>112</v>
      </c>
      <c r="U672" s="8" t="s">
        <v>112</v>
      </c>
      <c r="V672" s="8" t="s">
        <v>115</v>
      </c>
      <c r="W672" s="8" t="s">
        <v>115</v>
      </c>
    </row>
    <row r="673" spans="1:23" x14ac:dyDescent="0.35">
      <c r="A673" s="5" t="s">
        <v>73</v>
      </c>
      <c r="B673" s="4">
        <v>84</v>
      </c>
      <c r="C673" s="15">
        <v>0</v>
      </c>
      <c r="D673" s="17">
        <f t="shared" si="31"/>
        <v>0</v>
      </c>
      <c r="E673" s="6">
        <v>0</v>
      </c>
      <c r="F673" s="6">
        <v>0.05</v>
      </c>
      <c r="G673" s="10">
        <v>7</v>
      </c>
      <c r="H673" s="7">
        <v>2017</v>
      </c>
      <c r="I673" s="13">
        <v>19.62855373</v>
      </c>
      <c r="J673" s="2">
        <f t="shared" si="30"/>
        <v>19628553.73</v>
      </c>
      <c r="K673" s="4">
        <v>35.309810110000001</v>
      </c>
      <c r="L673" s="4">
        <v>21.806666669999998</v>
      </c>
      <c r="M673" s="12">
        <f t="shared" si="29"/>
        <v>21806666.669999998</v>
      </c>
      <c r="N673" s="4">
        <v>21.806666669999998</v>
      </c>
      <c r="O673" s="4">
        <v>-3.3333300000002453E-3</v>
      </c>
      <c r="P673" s="4" t="s">
        <v>123</v>
      </c>
      <c r="Q673" s="4">
        <v>1</v>
      </c>
      <c r="R673" s="18" t="s">
        <v>117</v>
      </c>
      <c r="S673" s="8" t="s">
        <v>117</v>
      </c>
      <c r="T673" s="8" t="s">
        <v>115</v>
      </c>
      <c r="U673" s="8" t="s">
        <v>115</v>
      </c>
      <c r="V673" s="8" t="s">
        <v>115</v>
      </c>
      <c r="W673" s="8" t="s">
        <v>117</v>
      </c>
    </row>
    <row r="674" spans="1:23" x14ac:dyDescent="0.35">
      <c r="A674" s="5" t="s">
        <v>74</v>
      </c>
      <c r="B674" s="4">
        <v>85</v>
      </c>
      <c r="C674" s="15">
        <v>0</v>
      </c>
      <c r="D674" s="17">
        <f t="shared" si="31"/>
        <v>0</v>
      </c>
      <c r="E674" s="6">
        <v>0</v>
      </c>
      <c r="F674" s="6">
        <v>0.05</v>
      </c>
      <c r="G674" s="10">
        <v>7</v>
      </c>
      <c r="H674" s="7">
        <v>2017</v>
      </c>
      <c r="I674" s="13">
        <v>28.20036095</v>
      </c>
      <c r="J674" s="2">
        <f t="shared" si="30"/>
        <v>28200360.949999999</v>
      </c>
      <c r="K674" s="4">
        <v>34.598679220000001</v>
      </c>
      <c r="L674" s="4">
        <v>289.85333329999997</v>
      </c>
      <c r="M674" s="12">
        <f t="shared" si="29"/>
        <v>289853333.29999995</v>
      </c>
      <c r="N674" s="4">
        <v>289.85333329999997</v>
      </c>
      <c r="O674" s="4">
        <v>289.85333329999997</v>
      </c>
      <c r="P674" s="4" t="s">
        <v>123</v>
      </c>
      <c r="Q674" s="4">
        <v>1</v>
      </c>
      <c r="R674" s="18" t="s">
        <v>113</v>
      </c>
      <c r="S674" s="8" t="s">
        <v>116</v>
      </c>
      <c r="T674" s="8" t="s">
        <v>114</v>
      </c>
      <c r="U674" s="8" t="s">
        <v>116</v>
      </c>
      <c r="V674" s="8" t="s">
        <v>116</v>
      </c>
      <c r="W674" s="8" t="s">
        <v>115</v>
      </c>
    </row>
    <row r="675" spans="1:23" x14ac:dyDescent="0.35">
      <c r="A675" s="5" t="s">
        <v>75</v>
      </c>
      <c r="B675" s="4">
        <v>86</v>
      </c>
      <c r="C675" s="15">
        <v>0</v>
      </c>
      <c r="D675" s="17">
        <f t="shared" si="31"/>
        <v>0</v>
      </c>
      <c r="E675" s="6">
        <v>0</v>
      </c>
      <c r="F675" s="6">
        <v>0.05</v>
      </c>
      <c r="G675" s="10">
        <v>7</v>
      </c>
      <c r="H675" s="7">
        <v>2017</v>
      </c>
      <c r="I675" s="13">
        <v>22.311792140000001</v>
      </c>
      <c r="J675" s="2">
        <f t="shared" si="30"/>
        <v>22311792.140000001</v>
      </c>
      <c r="K675" s="4">
        <v>34.181955850000001</v>
      </c>
      <c r="L675" s="4">
        <v>93.823333329999997</v>
      </c>
      <c r="M675" s="12">
        <f t="shared" si="29"/>
        <v>93823333.329999998</v>
      </c>
      <c r="N675" s="4">
        <v>93.823333329999997</v>
      </c>
      <c r="O675" s="4">
        <v>65.293333329999996</v>
      </c>
      <c r="P675" s="4" t="s">
        <v>123</v>
      </c>
      <c r="Q675" s="4">
        <v>1</v>
      </c>
      <c r="R675" s="18" t="s">
        <v>112</v>
      </c>
      <c r="S675" s="8" t="s">
        <v>116</v>
      </c>
      <c r="T675" s="8" t="s">
        <v>117</v>
      </c>
      <c r="U675" s="8" t="s">
        <v>115</v>
      </c>
      <c r="V675" s="8" t="s">
        <v>114</v>
      </c>
      <c r="W675" s="8" t="s">
        <v>117</v>
      </c>
    </row>
    <row r="676" spans="1:23" x14ac:dyDescent="0.35">
      <c r="A676" s="5" t="s">
        <v>76</v>
      </c>
      <c r="B676" s="4">
        <v>87</v>
      </c>
      <c r="C676" s="15">
        <v>0</v>
      </c>
      <c r="D676" s="17">
        <f t="shared" si="31"/>
        <v>0</v>
      </c>
      <c r="E676" s="6">
        <v>0</v>
      </c>
      <c r="F676" s="6">
        <v>0.05</v>
      </c>
      <c r="G676" s="10">
        <v>7</v>
      </c>
      <c r="H676" s="7">
        <v>2017</v>
      </c>
      <c r="I676" s="13">
        <v>19.91564936</v>
      </c>
      <c r="J676" s="2">
        <f t="shared" si="30"/>
        <v>19915649.359999999</v>
      </c>
      <c r="K676" s="4">
        <v>31.302842219999999</v>
      </c>
      <c r="L676" s="4">
        <v>4.2300000000000004</v>
      </c>
      <c r="M676" s="12">
        <f t="shared" si="29"/>
        <v>4230000</v>
      </c>
      <c r="N676" s="4">
        <v>4.2300000000000004</v>
      </c>
      <c r="O676" s="4">
        <v>4.2300000000000004</v>
      </c>
      <c r="P676" s="4" t="s">
        <v>123</v>
      </c>
      <c r="Q676" s="4">
        <v>1</v>
      </c>
      <c r="R676" s="18" t="s">
        <v>117</v>
      </c>
      <c r="S676" s="8" t="s">
        <v>117</v>
      </c>
      <c r="T676" s="8" t="s">
        <v>117</v>
      </c>
      <c r="U676" s="8" t="s">
        <v>115</v>
      </c>
      <c r="V676" s="8" t="s">
        <v>115</v>
      </c>
      <c r="W676" s="8" t="s">
        <v>115</v>
      </c>
    </row>
    <row r="677" spans="1:23" x14ac:dyDescent="0.35">
      <c r="A677" s="5" t="s">
        <v>77</v>
      </c>
      <c r="B677" s="4">
        <v>88</v>
      </c>
      <c r="C677" s="15">
        <v>0</v>
      </c>
      <c r="D677" s="17">
        <f t="shared" si="31"/>
        <v>0</v>
      </c>
      <c r="E677" s="6">
        <v>0</v>
      </c>
      <c r="F677" s="6">
        <v>0.05</v>
      </c>
      <c r="G677" s="10">
        <v>7</v>
      </c>
      <c r="H677" s="7">
        <v>2017</v>
      </c>
      <c r="I677" s="13">
        <v>18.698520439999999</v>
      </c>
      <c r="J677" s="2">
        <f t="shared" si="30"/>
        <v>18698520.439999998</v>
      </c>
      <c r="K677" s="4">
        <v>37.198990909999999</v>
      </c>
      <c r="L677" s="4">
        <v>18.606666669999999</v>
      </c>
      <c r="M677" s="12">
        <f t="shared" si="29"/>
        <v>18606666.669999998</v>
      </c>
      <c r="N677" s="4">
        <v>18.606666669999999</v>
      </c>
      <c r="O677" s="4">
        <v>18.606666669999999</v>
      </c>
      <c r="P677" s="4" t="s">
        <v>123</v>
      </c>
      <c r="Q677" s="4">
        <v>1</v>
      </c>
      <c r="R677" s="18" t="s">
        <v>117</v>
      </c>
      <c r="S677" s="8" t="s">
        <v>117</v>
      </c>
      <c r="T677" s="8" t="s">
        <v>115</v>
      </c>
      <c r="U677" s="8" t="s">
        <v>115</v>
      </c>
      <c r="V677" s="8" t="s">
        <v>117</v>
      </c>
      <c r="W677" s="8" t="s">
        <v>115</v>
      </c>
    </row>
    <row r="678" spans="1:23" x14ac:dyDescent="0.35">
      <c r="A678" s="5" t="s">
        <v>78</v>
      </c>
      <c r="B678" s="4">
        <v>89</v>
      </c>
      <c r="C678" s="15">
        <v>0</v>
      </c>
      <c r="D678" s="17">
        <f t="shared" si="31"/>
        <v>0</v>
      </c>
      <c r="E678" s="6">
        <v>0</v>
      </c>
      <c r="F678" s="6">
        <v>0.05</v>
      </c>
      <c r="G678" s="10">
        <v>7</v>
      </c>
      <c r="H678" s="7">
        <v>2017</v>
      </c>
      <c r="I678" s="13">
        <v>20.733490239999998</v>
      </c>
      <c r="J678" s="2">
        <f t="shared" si="30"/>
        <v>20733490.239999998</v>
      </c>
      <c r="K678" s="4">
        <v>36.588299509999999</v>
      </c>
      <c r="L678" s="4">
        <v>46.46833333</v>
      </c>
      <c r="M678" s="12">
        <f t="shared" si="29"/>
        <v>46468333.329999998</v>
      </c>
      <c r="N678" s="4">
        <v>46.46833333</v>
      </c>
      <c r="O678" s="4">
        <v>46.46833333</v>
      </c>
      <c r="P678" s="4" t="s">
        <v>123</v>
      </c>
      <c r="Q678" s="4">
        <v>1</v>
      </c>
      <c r="R678" s="18" t="s">
        <v>114</v>
      </c>
      <c r="S678" s="8" t="s">
        <v>117</v>
      </c>
      <c r="T678" s="8" t="s">
        <v>115</v>
      </c>
      <c r="U678" s="8" t="s">
        <v>114</v>
      </c>
      <c r="V678" s="8" t="s">
        <v>115</v>
      </c>
      <c r="W678" s="8" t="s">
        <v>115</v>
      </c>
    </row>
    <row r="679" spans="1:23" x14ac:dyDescent="0.35">
      <c r="A679" s="5" t="s">
        <v>79</v>
      </c>
      <c r="B679" s="4">
        <v>90</v>
      </c>
      <c r="C679" s="15">
        <v>0</v>
      </c>
      <c r="D679" s="17">
        <f t="shared" si="31"/>
        <v>0</v>
      </c>
      <c r="E679" s="6">
        <v>0</v>
      </c>
      <c r="F679" s="6">
        <v>0.05</v>
      </c>
      <c r="G679" s="10">
        <v>7</v>
      </c>
      <c r="H679" s="7">
        <v>2017</v>
      </c>
      <c r="I679" s="13">
        <v>21.69459891</v>
      </c>
      <c r="J679" s="2">
        <f t="shared" si="30"/>
        <v>21694598.91</v>
      </c>
      <c r="K679" s="4">
        <v>35.262194100000002</v>
      </c>
      <c r="L679" s="4">
        <v>50.026666669999997</v>
      </c>
      <c r="M679" s="12">
        <f t="shared" si="29"/>
        <v>50026666.669999994</v>
      </c>
      <c r="N679" s="4">
        <v>50.026666669999997</v>
      </c>
      <c r="O679" s="4">
        <v>48.676666669999996</v>
      </c>
      <c r="P679" s="4" t="s">
        <v>123</v>
      </c>
      <c r="Q679" s="4">
        <v>1</v>
      </c>
      <c r="R679" s="18" t="s">
        <v>114</v>
      </c>
      <c r="S679" s="8" t="s">
        <v>114</v>
      </c>
      <c r="T679" s="8" t="s">
        <v>115</v>
      </c>
      <c r="U679" s="8" t="s">
        <v>117</v>
      </c>
      <c r="V679" s="8" t="s">
        <v>115</v>
      </c>
      <c r="W679" s="8" t="s">
        <v>117</v>
      </c>
    </row>
    <row r="680" spans="1:23" x14ac:dyDescent="0.35">
      <c r="A680" s="5" t="s">
        <v>80</v>
      </c>
      <c r="B680" s="4">
        <v>91</v>
      </c>
      <c r="C680" s="15">
        <v>0</v>
      </c>
      <c r="D680" s="17">
        <f t="shared" si="31"/>
        <v>0</v>
      </c>
      <c r="E680" s="6">
        <v>0</v>
      </c>
      <c r="F680" s="6">
        <v>0.05</v>
      </c>
      <c r="G680" s="10">
        <v>7</v>
      </c>
      <c r="H680" s="7">
        <v>2017</v>
      </c>
      <c r="I680" s="13">
        <v>23.278070419999999</v>
      </c>
      <c r="J680" s="2">
        <f t="shared" si="30"/>
        <v>23278070.419999998</v>
      </c>
      <c r="K680" s="4">
        <v>29.89189803</v>
      </c>
      <c r="L680" s="4">
        <v>132.3966667</v>
      </c>
      <c r="M680" s="12">
        <f t="shared" si="29"/>
        <v>132396666.7</v>
      </c>
      <c r="N680" s="4">
        <v>132.3966667</v>
      </c>
      <c r="O680" s="4">
        <v>117.49666669999999</v>
      </c>
      <c r="P680" s="4" t="s">
        <v>123</v>
      </c>
      <c r="Q680" s="4">
        <v>1</v>
      </c>
      <c r="R680" s="18" t="s">
        <v>113</v>
      </c>
      <c r="S680" s="8" t="s">
        <v>112</v>
      </c>
      <c r="T680" s="8" t="s">
        <v>114</v>
      </c>
      <c r="U680" s="8" t="s">
        <v>114</v>
      </c>
      <c r="V680" s="8" t="s">
        <v>114</v>
      </c>
      <c r="W680" s="8" t="s">
        <v>114</v>
      </c>
    </row>
    <row r="681" spans="1:23" x14ac:dyDescent="0.35">
      <c r="A681" s="5" t="s">
        <v>81</v>
      </c>
      <c r="B681" s="4">
        <v>92</v>
      </c>
      <c r="C681" s="15">
        <v>0</v>
      </c>
      <c r="D681" s="17">
        <f t="shared" si="31"/>
        <v>0</v>
      </c>
      <c r="E681" s="6">
        <v>0</v>
      </c>
      <c r="F681" s="6">
        <v>0.05</v>
      </c>
      <c r="G681" s="10">
        <v>7</v>
      </c>
      <c r="H681" s="7">
        <v>2017</v>
      </c>
      <c r="I681" s="13">
        <v>15.84036392</v>
      </c>
      <c r="J681" s="2">
        <f t="shared" si="30"/>
        <v>15840363.92</v>
      </c>
      <c r="K681" s="4">
        <v>38.685899470000003</v>
      </c>
      <c r="L681" s="4">
        <v>33.53</v>
      </c>
      <c r="M681" s="12">
        <f t="shared" si="29"/>
        <v>33530000</v>
      </c>
      <c r="N681" s="4">
        <v>33.53</v>
      </c>
      <c r="O681" s="4">
        <v>33.53</v>
      </c>
      <c r="P681" s="4" t="s">
        <v>123</v>
      </c>
      <c r="Q681" s="4">
        <v>1</v>
      </c>
      <c r="R681" s="18" t="s">
        <v>114</v>
      </c>
      <c r="S681" s="8" t="s">
        <v>117</v>
      </c>
      <c r="T681" s="8" t="s">
        <v>115</v>
      </c>
      <c r="U681" s="8" t="s">
        <v>115</v>
      </c>
      <c r="V681" s="8" t="s">
        <v>114</v>
      </c>
      <c r="W681" s="8" t="s">
        <v>115</v>
      </c>
    </row>
    <row r="682" spans="1:23" x14ac:dyDescent="0.35">
      <c r="A682" s="5" t="s">
        <v>82</v>
      </c>
      <c r="B682" s="4">
        <v>93</v>
      </c>
      <c r="C682" s="15">
        <v>0</v>
      </c>
      <c r="D682" s="17">
        <f t="shared" si="31"/>
        <v>0</v>
      </c>
      <c r="E682" s="6">
        <v>0</v>
      </c>
      <c r="F682" s="6">
        <v>0.05</v>
      </c>
      <c r="G682" s="10">
        <v>7</v>
      </c>
      <c r="H682" s="7">
        <v>2017</v>
      </c>
      <c r="I682" s="13">
        <v>26.801933200000001</v>
      </c>
      <c r="J682" s="2">
        <f t="shared" si="30"/>
        <v>26801933.199999999</v>
      </c>
      <c r="K682" s="4">
        <v>34.203219449999999</v>
      </c>
      <c r="L682" s="4">
        <v>285.02333329999999</v>
      </c>
      <c r="M682" s="12">
        <f t="shared" si="29"/>
        <v>285023333.30000001</v>
      </c>
      <c r="N682" s="4">
        <v>285.02333329999999</v>
      </c>
      <c r="O682" s="4">
        <v>205.5733333</v>
      </c>
      <c r="P682" s="4" t="s">
        <v>123</v>
      </c>
      <c r="Q682" s="4">
        <v>1</v>
      </c>
      <c r="R682" s="18" t="s">
        <v>111</v>
      </c>
      <c r="S682" s="8" t="s">
        <v>112</v>
      </c>
      <c r="T682" s="8" t="s">
        <v>112</v>
      </c>
      <c r="U682" s="8" t="s">
        <v>112</v>
      </c>
      <c r="V682" s="8" t="s">
        <v>112</v>
      </c>
      <c r="W682" s="8" t="s">
        <v>112</v>
      </c>
    </row>
    <row r="683" spans="1:23" x14ac:dyDescent="0.35">
      <c r="A683" s="5" t="s">
        <v>89</v>
      </c>
      <c r="B683" s="4">
        <v>94</v>
      </c>
      <c r="C683" s="15">
        <v>0</v>
      </c>
      <c r="D683" s="17">
        <f t="shared" si="31"/>
        <v>0</v>
      </c>
      <c r="E683" s="6">
        <v>0</v>
      </c>
      <c r="F683" s="6">
        <v>0.05</v>
      </c>
      <c r="G683" s="10">
        <v>7</v>
      </c>
      <c r="H683" s="7">
        <v>2017</v>
      </c>
      <c r="I683" s="13">
        <v>26.302388740000001</v>
      </c>
      <c r="J683" s="2">
        <f t="shared" si="30"/>
        <v>26302388.740000002</v>
      </c>
      <c r="K683" s="4">
        <v>33.573145769999996</v>
      </c>
      <c r="M683" s="12">
        <f t="shared" si="29"/>
        <v>0</v>
      </c>
      <c r="Q683" s="4">
        <v>1</v>
      </c>
      <c r="R683" s="18" t="s">
        <v>129</v>
      </c>
      <c r="S683" s="8" t="s">
        <v>130</v>
      </c>
      <c r="T683" s="8" t="s">
        <v>130</v>
      </c>
      <c r="U683" s="8" t="s">
        <v>130</v>
      </c>
      <c r="V683" s="8" t="s">
        <v>130</v>
      </c>
      <c r="W683" s="8" t="s">
        <v>130</v>
      </c>
    </row>
    <row r="684" spans="1:23" x14ac:dyDescent="0.35">
      <c r="A684" s="5" t="s">
        <v>83</v>
      </c>
      <c r="B684" s="4">
        <v>95</v>
      </c>
      <c r="C684" s="15">
        <v>0</v>
      </c>
      <c r="D684" s="17">
        <f t="shared" si="31"/>
        <v>0</v>
      </c>
      <c r="E684" s="6">
        <v>0</v>
      </c>
      <c r="F684" s="6">
        <v>0.05</v>
      </c>
      <c r="G684" s="10">
        <v>7</v>
      </c>
      <c r="H684" s="7">
        <v>2017</v>
      </c>
      <c r="I684" s="13">
        <v>21.347926050000002</v>
      </c>
      <c r="J684" s="2">
        <f t="shared" si="30"/>
        <v>21347926.050000001</v>
      </c>
      <c r="K684" s="4">
        <v>30.387756339999999</v>
      </c>
      <c r="L684" s="4">
        <v>255.47666670000001</v>
      </c>
      <c r="M684" s="12">
        <f t="shared" si="29"/>
        <v>255476666.70000002</v>
      </c>
      <c r="N684" s="4">
        <v>255.47666670000001</v>
      </c>
      <c r="O684" s="4">
        <v>150.47666670000001</v>
      </c>
      <c r="P684" s="4" t="s">
        <v>123</v>
      </c>
      <c r="Q684" s="4">
        <v>1</v>
      </c>
      <c r="R684" s="18" t="s">
        <v>111</v>
      </c>
      <c r="S684" s="8" t="s">
        <v>114</v>
      </c>
      <c r="T684" s="8" t="s">
        <v>115</v>
      </c>
      <c r="U684" s="8" t="s">
        <v>115</v>
      </c>
      <c r="V684" s="8" t="s">
        <v>113</v>
      </c>
      <c r="W684" s="8" t="s">
        <v>113</v>
      </c>
    </row>
    <row r="685" spans="1:23" x14ac:dyDescent="0.35">
      <c r="A685" s="5" t="s">
        <v>84</v>
      </c>
      <c r="B685" s="4">
        <v>96</v>
      </c>
      <c r="C685" s="15">
        <v>0</v>
      </c>
      <c r="D685" s="17">
        <f t="shared" si="31"/>
        <v>0</v>
      </c>
      <c r="E685" s="6">
        <v>0</v>
      </c>
      <c r="F685" s="6">
        <v>0.05</v>
      </c>
      <c r="G685" s="10">
        <v>7</v>
      </c>
      <c r="H685" s="7">
        <v>2017</v>
      </c>
      <c r="I685" s="13">
        <v>17.44961721</v>
      </c>
      <c r="J685" s="2">
        <f t="shared" si="30"/>
        <v>17449617.210000001</v>
      </c>
      <c r="K685" s="4">
        <v>37.981399449999998</v>
      </c>
      <c r="L685" s="4">
        <v>137.5</v>
      </c>
      <c r="M685" s="12">
        <f t="shared" si="29"/>
        <v>137500000</v>
      </c>
      <c r="N685" s="4">
        <v>137.5</v>
      </c>
      <c r="O685" s="4">
        <v>0</v>
      </c>
      <c r="P685" s="4" t="s">
        <v>123</v>
      </c>
      <c r="Q685" s="4">
        <v>1</v>
      </c>
      <c r="R685" s="18" t="s">
        <v>114</v>
      </c>
      <c r="S685" s="8" t="s">
        <v>114</v>
      </c>
      <c r="T685" s="8" t="s">
        <v>115</v>
      </c>
      <c r="U685" s="8" t="s">
        <v>115</v>
      </c>
      <c r="V685" s="8" t="s">
        <v>117</v>
      </c>
      <c r="W685" s="8" t="s">
        <v>117</v>
      </c>
    </row>
    <row r="686" spans="1:23" x14ac:dyDescent="0.35">
      <c r="A686" s="5" t="s">
        <v>85</v>
      </c>
      <c r="B686" s="4">
        <v>97</v>
      </c>
      <c r="C686" s="15">
        <v>0</v>
      </c>
      <c r="D686" s="17">
        <f t="shared" si="31"/>
        <v>0</v>
      </c>
      <c r="E686" s="6">
        <v>0</v>
      </c>
      <c r="F686" s="6">
        <v>0.05</v>
      </c>
      <c r="G686" s="10">
        <v>7</v>
      </c>
      <c r="H686" s="7">
        <v>2017</v>
      </c>
      <c r="I686" s="13">
        <v>25.21663706</v>
      </c>
      <c r="J686" s="2">
        <f t="shared" si="30"/>
        <v>25216637.059999999</v>
      </c>
      <c r="K686" s="4">
        <v>33.287895079999998</v>
      </c>
      <c r="L686" s="4">
        <v>158.25333330000001</v>
      </c>
      <c r="M686" s="12">
        <f t="shared" si="29"/>
        <v>158253333.30000001</v>
      </c>
      <c r="N686" s="4">
        <v>158.25333330000001</v>
      </c>
      <c r="O686" s="4">
        <v>158.25333330000001</v>
      </c>
      <c r="P686" s="4" t="s">
        <v>123</v>
      </c>
      <c r="Q686" s="4">
        <v>1</v>
      </c>
      <c r="R686" s="18" t="s">
        <v>112</v>
      </c>
      <c r="S686" s="8" t="s">
        <v>117</v>
      </c>
      <c r="T686" s="8" t="s">
        <v>115</v>
      </c>
      <c r="U686" s="8" t="s">
        <v>115</v>
      </c>
      <c r="V686" s="8" t="s">
        <v>112</v>
      </c>
      <c r="W686" s="8" t="s">
        <v>115</v>
      </c>
    </row>
    <row r="687" spans="1:23" x14ac:dyDescent="0.35">
      <c r="A687" s="5" t="s">
        <v>93</v>
      </c>
      <c r="B687" s="4">
        <v>98</v>
      </c>
      <c r="C687" s="15">
        <v>0</v>
      </c>
      <c r="D687" s="17">
        <f t="shared" si="31"/>
        <v>0</v>
      </c>
      <c r="E687" s="6">
        <v>0</v>
      </c>
      <c r="F687" s="6">
        <v>0.05</v>
      </c>
      <c r="G687" s="10">
        <v>7</v>
      </c>
      <c r="H687" s="7">
        <v>2017</v>
      </c>
      <c r="I687" s="13">
        <v>30.431641580000001</v>
      </c>
      <c r="J687" s="2">
        <f t="shared" si="30"/>
        <v>30431641.580000002</v>
      </c>
      <c r="K687" s="4">
        <v>32.443486989999997</v>
      </c>
      <c r="M687" s="12">
        <f t="shared" si="29"/>
        <v>0</v>
      </c>
      <c r="Q687" s="4">
        <v>1</v>
      </c>
      <c r="R687" s="18" t="s">
        <v>132</v>
      </c>
    </row>
  </sheetData>
  <autoFilter ref="B1:W1" xr:uid="{A79A1E44-0A9A-4155-9659-F0C7B427BF68}"/>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A38AC-BE8B-4EA7-8418-8B7B1046631D}">
  <dimension ref="A1:J97"/>
  <sheetViews>
    <sheetView topLeftCell="A76" zoomScaleNormal="100" workbookViewId="0">
      <selection activeCell="A127" sqref="A127"/>
    </sheetView>
  </sheetViews>
  <sheetFormatPr baseColWidth="10" defaultColWidth="8.7265625" defaultRowHeight="14.5" x14ac:dyDescent="0.35"/>
  <cols>
    <col min="2" max="2" width="24.6328125" bestFit="1" customWidth="1"/>
    <col min="4" max="4" width="255.6328125" bestFit="1" customWidth="1"/>
  </cols>
  <sheetData>
    <row r="1" spans="1:10" x14ac:dyDescent="0.35">
      <c r="A1" t="s">
        <v>143</v>
      </c>
      <c r="B1" t="s">
        <v>144</v>
      </c>
      <c r="C1" t="s">
        <v>145</v>
      </c>
      <c r="D1" t="s">
        <v>146</v>
      </c>
      <c r="E1" t="s">
        <v>104</v>
      </c>
      <c r="F1" t="s">
        <v>105</v>
      </c>
      <c r="G1" t="s">
        <v>106</v>
      </c>
      <c r="H1" t="s">
        <v>107</v>
      </c>
      <c r="I1" t="s">
        <v>108</v>
      </c>
      <c r="J1" t="s">
        <v>109</v>
      </c>
    </row>
    <row r="2" spans="1:10" x14ac:dyDescent="0.35">
      <c r="A2" s="11" t="s">
        <v>4</v>
      </c>
      <c r="B2" s="11" t="s">
        <v>147</v>
      </c>
      <c r="C2" s="11" t="s">
        <v>148</v>
      </c>
      <c r="D2" s="11" t="s">
        <v>149</v>
      </c>
      <c r="E2" s="11" t="s">
        <v>111</v>
      </c>
      <c r="F2" s="11" t="s">
        <v>112</v>
      </c>
      <c r="G2" s="11" t="s">
        <v>112</v>
      </c>
      <c r="H2" s="11" t="s">
        <v>112</v>
      </c>
      <c r="I2" s="11" t="s">
        <v>112</v>
      </c>
      <c r="J2" s="11" t="s">
        <v>112</v>
      </c>
    </row>
    <row r="3" spans="1:10" x14ac:dyDescent="0.35">
      <c r="A3" s="11" t="s">
        <v>5</v>
      </c>
      <c r="B3" s="11" t="s">
        <v>150</v>
      </c>
      <c r="C3" s="11" t="s">
        <v>148</v>
      </c>
      <c r="D3" s="11" t="s">
        <v>151</v>
      </c>
      <c r="E3" s="11" t="s">
        <v>113</v>
      </c>
      <c r="F3" s="11" t="s">
        <v>114</v>
      </c>
      <c r="G3" s="11" t="s">
        <v>112</v>
      </c>
      <c r="H3" s="11" t="s">
        <v>115</v>
      </c>
      <c r="I3" s="11" t="s">
        <v>112</v>
      </c>
      <c r="J3" s="11" t="s">
        <v>115</v>
      </c>
    </row>
    <row r="4" spans="1:10" x14ac:dyDescent="0.35">
      <c r="A4" s="11" t="s">
        <v>6</v>
      </c>
      <c r="B4" s="11" t="s">
        <v>152</v>
      </c>
      <c r="C4" s="11" t="s">
        <v>148</v>
      </c>
      <c r="D4" s="11" t="s">
        <v>153</v>
      </c>
      <c r="E4" s="11" t="s">
        <v>113</v>
      </c>
      <c r="F4" s="11" t="s">
        <v>116</v>
      </c>
      <c r="G4" s="11" t="s">
        <v>116</v>
      </c>
      <c r="H4" s="11" t="s">
        <v>116</v>
      </c>
      <c r="I4" s="11" t="s">
        <v>115</v>
      </c>
      <c r="J4" s="11" t="s">
        <v>114</v>
      </c>
    </row>
    <row r="5" spans="1:10" x14ac:dyDescent="0.35">
      <c r="A5" s="11" t="s">
        <v>7</v>
      </c>
      <c r="B5" s="11" t="s">
        <v>154</v>
      </c>
      <c r="C5" s="11" t="s">
        <v>148</v>
      </c>
      <c r="D5" s="11" t="s">
        <v>155</v>
      </c>
      <c r="E5" s="11" t="s">
        <v>112</v>
      </c>
      <c r="F5" s="11" t="s">
        <v>112</v>
      </c>
      <c r="G5" s="11" t="s">
        <v>117</v>
      </c>
      <c r="H5" s="11" t="s">
        <v>117</v>
      </c>
      <c r="I5" s="11" t="s">
        <v>117</v>
      </c>
      <c r="J5" s="11" t="s">
        <v>117</v>
      </c>
    </row>
    <row r="6" spans="1:10" x14ac:dyDescent="0.35">
      <c r="A6" s="11" t="s">
        <v>8</v>
      </c>
      <c r="B6" s="11" t="s">
        <v>156</v>
      </c>
      <c r="C6" s="11" t="s">
        <v>148</v>
      </c>
      <c r="D6" s="11" t="s">
        <v>157</v>
      </c>
      <c r="E6" s="11" t="s">
        <v>114</v>
      </c>
      <c r="F6" s="11" t="s">
        <v>117</v>
      </c>
      <c r="G6" s="11" t="s">
        <v>115</v>
      </c>
      <c r="H6" s="11" t="s">
        <v>115</v>
      </c>
      <c r="I6" s="11" t="s">
        <v>115</v>
      </c>
      <c r="J6" s="11" t="s">
        <v>114</v>
      </c>
    </row>
    <row r="7" spans="1:10" x14ac:dyDescent="0.35">
      <c r="A7" s="11" t="s">
        <v>9</v>
      </c>
      <c r="B7" s="11" t="s">
        <v>158</v>
      </c>
      <c r="C7" s="11" t="s">
        <v>148</v>
      </c>
      <c r="D7" s="11" t="s">
        <v>159</v>
      </c>
      <c r="E7" s="11" t="s">
        <v>111</v>
      </c>
      <c r="F7" s="11" t="s">
        <v>114</v>
      </c>
      <c r="G7" s="11" t="s">
        <v>113</v>
      </c>
      <c r="H7" s="11" t="s">
        <v>115</v>
      </c>
      <c r="I7" s="11" t="s">
        <v>113</v>
      </c>
      <c r="J7" s="11" t="s">
        <v>115</v>
      </c>
    </row>
    <row r="8" spans="1:10" x14ac:dyDescent="0.35">
      <c r="A8" s="11" t="s">
        <v>10</v>
      </c>
      <c r="B8" s="11" t="s">
        <v>160</v>
      </c>
      <c r="C8" s="11" t="s">
        <v>148</v>
      </c>
      <c r="D8" s="11" t="s">
        <v>161</v>
      </c>
      <c r="E8" s="11" t="s">
        <v>114</v>
      </c>
      <c r="F8" s="11" t="s">
        <v>117</v>
      </c>
      <c r="G8" s="11" t="s">
        <v>115</v>
      </c>
      <c r="H8" s="11" t="s">
        <v>115</v>
      </c>
      <c r="I8" s="11" t="s">
        <v>114</v>
      </c>
      <c r="J8" s="11" t="s">
        <v>115</v>
      </c>
    </row>
    <row r="9" spans="1:10" x14ac:dyDescent="0.35">
      <c r="A9" s="11" t="s">
        <v>11</v>
      </c>
      <c r="B9" s="11" t="s">
        <v>162</v>
      </c>
      <c r="C9" s="11" t="s">
        <v>148</v>
      </c>
      <c r="D9" s="11" t="s">
        <v>163</v>
      </c>
      <c r="E9" s="11" t="s">
        <v>117</v>
      </c>
      <c r="F9" s="11" t="s">
        <v>117</v>
      </c>
      <c r="G9" s="11" t="s">
        <v>115</v>
      </c>
      <c r="H9" s="11" t="s">
        <v>115</v>
      </c>
      <c r="I9" s="11" t="s">
        <v>115</v>
      </c>
      <c r="J9" s="11" t="s">
        <v>117</v>
      </c>
    </row>
    <row r="10" spans="1:10" x14ac:dyDescent="0.35">
      <c r="A10" s="11" t="s">
        <v>12</v>
      </c>
      <c r="B10" s="11" t="s">
        <v>164</v>
      </c>
      <c r="C10" s="11" t="s">
        <v>148</v>
      </c>
      <c r="D10" s="11" t="s">
        <v>165</v>
      </c>
      <c r="E10" s="11" t="s">
        <v>117</v>
      </c>
      <c r="F10" s="11" t="s">
        <v>117</v>
      </c>
      <c r="G10" s="11" t="s">
        <v>117</v>
      </c>
      <c r="H10" s="11" t="s">
        <v>115</v>
      </c>
      <c r="I10" s="11" t="s">
        <v>115</v>
      </c>
      <c r="J10" s="11" t="s">
        <v>115</v>
      </c>
    </row>
    <row r="11" spans="1:10" x14ac:dyDescent="0.35">
      <c r="A11" s="11" t="s">
        <v>98</v>
      </c>
      <c r="B11" s="11" t="s">
        <v>166</v>
      </c>
      <c r="C11" s="11" t="s">
        <v>148</v>
      </c>
      <c r="D11" s="11" t="s">
        <v>136</v>
      </c>
      <c r="E11" s="11" t="s">
        <v>115</v>
      </c>
      <c r="F11" s="11" t="s">
        <v>115</v>
      </c>
      <c r="G11" s="11" t="s">
        <v>115</v>
      </c>
      <c r="H11" s="11" t="s">
        <v>115</v>
      </c>
      <c r="I11" s="11" t="s">
        <v>115</v>
      </c>
      <c r="J11" s="11" t="s">
        <v>115</v>
      </c>
    </row>
    <row r="12" spans="1:10" x14ac:dyDescent="0.35">
      <c r="A12" s="11" t="s">
        <v>13</v>
      </c>
      <c r="B12" s="11" t="s">
        <v>167</v>
      </c>
      <c r="C12" s="11" t="s">
        <v>148</v>
      </c>
      <c r="D12" s="11" t="s">
        <v>168</v>
      </c>
      <c r="E12" s="11" t="s">
        <v>111</v>
      </c>
      <c r="F12" s="11" t="s">
        <v>117</v>
      </c>
      <c r="G12" s="11" t="s">
        <v>115</v>
      </c>
      <c r="H12" s="11" t="s">
        <v>115</v>
      </c>
      <c r="I12" s="11" t="s">
        <v>111</v>
      </c>
      <c r="J12" s="11" t="s">
        <v>115</v>
      </c>
    </row>
    <row r="13" spans="1:10" x14ac:dyDescent="0.35">
      <c r="A13" s="11" t="s">
        <v>14</v>
      </c>
      <c r="B13" s="11" t="s">
        <v>169</v>
      </c>
      <c r="C13" s="11" t="s">
        <v>148</v>
      </c>
      <c r="D13" s="11" t="s">
        <v>170</v>
      </c>
      <c r="E13" s="11" t="s">
        <v>113</v>
      </c>
      <c r="F13" s="11" t="s">
        <v>117</v>
      </c>
      <c r="G13" s="11" t="s">
        <v>115</v>
      </c>
      <c r="H13" s="11" t="s">
        <v>115</v>
      </c>
      <c r="I13" s="11" t="s">
        <v>115</v>
      </c>
      <c r="J13" s="11" t="s">
        <v>113</v>
      </c>
    </row>
    <row r="14" spans="1:10" x14ac:dyDescent="0.35">
      <c r="A14" s="11" t="s">
        <v>15</v>
      </c>
      <c r="B14" s="11" t="s">
        <v>171</v>
      </c>
      <c r="C14" s="11" t="s">
        <v>148</v>
      </c>
      <c r="D14" s="11" t="s">
        <v>172</v>
      </c>
      <c r="E14" s="11" t="s">
        <v>112</v>
      </c>
      <c r="F14" s="11" t="s">
        <v>117</v>
      </c>
      <c r="G14" s="11" t="s">
        <v>115</v>
      </c>
      <c r="H14" s="11" t="s">
        <v>115</v>
      </c>
      <c r="I14" s="11" t="s">
        <v>115</v>
      </c>
      <c r="J14" s="11" t="s">
        <v>112</v>
      </c>
    </row>
    <row r="15" spans="1:10" x14ac:dyDescent="0.35">
      <c r="A15" s="11" t="s">
        <v>16</v>
      </c>
      <c r="B15" s="11" t="s">
        <v>173</v>
      </c>
      <c r="C15" s="11" t="s">
        <v>148</v>
      </c>
      <c r="D15" s="11" t="s">
        <v>174</v>
      </c>
      <c r="E15" s="11" t="s">
        <v>113</v>
      </c>
      <c r="F15" s="11" t="s">
        <v>112</v>
      </c>
      <c r="G15" s="11" t="s">
        <v>114</v>
      </c>
      <c r="H15" s="11" t="s">
        <v>114</v>
      </c>
      <c r="I15" s="11" t="s">
        <v>114</v>
      </c>
      <c r="J15" s="11" t="s">
        <v>114</v>
      </c>
    </row>
    <row r="16" spans="1:10" x14ac:dyDescent="0.35">
      <c r="A16" s="11" t="s">
        <v>17</v>
      </c>
      <c r="B16" s="11" t="s">
        <v>175</v>
      </c>
      <c r="C16" s="11" t="s">
        <v>148</v>
      </c>
      <c r="D16" s="11" t="s">
        <v>176</v>
      </c>
      <c r="E16" s="11" t="s">
        <v>117</v>
      </c>
      <c r="F16" s="11" t="s">
        <v>117</v>
      </c>
      <c r="G16" s="11" t="s">
        <v>115</v>
      </c>
      <c r="H16" s="11" t="s">
        <v>115</v>
      </c>
      <c r="I16" s="11" t="s">
        <v>117</v>
      </c>
      <c r="J16" s="11" t="s">
        <v>115</v>
      </c>
    </row>
    <row r="17" spans="1:10" x14ac:dyDescent="0.35">
      <c r="A17" s="11" t="s">
        <v>18</v>
      </c>
      <c r="B17" s="11" t="s">
        <v>177</v>
      </c>
      <c r="C17" s="11" t="s">
        <v>148</v>
      </c>
      <c r="D17" s="11" t="s">
        <v>178</v>
      </c>
      <c r="E17" s="11" t="s">
        <v>114</v>
      </c>
      <c r="F17" s="11" t="s">
        <v>114</v>
      </c>
      <c r="G17" s="11" t="s">
        <v>117</v>
      </c>
      <c r="H17" s="11" t="s">
        <v>117</v>
      </c>
      <c r="I17" s="11" t="s">
        <v>115</v>
      </c>
      <c r="J17" s="11" t="s">
        <v>115</v>
      </c>
    </row>
    <row r="18" spans="1:10" x14ac:dyDescent="0.35">
      <c r="A18" s="11" t="s">
        <v>19</v>
      </c>
      <c r="B18" s="11" t="s">
        <v>179</v>
      </c>
      <c r="C18" s="11" t="s">
        <v>148</v>
      </c>
      <c r="D18" s="11" t="s">
        <v>180</v>
      </c>
      <c r="E18" s="11" t="s">
        <v>114</v>
      </c>
      <c r="F18" s="11" t="s">
        <v>114</v>
      </c>
      <c r="G18" s="11" t="s">
        <v>117</v>
      </c>
      <c r="H18" s="11" t="s">
        <v>115</v>
      </c>
      <c r="I18" s="11" t="s">
        <v>117</v>
      </c>
      <c r="J18" s="11" t="s">
        <v>115</v>
      </c>
    </row>
    <row r="19" spans="1:10" x14ac:dyDescent="0.35">
      <c r="A19" s="11" t="s">
        <v>20</v>
      </c>
      <c r="B19" s="11" t="s">
        <v>181</v>
      </c>
      <c r="C19" s="11" t="s">
        <v>148</v>
      </c>
      <c r="D19" s="11" t="s">
        <v>182</v>
      </c>
      <c r="E19" s="11" t="s">
        <v>117</v>
      </c>
      <c r="F19" s="11" t="s">
        <v>117</v>
      </c>
      <c r="G19" s="11" t="s">
        <v>115</v>
      </c>
      <c r="H19" s="11" t="s">
        <v>117</v>
      </c>
      <c r="I19" s="11" t="s">
        <v>115</v>
      </c>
      <c r="J19" s="11" t="s">
        <v>115</v>
      </c>
    </row>
    <row r="20" spans="1:10" x14ac:dyDescent="0.35">
      <c r="A20" s="11" t="s">
        <v>21</v>
      </c>
      <c r="B20" s="11" t="s">
        <v>183</v>
      </c>
      <c r="C20" s="11" t="s">
        <v>148</v>
      </c>
      <c r="D20" s="11" t="s">
        <v>184</v>
      </c>
      <c r="E20" s="11" t="s">
        <v>112</v>
      </c>
      <c r="F20" s="11" t="s">
        <v>116</v>
      </c>
      <c r="G20" s="11" t="s">
        <v>114</v>
      </c>
      <c r="H20" s="11" t="s">
        <v>117</v>
      </c>
      <c r="I20" s="11" t="s">
        <v>117</v>
      </c>
      <c r="J20" s="11" t="s">
        <v>115</v>
      </c>
    </row>
    <row r="21" spans="1:10" x14ac:dyDescent="0.35">
      <c r="A21" s="11" t="s">
        <v>22</v>
      </c>
      <c r="B21" s="11" t="s">
        <v>185</v>
      </c>
      <c r="C21" s="11" t="s">
        <v>148</v>
      </c>
      <c r="D21" s="11" t="s">
        <v>186</v>
      </c>
      <c r="E21" s="11" t="s">
        <v>111</v>
      </c>
      <c r="F21" s="11" t="s">
        <v>116</v>
      </c>
      <c r="G21" s="11" t="s">
        <v>115</v>
      </c>
      <c r="H21" s="11" t="s">
        <v>118</v>
      </c>
      <c r="I21" s="11" t="s">
        <v>119</v>
      </c>
      <c r="J21" s="11" t="s">
        <v>119</v>
      </c>
    </row>
    <row r="22" spans="1:10" x14ac:dyDescent="0.35">
      <c r="A22" s="11" t="s">
        <v>23</v>
      </c>
      <c r="B22" s="11" t="s">
        <v>187</v>
      </c>
      <c r="C22" s="11" t="s">
        <v>148</v>
      </c>
      <c r="D22" s="11" t="s">
        <v>188</v>
      </c>
      <c r="E22" s="11" t="s">
        <v>112</v>
      </c>
      <c r="F22" s="11" t="s">
        <v>114</v>
      </c>
      <c r="G22" s="11" t="s">
        <v>114</v>
      </c>
      <c r="H22" s="11" t="s">
        <v>115</v>
      </c>
      <c r="I22" s="11" t="s">
        <v>114</v>
      </c>
      <c r="J22" s="11" t="s">
        <v>115</v>
      </c>
    </row>
    <row r="23" spans="1:10" x14ac:dyDescent="0.35">
      <c r="A23" s="11" t="s">
        <v>24</v>
      </c>
      <c r="B23" s="11" t="s">
        <v>189</v>
      </c>
      <c r="C23" s="11" t="s">
        <v>148</v>
      </c>
      <c r="D23" s="11" t="s">
        <v>190</v>
      </c>
      <c r="E23" s="11" t="s">
        <v>120</v>
      </c>
      <c r="F23" s="11" t="s">
        <v>112</v>
      </c>
      <c r="G23" s="11" t="s">
        <v>111</v>
      </c>
      <c r="H23" s="11" t="s">
        <v>121</v>
      </c>
      <c r="I23" s="11" t="s">
        <v>122</v>
      </c>
      <c r="J23" s="11" t="s">
        <v>121</v>
      </c>
    </row>
    <row r="24" spans="1:10" x14ac:dyDescent="0.35">
      <c r="A24" s="11" t="s">
        <v>25</v>
      </c>
      <c r="B24" s="11" t="s">
        <v>191</v>
      </c>
      <c r="C24" s="11" t="s">
        <v>192</v>
      </c>
      <c r="D24" s="11" t="s">
        <v>193</v>
      </c>
      <c r="E24" s="11" t="s">
        <v>112</v>
      </c>
      <c r="F24" s="11" t="s">
        <v>112</v>
      </c>
      <c r="G24" s="11" t="s">
        <v>117</v>
      </c>
      <c r="H24" s="11" t="s">
        <v>117</v>
      </c>
      <c r="I24" s="11" t="s">
        <v>117</v>
      </c>
      <c r="J24" s="11" t="s">
        <v>117</v>
      </c>
    </row>
    <row r="25" spans="1:10" x14ac:dyDescent="0.35">
      <c r="A25" s="11" t="s">
        <v>26</v>
      </c>
      <c r="B25" s="11" t="s">
        <v>194</v>
      </c>
      <c r="C25" s="11" t="s">
        <v>192</v>
      </c>
      <c r="D25" s="11" t="s">
        <v>195</v>
      </c>
      <c r="E25" s="11" t="s">
        <v>114</v>
      </c>
      <c r="F25" s="11" t="s">
        <v>117</v>
      </c>
      <c r="G25" s="11" t="s">
        <v>114</v>
      </c>
      <c r="H25" s="11" t="s">
        <v>115</v>
      </c>
      <c r="I25" s="11" t="s">
        <v>115</v>
      </c>
      <c r="J25" s="11" t="s">
        <v>115</v>
      </c>
    </row>
    <row r="26" spans="1:10" x14ac:dyDescent="0.35">
      <c r="A26" s="11" t="s">
        <v>27</v>
      </c>
      <c r="B26" s="11" t="s">
        <v>189</v>
      </c>
      <c r="C26" s="11" t="s">
        <v>192</v>
      </c>
      <c r="D26" s="11" t="s">
        <v>190</v>
      </c>
      <c r="E26" s="11" t="s">
        <v>120</v>
      </c>
      <c r="F26" s="11" t="s">
        <v>112</v>
      </c>
      <c r="G26" s="11" t="s">
        <v>111</v>
      </c>
      <c r="H26" s="11" t="s">
        <v>121</v>
      </c>
      <c r="I26" s="11" t="s">
        <v>122</v>
      </c>
      <c r="J26" s="11" t="s">
        <v>121</v>
      </c>
    </row>
    <row r="27" spans="1:10" x14ac:dyDescent="0.35">
      <c r="A27" s="11" t="s">
        <v>28</v>
      </c>
      <c r="B27" s="11" t="s">
        <v>196</v>
      </c>
      <c r="C27" s="11" t="s">
        <v>192</v>
      </c>
      <c r="D27" s="11" t="s">
        <v>197</v>
      </c>
      <c r="E27" s="11" t="s">
        <v>117</v>
      </c>
      <c r="F27" s="11" t="s">
        <v>117</v>
      </c>
      <c r="G27" s="11" t="s">
        <v>115</v>
      </c>
      <c r="H27" s="11" t="s">
        <v>115</v>
      </c>
      <c r="I27" s="11" t="s">
        <v>117</v>
      </c>
      <c r="J27" s="11" t="s">
        <v>115</v>
      </c>
    </row>
    <row r="28" spans="1:10" x14ac:dyDescent="0.35">
      <c r="A28" s="11" t="s">
        <v>29</v>
      </c>
      <c r="B28" s="11" t="s">
        <v>198</v>
      </c>
      <c r="C28" s="11" t="s">
        <v>192</v>
      </c>
      <c r="D28" s="11" t="s">
        <v>199</v>
      </c>
      <c r="E28" s="11" t="s">
        <v>117</v>
      </c>
      <c r="F28" s="11" t="s">
        <v>117</v>
      </c>
      <c r="G28" s="11" t="s">
        <v>117</v>
      </c>
      <c r="H28" s="11" t="s">
        <v>115</v>
      </c>
      <c r="I28" s="11" t="s">
        <v>115</v>
      </c>
      <c r="J28" s="11" t="s">
        <v>115</v>
      </c>
    </row>
    <row r="29" spans="1:10" x14ac:dyDescent="0.35">
      <c r="A29" s="11" t="s">
        <v>30</v>
      </c>
      <c r="B29" s="11" t="s">
        <v>200</v>
      </c>
      <c r="C29" s="11" t="s">
        <v>192</v>
      </c>
      <c r="D29" s="11" t="s">
        <v>201</v>
      </c>
      <c r="E29" s="11" t="s">
        <v>112</v>
      </c>
      <c r="F29" s="11" t="s">
        <v>114</v>
      </c>
      <c r="G29" s="11" t="s">
        <v>115</v>
      </c>
      <c r="H29" s="11" t="s">
        <v>114</v>
      </c>
      <c r="I29" s="11" t="s">
        <v>115</v>
      </c>
      <c r="J29" s="11" t="s">
        <v>114</v>
      </c>
    </row>
    <row r="30" spans="1:10" x14ac:dyDescent="0.35">
      <c r="A30" s="11" t="s">
        <v>99</v>
      </c>
      <c r="B30" s="11" t="s">
        <v>166</v>
      </c>
      <c r="C30" s="11" t="s">
        <v>192</v>
      </c>
      <c r="D30" s="11" t="s">
        <v>136</v>
      </c>
      <c r="E30" s="11" t="s">
        <v>115</v>
      </c>
      <c r="F30" s="11" t="s">
        <v>115</v>
      </c>
      <c r="G30" s="11" t="s">
        <v>115</v>
      </c>
      <c r="H30" s="11" t="s">
        <v>115</v>
      </c>
      <c r="I30" s="11" t="s">
        <v>115</v>
      </c>
      <c r="J30" s="11" t="s">
        <v>115</v>
      </c>
    </row>
    <row r="31" spans="1:10" x14ac:dyDescent="0.35">
      <c r="A31" s="11" t="s">
        <v>31</v>
      </c>
      <c r="B31" s="11" t="s">
        <v>202</v>
      </c>
      <c r="C31" s="11" t="s">
        <v>192</v>
      </c>
      <c r="D31" s="11" t="s">
        <v>203</v>
      </c>
      <c r="E31" s="11" t="s">
        <v>114</v>
      </c>
      <c r="F31" s="11" t="s">
        <v>114</v>
      </c>
      <c r="G31" s="11" t="s">
        <v>115</v>
      </c>
      <c r="H31" s="11" t="s">
        <v>115</v>
      </c>
      <c r="I31" s="11" t="s">
        <v>117</v>
      </c>
      <c r="J31" s="11" t="s">
        <v>117</v>
      </c>
    </row>
    <row r="32" spans="1:10" x14ac:dyDescent="0.35">
      <c r="A32" s="11" t="s">
        <v>32</v>
      </c>
      <c r="B32" s="11" t="s">
        <v>204</v>
      </c>
      <c r="C32" s="11" t="s">
        <v>192</v>
      </c>
      <c r="D32" s="11" t="s">
        <v>205</v>
      </c>
      <c r="E32" s="11" t="s">
        <v>112</v>
      </c>
      <c r="F32" s="11" t="s">
        <v>117</v>
      </c>
      <c r="G32" s="11" t="s">
        <v>115</v>
      </c>
      <c r="H32" s="11" t="s">
        <v>112</v>
      </c>
      <c r="I32" s="11" t="s">
        <v>115</v>
      </c>
      <c r="J32" s="11" t="s">
        <v>115</v>
      </c>
    </row>
    <row r="33" spans="1:10" x14ac:dyDescent="0.35">
      <c r="A33" s="11" t="s">
        <v>33</v>
      </c>
      <c r="B33" s="11" t="s">
        <v>206</v>
      </c>
      <c r="C33" s="11" t="s">
        <v>192</v>
      </c>
      <c r="D33" s="11" t="s">
        <v>207</v>
      </c>
      <c r="E33" s="11" t="s">
        <v>111</v>
      </c>
      <c r="F33" s="11" t="s">
        <v>114</v>
      </c>
      <c r="G33" s="11" t="s">
        <v>113</v>
      </c>
      <c r="H33" s="11" t="s">
        <v>113</v>
      </c>
      <c r="I33" s="11" t="s">
        <v>115</v>
      </c>
      <c r="J33" s="11" t="s">
        <v>115</v>
      </c>
    </row>
    <row r="34" spans="1:10" x14ac:dyDescent="0.35">
      <c r="A34" s="11" t="s">
        <v>88</v>
      </c>
      <c r="B34" s="11" t="s">
        <v>208</v>
      </c>
      <c r="C34" s="11" t="s">
        <v>192</v>
      </c>
      <c r="D34" s="11" t="s">
        <v>209</v>
      </c>
      <c r="E34" s="11" t="s">
        <v>130</v>
      </c>
      <c r="F34" s="11" t="s">
        <v>130</v>
      </c>
      <c r="G34" s="11" t="s">
        <v>130</v>
      </c>
      <c r="H34" s="11" t="s">
        <v>130</v>
      </c>
      <c r="I34" s="11" t="s">
        <v>130</v>
      </c>
      <c r="J34" s="11" t="s">
        <v>130</v>
      </c>
    </row>
    <row r="35" spans="1:10" x14ac:dyDescent="0.35">
      <c r="A35" s="11" t="s">
        <v>34</v>
      </c>
      <c r="B35" s="11" t="s">
        <v>210</v>
      </c>
      <c r="C35" s="11" t="s">
        <v>192</v>
      </c>
      <c r="D35" s="11" t="s">
        <v>211</v>
      </c>
      <c r="E35" s="11" t="s">
        <v>113</v>
      </c>
      <c r="F35" s="11" t="s">
        <v>117</v>
      </c>
      <c r="G35" s="11" t="s">
        <v>115</v>
      </c>
      <c r="H35" s="11" t="s">
        <v>115</v>
      </c>
      <c r="I35" s="11" t="s">
        <v>113</v>
      </c>
      <c r="J35" s="11" t="s">
        <v>115</v>
      </c>
    </row>
    <row r="36" spans="1:10" x14ac:dyDescent="0.35">
      <c r="A36" s="11" t="s">
        <v>35</v>
      </c>
      <c r="B36" s="11" t="s">
        <v>212</v>
      </c>
      <c r="C36" s="11" t="s">
        <v>192</v>
      </c>
      <c r="D36" s="11" t="s">
        <v>213</v>
      </c>
      <c r="E36" s="11" t="s">
        <v>117</v>
      </c>
      <c r="F36" s="11" t="s">
        <v>117</v>
      </c>
      <c r="G36" s="11" t="s">
        <v>115</v>
      </c>
      <c r="H36" s="11" t="s">
        <v>117</v>
      </c>
      <c r="I36" s="11" t="s">
        <v>115</v>
      </c>
      <c r="J36" s="11" t="s">
        <v>115</v>
      </c>
    </row>
    <row r="37" spans="1:10" x14ac:dyDescent="0.35">
      <c r="A37" s="11" t="s">
        <v>36</v>
      </c>
      <c r="B37" s="11" t="s">
        <v>214</v>
      </c>
      <c r="C37" s="11" t="s">
        <v>192</v>
      </c>
      <c r="D37" s="11" t="s">
        <v>215</v>
      </c>
      <c r="E37" s="11" t="s">
        <v>113</v>
      </c>
      <c r="F37" s="11" t="s">
        <v>112</v>
      </c>
      <c r="G37" s="11" t="s">
        <v>114</v>
      </c>
      <c r="H37" s="11" t="s">
        <v>114</v>
      </c>
      <c r="I37" s="11" t="s">
        <v>114</v>
      </c>
      <c r="J37" s="11" t="s">
        <v>114</v>
      </c>
    </row>
    <row r="38" spans="1:10" x14ac:dyDescent="0.35">
      <c r="A38" s="11" t="s">
        <v>37</v>
      </c>
      <c r="B38" s="11" t="s">
        <v>216</v>
      </c>
      <c r="C38" s="11" t="s">
        <v>192</v>
      </c>
      <c r="D38" s="11" t="s">
        <v>217</v>
      </c>
      <c r="E38" s="11" t="s">
        <v>117</v>
      </c>
      <c r="F38" s="11" t="s">
        <v>117</v>
      </c>
      <c r="G38" s="11" t="s">
        <v>115</v>
      </c>
      <c r="H38" s="11" t="s">
        <v>115</v>
      </c>
      <c r="I38" s="11" t="s">
        <v>115</v>
      </c>
      <c r="J38" s="11" t="s">
        <v>117</v>
      </c>
    </row>
    <row r="39" spans="1:10" x14ac:dyDescent="0.35">
      <c r="A39" s="11" t="s">
        <v>38</v>
      </c>
      <c r="B39" s="11" t="s">
        <v>218</v>
      </c>
      <c r="C39" s="11" t="s">
        <v>192</v>
      </c>
      <c r="D39" s="11" t="s">
        <v>219</v>
      </c>
      <c r="E39" s="11" t="s">
        <v>112</v>
      </c>
      <c r="F39" s="11" t="s">
        <v>116</v>
      </c>
      <c r="G39" s="11" t="s">
        <v>115</v>
      </c>
      <c r="H39" s="11" t="s">
        <v>114</v>
      </c>
      <c r="I39" s="11" t="s">
        <v>117</v>
      </c>
      <c r="J39" s="11" t="s">
        <v>117</v>
      </c>
    </row>
    <row r="40" spans="1:10" x14ac:dyDescent="0.35">
      <c r="A40" s="11" t="s">
        <v>39</v>
      </c>
      <c r="B40" s="11" t="s">
        <v>220</v>
      </c>
      <c r="C40" s="11" t="s">
        <v>192</v>
      </c>
      <c r="D40" s="11" t="s">
        <v>221</v>
      </c>
      <c r="E40" s="11" t="s">
        <v>113</v>
      </c>
      <c r="F40" s="11" t="s">
        <v>114</v>
      </c>
      <c r="G40" s="11" t="s">
        <v>115</v>
      </c>
      <c r="H40" s="11" t="s">
        <v>112</v>
      </c>
      <c r="I40" s="11" t="s">
        <v>115</v>
      </c>
      <c r="J40" s="11" t="s">
        <v>112</v>
      </c>
    </row>
    <row r="41" spans="1:10" x14ac:dyDescent="0.35">
      <c r="A41" s="11" t="s">
        <v>40</v>
      </c>
      <c r="B41" s="11" t="s">
        <v>222</v>
      </c>
      <c r="C41" s="11" t="s">
        <v>192</v>
      </c>
      <c r="D41" s="11" t="s">
        <v>223</v>
      </c>
      <c r="E41" s="11" t="s">
        <v>111</v>
      </c>
      <c r="F41" s="11" t="s">
        <v>112</v>
      </c>
      <c r="G41" s="11" t="s">
        <v>112</v>
      </c>
      <c r="H41" s="11" t="s">
        <v>112</v>
      </c>
      <c r="I41" s="11" t="s">
        <v>112</v>
      </c>
      <c r="J41" s="11" t="s">
        <v>112</v>
      </c>
    </row>
    <row r="42" spans="1:10" x14ac:dyDescent="0.35">
      <c r="A42" s="11" t="s">
        <v>41</v>
      </c>
      <c r="B42" s="11" t="s">
        <v>224</v>
      </c>
      <c r="C42" s="11" t="s">
        <v>192</v>
      </c>
      <c r="D42" s="11" t="s">
        <v>225</v>
      </c>
      <c r="E42" s="11" t="s">
        <v>114</v>
      </c>
      <c r="F42" s="11" t="s">
        <v>117</v>
      </c>
      <c r="G42" s="11" t="s">
        <v>115</v>
      </c>
      <c r="H42" s="11" t="s">
        <v>114</v>
      </c>
      <c r="I42" s="11" t="s">
        <v>115</v>
      </c>
      <c r="J42" s="11" t="s">
        <v>115</v>
      </c>
    </row>
    <row r="43" spans="1:10" x14ac:dyDescent="0.35">
      <c r="A43" s="11" t="s">
        <v>42</v>
      </c>
      <c r="B43" s="11" t="s">
        <v>226</v>
      </c>
      <c r="C43" s="11" t="s">
        <v>192</v>
      </c>
      <c r="D43" s="11" t="s">
        <v>227</v>
      </c>
      <c r="E43" s="11" t="s">
        <v>114</v>
      </c>
      <c r="F43" s="11" t="s">
        <v>114</v>
      </c>
      <c r="G43" s="11" t="s">
        <v>115</v>
      </c>
      <c r="H43" s="11" t="s">
        <v>117</v>
      </c>
      <c r="I43" s="11" t="s">
        <v>115</v>
      </c>
      <c r="J43" s="11" t="s">
        <v>117</v>
      </c>
    </row>
    <row r="44" spans="1:10" x14ac:dyDescent="0.35">
      <c r="A44" s="11" t="s">
        <v>43</v>
      </c>
      <c r="B44" s="11" t="s">
        <v>228</v>
      </c>
      <c r="C44" s="11" t="s">
        <v>192</v>
      </c>
      <c r="D44" s="11" t="s">
        <v>229</v>
      </c>
      <c r="E44" s="11" t="s">
        <v>113</v>
      </c>
      <c r="F44" s="11" t="s">
        <v>116</v>
      </c>
      <c r="G44" s="11" t="s">
        <v>115</v>
      </c>
      <c r="H44" s="11" t="s">
        <v>114</v>
      </c>
      <c r="I44" s="11" t="s">
        <v>116</v>
      </c>
      <c r="J44" s="11" t="s">
        <v>116</v>
      </c>
    </row>
    <row r="45" spans="1:10" x14ac:dyDescent="0.35">
      <c r="A45" s="11" t="s">
        <v>44</v>
      </c>
      <c r="B45" s="11" t="s">
        <v>230</v>
      </c>
      <c r="C45" s="11" t="s">
        <v>192</v>
      </c>
      <c r="D45" s="11" t="s">
        <v>231</v>
      </c>
      <c r="E45" s="11" t="s">
        <v>111</v>
      </c>
      <c r="F45" s="11" t="s">
        <v>116</v>
      </c>
      <c r="G45" s="11" t="s">
        <v>119</v>
      </c>
      <c r="H45" s="11" t="s">
        <v>115</v>
      </c>
      <c r="I45" s="11" t="s">
        <v>119</v>
      </c>
      <c r="J45" s="11" t="s">
        <v>118</v>
      </c>
    </row>
    <row r="46" spans="1:10" x14ac:dyDescent="0.35">
      <c r="A46" s="11" t="s">
        <v>94</v>
      </c>
      <c r="B46" s="11" t="s">
        <v>232</v>
      </c>
      <c r="C46" s="11" t="s">
        <v>192</v>
      </c>
      <c r="D46" s="11" t="s">
        <v>131</v>
      </c>
      <c r="E46" s="11" t="s">
        <v>130</v>
      </c>
      <c r="F46" s="11" t="s">
        <v>130</v>
      </c>
      <c r="G46" s="11" t="s">
        <v>130</v>
      </c>
      <c r="H46" s="11" t="s">
        <v>130</v>
      </c>
      <c r="I46" s="11" t="s">
        <v>130</v>
      </c>
      <c r="J46" s="11" t="s">
        <v>130</v>
      </c>
    </row>
    <row r="47" spans="1:10" x14ac:dyDescent="0.35">
      <c r="A47" s="11" t="s">
        <v>45</v>
      </c>
      <c r="B47" s="11" t="s">
        <v>233</v>
      </c>
      <c r="C47" s="11" t="s">
        <v>234</v>
      </c>
      <c r="D47" s="11" t="s">
        <v>235</v>
      </c>
      <c r="E47" s="11" t="s">
        <v>117</v>
      </c>
      <c r="F47" s="11" t="s">
        <v>117</v>
      </c>
      <c r="G47" s="11" t="s">
        <v>115</v>
      </c>
      <c r="H47" s="11" t="s">
        <v>115</v>
      </c>
      <c r="I47" s="11" t="s">
        <v>117</v>
      </c>
      <c r="J47" s="11" t="s">
        <v>115</v>
      </c>
    </row>
    <row r="48" spans="1:10" x14ac:dyDescent="0.35">
      <c r="A48" s="11" t="s">
        <v>46</v>
      </c>
      <c r="B48" s="11" t="s">
        <v>236</v>
      </c>
      <c r="C48" s="11" t="s">
        <v>234</v>
      </c>
      <c r="D48" s="11" t="s">
        <v>237</v>
      </c>
      <c r="E48" s="11" t="s">
        <v>114</v>
      </c>
      <c r="F48" s="11" t="s">
        <v>114</v>
      </c>
      <c r="G48" s="11" t="s">
        <v>117</v>
      </c>
      <c r="H48" s="11" t="s">
        <v>115</v>
      </c>
      <c r="I48" s="11" t="s">
        <v>117</v>
      </c>
      <c r="J48" s="11" t="s">
        <v>115</v>
      </c>
    </row>
    <row r="49" spans="1:10" x14ac:dyDescent="0.35">
      <c r="A49" s="11" t="s">
        <v>47</v>
      </c>
      <c r="B49" s="11" t="s">
        <v>238</v>
      </c>
      <c r="C49" s="11" t="s">
        <v>234</v>
      </c>
      <c r="D49" s="11" t="s">
        <v>239</v>
      </c>
      <c r="E49" s="11" t="s">
        <v>112</v>
      </c>
      <c r="F49" s="11" t="s">
        <v>116</v>
      </c>
      <c r="G49" s="11" t="s">
        <v>117</v>
      </c>
      <c r="H49" s="11" t="s">
        <v>117</v>
      </c>
      <c r="I49" s="11" t="s">
        <v>115</v>
      </c>
      <c r="J49" s="11" t="s">
        <v>114</v>
      </c>
    </row>
    <row r="50" spans="1:10" x14ac:dyDescent="0.35">
      <c r="A50" s="11" t="s">
        <v>48</v>
      </c>
      <c r="B50" s="11" t="s">
        <v>240</v>
      </c>
      <c r="C50" s="11" t="s">
        <v>234</v>
      </c>
      <c r="D50" s="11" t="s">
        <v>241</v>
      </c>
      <c r="E50" s="11" t="s">
        <v>113</v>
      </c>
      <c r="F50" s="11" t="s">
        <v>117</v>
      </c>
      <c r="G50" s="11" t="s">
        <v>113</v>
      </c>
      <c r="H50" s="11" t="s">
        <v>115</v>
      </c>
      <c r="I50" s="11" t="s">
        <v>115</v>
      </c>
      <c r="J50" s="11" t="s">
        <v>115</v>
      </c>
    </row>
    <row r="51" spans="1:10" x14ac:dyDescent="0.35">
      <c r="A51" s="11" t="s">
        <v>49</v>
      </c>
      <c r="B51" s="11" t="s">
        <v>242</v>
      </c>
      <c r="C51" s="11" t="s">
        <v>234</v>
      </c>
      <c r="D51" s="11" t="s">
        <v>243</v>
      </c>
      <c r="E51" s="11" t="s">
        <v>113</v>
      </c>
      <c r="F51" s="11" t="s">
        <v>116</v>
      </c>
      <c r="G51" s="11" t="s">
        <v>116</v>
      </c>
      <c r="H51" s="11" t="s">
        <v>115</v>
      </c>
      <c r="I51" s="11" t="s">
        <v>114</v>
      </c>
      <c r="J51" s="11" t="s">
        <v>116</v>
      </c>
    </row>
    <row r="52" spans="1:10" x14ac:dyDescent="0.35">
      <c r="A52" s="11" t="s">
        <v>50</v>
      </c>
      <c r="B52" s="11" t="s">
        <v>244</v>
      </c>
      <c r="C52" s="11" t="s">
        <v>234</v>
      </c>
      <c r="D52" s="11" t="s">
        <v>245</v>
      </c>
      <c r="E52" s="11" t="s">
        <v>117</v>
      </c>
      <c r="F52" s="11" t="s">
        <v>117</v>
      </c>
      <c r="G52" s="11" t="s">
        <v>117</v>
      </c>
      <c r="H52" s="11" t="s">
        <v>115</v>
      </c>
      <c r="I52" s="11" t="s">
        <v>115</v>
      </c>
      <c r="J52" s="11" t="s">
        <v>115</v>
      </c>
    </row>
    <row r="53" spans="1:10" x14ac:dyDescent="0.35">
      <c r="A53" s="11" t="s">
        <v>51</v>
      </c>
      <c r="B53" s="11" t="s">
        <v>246</v>
      </c>
      <c r="C53" s="11" t="s">
        <v>234</v>
      </c>
      <c r="D53" s="11" t="s">
        <v>247</v>
      </c>
      <c r="E53" s="11" t="s">
        <v>113</v>
      </c>
      <c r="F53" s="11" t="s">
        <v>112</v>
      </c>
      <c r="G53" s="11" t="s">
        <v>114</v>
      </c>
      <c r="H53" s="11" t="s">
        <v>114</v>
      </c>
      <c r="I53" s="11" t="s">
        <v>114</v>
      </c>
      <c r="J53" s="11" t="s">
        <v>114</v>
      </c>
    </row>
    <row r="54" spans="1:10" x14ac:dyDescent="0.35">
      <c r="A54" s="11" t="s">
        <v>52</v>
      </c>
      <c r="B54" s="11" t="s">
        <v>248</v>
      </c>
      <c r="C54" s="11" t="s">
        <v>234</v>
      </c>
      <c r="D54" s="11" t="s">
        <v>249</v>
      </c>
      <c r="E54" s="11" t="s">
        <v>114</v>
      </c>
      <c r="F54" s="11" t="s">
        <v>117</v>
      </c>
      <c r="G54" s="11" t="s">
        <v>114</v>
      </c>
      <c r="H54" s="11" t="s">
        <v>115</v>
      </c>
      <c r="I54" s="11" t="s">
        <v>115</v>
      </c>
      <c r="J54" s="11" t="s">
        <v>115</v>
      </c>
    </row>
    <row r="55" spans="1:10" x14ac:dyDescent="0.35">
      <c r="A55" s="11" t="s">
        <v>53</v>
      </c>
      <c r="B55" s="11" t="s">
        <v>250</v>
      </c>
      <c r="C55" s="11" t="s">
        <v>234</v>
      </c>
      <c r="D55" s="11" t="s">
        <v>251</v>
      </c>
      <c r="E55" s="11" t="s">
        <v>111</v>
      </c>
      <c r="F55" s="11" t="s">
        <v>117</v>
      </c>
      <c r="G55" s="11" t="s">
        <v>111</v>
      </c>
      <c r="H55" s="11" t="s">
        <v>115</v>
      </c>
      <c r="I55" s="11" t="s">
        <v>115</v>
      </c>
      <c r="J55" s="11" t="s">
        <v>115</v>
      </c>
    </row>
    <row r="56" spans="1:10" x14ac:dyDescent="0.35">
      <c r="A56" s="11" t="s">
        <v>100</v>
      </c>
      <c r="B56" s="11" t="s">
        <v>166</v>
      </c>
      <c r="C56" s="11" t="s">
        <v>234</v>
      </c>
      <c r="D56" s="11" t="s">
        <v>136</v>
      </c>
      <c r="E56" s="11" t="s">
        <v>115</v>
      </c>
      <c r="F56" s="11" t="s">
        <v>115</v>
      </c>
      <c r="G56" s="11" t="s">
        <v>115</v>
      </c>
      <c r="H56" s="11" t="s">
        <v>115</v>
      </c>
      <c r="I56" s="11" t="s">
        <v>115</v>
      </c>
      <c r="J56" s="11" t="s">
        <v>115</v>
      </c>
    </row>
    <row r="57" spans="1:10" x14ac:dyDescent="0.35">
      <c r="A57" s="11" t="s">
        <v>54</v>
      </c>
      <c r="B57" s="11" t="s">
        <v>252</v>
      </c>
      <c r="C57" s="11" t="s">
        <v>234</v>
      </c>
      <c r="D57" s="11" t="s">
        <v>253</v>
      </c>
      <c r="E57" s="11" t="s">
        <v>112</v>
      </c>
      <c r="F57" s="11" t="s">
        <v>114</v>
      </c>
      <c r="G57" s="11" t="s">
        <v>114</v>
      </c>
      <c r="H57" s="11" t="s">
        <v>114</v>
      </c>
      <c r="I57" s="11" t="s">
        <v>115</v>
      </c>
      <c r="J57" s="11" t="s">
        <v>115</v>
      </c>
    </row>
    <row r="58" spans="1:10" x14ac:dyDescent="0.35">
      <c r="A58" s="11" t="s">
        <v>55</v>
      </c>
      <c r="B58" s="11" t="s">
        <v>254</v>
      </c>
      <c r="C58" s="11" t="s">
        <v>234</v>
      </c>
      <c r="D58" s="11" t="s">
        <v>255</v>
      </c>
      <c r="E58" s="11" t="s">
        <v>117</v>
      </c>
      <c r="F58" s="11" t="s">
        <v>117</v>
      </c>
      <c r="G58" s="11" t="s">
        <v>115</v>
      </c>
      <c r="H58" s="11" t="s">
        <v>115</v>
      </c>
      <c r="I58" s="11" t="s">
        <v>115</v>
      </c>
      <c r="J58" s="11" t="s">
        <v>117</v>
      </c>
    </row>
    <row r="59" spans="1:10" x14ac:dyDescent="0.35">
      <c r="A59" s="11" t="s">
        <v>56</v>
      </c>
      <c r="B59" s="11" t="s">
        <v>256</v>
      </c>
      <c r="C59" s="11" t="s">
        <v>234</v>
      </c>
      <c r="D59" s="11" t="s">
        <v>257</v>
      </c>
      <c r="E59" s="11" t="s">
        <v>112</v>
      </c>
      <c r="F59" s="11" t="s">
        <v>117</v>
      </c>
      <c r="G59" s="11" t="s">
        <v>112</v>
      </c>
      <c r="H59" s="11" t="s">
        <v>115</v>
      </c>
      <c r="I59" s="11" t="s">
        <v>115</v>
      </c>
      <c r="J59" s="11" t="s">
        <v>115</v>
      </c>
    </row>
    <row r="60" spans="1:10" x14ac:dyDescent="0.35">
      <c r="A60" s="11" t="s">
        <v>57</v>
      </c>
      <c r="B60" s="11" t="s">
        <v>189</v>
      </c>
      <c r="C60" s="11" t="s">
        <v>234</v>
      </c>
      <c r="D60" s="11" t="s">
        <v>190</v>
      </c>
      <c r="E60" s="11" t="s">
        <v>120</v>
      </c>
      <c r="F60" s="11" t="s">
        <v>112</v>
      </c>
      <c r="G60" s="11" t="s">
        <v>111</v>
      </c>
      <c r="H60" s="11" t="s">
        <v>121</v>
      </c>
      <c r="I60" s="11" t="s">
        <v>122</v>
      </c>
      <c r="J60" s="11" t="s">
        <v>121</v>
      </c>
    </row>
    <row r="61" spans="1:10" x14ac:dyDescent="0.35">
      <c r="A61" s="11" t="s">
        <v>92</v>
      </c>
      <c r="B61" s="11" t="s">
        <v>258</v>
      </c>
      <c r="C61" s="11" t="s">
        <v>234</v>
      </c>
      <c r="D61" s="11" t="s">
        <v>259</v>
      </c>
      <c r="E61" s="11" t="s">
        <v>130</v>
      </c>
      <c r="F61" s="11" t="s">
        <v>130</v>
      </c>
      <c r="G61" s="11" t="s">
        <v>130</v>
      </c>
      <c r="H61" s="11" t="s">
        <v>130</v>
      </c>
      <c r="I61" s="11" t="s">
        <v>130</v>
      </c>
      <c r="J61" s="11" t="s">
        <v>130</v>
      </c>
    </row>
    <row r="62" spans="1:10" x14ac:dyDescent="0.35">
      <c r="A62" s="11" t="s">
        <v>58</v>
      </c>
      <c r="B62" s="11" t="s">
        <v>260</v>
      </c>
      <c r="C62" s="11" t="s">
        <v>234</v>
      </c>
      <c r="D62" s="11" t="s">
        <v>261</v>
      </c>
      <c r="E62" s="11" t="s">
        <v>111</v>
      </c>
      <c r="F62" s="11" t="s">
        <v>114</v>
      </c>
      <c r="G62" s="11" t="s">
        <v>115</v>
      </c>
      <c r="H62" s="11" t="s">
        <v>113</v>
      </c>
      <c r="I62" s="11" t="s">
        <v>115</v>
      </c>
      <c r="J62" s="11" t="s">
        <v>113</v>
      </c>
    </row>
    <row r="63" spans="1:10" x14ac:dyDescent="0.35">
      <c r="A63" s="11" t="s">
        <v>59</v>
      </c>
      <c r="B63" s="11" t="s">
        <v>262</v>
      </c>
      <c r="C63" s="11" t="s">
        <v>234</v>
      </c>
      <c r="D63" s="11" t="s">
        <v>263</v>
      </c>
      <c r="E63" s="11" t="s">
        <v>117</v>
      </c>
      <c r="F63" s="11" t="s">
        <v>117</v>
      </c>
      <c r="G63" s="11" t="s">
        <v>115</v>
      </c>
      <c r="H63" s="11" t="s">
        <v>117</v>
      </c>
      <c r="I63" s="11" t="s">
        <v>115</v>
      </c>
      <c r="J63" s="11" t="s">
        <v>115</v>
      </c>
    </row>
    <row r="64" spans="1:10" x14ac:dyDescent="0.35">
      <c r="A64" s="11" t="s">
        <v>96</v>
      </c>
      <c r="B64" s="11" t="s">
        <v>232</v>
      </c>
      <c r="C64" s="11" t="s">
        <v>234</v>
      </c>
      <c r="D64" s="11" t="s">
        <v>131</v>
      </c>
      <c r="E64" s="11" t="s">
        <v>130</v>
      </c>
      <c r="F64" s="11" t="s">
        <v>130</v>
      </c>
      <c r="G64" s="11" t="s">
        <v>130</v>
      </c>
      <c r="H64" s="11" t="s">
        <v>130</v>
      </c>
      <c r="I64" s="11" t="s">
        <v>130</v>
      </c>
      <c r="J64" s="11" t="s">
        <v>130</v>
      </c>
    </row>
    <row r="65" spans="1:10" x14ac:dyDescent="0.35">
      <c r="A65" s="11" t="s">
        <v>60</v>
      </c>
      <c r="B65" s="11" t="s">
        <v>264</v>
      </c>
      <c r="C65" s="11" t="s">
        <v>234</v>
      </c>
      <c r="D65" s="11" t="s">
        <v>265</v>
      </c>
      <c r="E65" s="11" t="s">
        <v>114</v>
      </c>
      <c r="F65" s="11" t="s">
        <v>114</v>
      </c>
      <c r="G65" s="11" t="s">
        <v>117</v>
      </c>
      <c r="H65" s="11" t="s">
        <v>117</v>
      </c>
      <c r="I65" s="11" t="s">
        <v>115</v>
      </c>
      <c r="J65" s="11" t="s">
        <v>115</v>
      </c>
    </row>
    <row r="66" spans="1:10" x14ac:dyDescent="0.35">
      <c r="A66" s="11" t="s">
        <v>61</v>
      </c>
      <c r="B66" s="11" t="s">
        <v>266</v>
      </c>
      <c r="C66" s="11" t="s">
        <v>234</v>
      </c>
      <c r="D66" s="11" t="s">
        <v>267</v>
      </c>
      <c r="E66" s="11" t="s">
        <v>113</v>
      </c>
      <c r="F66" s="11" t="s">
        <v>114</v>
      </c>
      <c r="G66" s="11" t="s">
        <v>115</v>
      </c>
      <c r="H66" s="11" t="s">
        <v>115</v>
      </c>
      <c r="I66" s="11" t="s">
        <v>112</v>
      </c>
      <c r="J66" s="11" t="s">
        <v>112</v>
      </c>
    </row>
    <row r="67" spans="1:10" x14ac:dyDescent="0.35">
      <c r="A67" s="11" t="s">
        <v>62</v>
      </c>
      <c r="B67" s="11" t="s">
        <v>268</v>
      </c>
      <c r="C67" s="11" t="s">
        <v>234</v>
      </c>
      <c r="D67" s="11" t="s">
        <v>269</v>
      </c>
      <c r="E67" s="11" t="s">
        <v>114</v>
      </c>
      <c r="F67" s="11" t="s">
        <v>117</v>
      </c>
      <c r="G67" s="11" t="s">
        <v>115</v>
      </c>
      <c r="H67" s="11" t="s">
        <v>115</v>
      </c>
      <c r="I67" s="11" t="s">
        <v>115</v>
      </c>
      <c r="J67" s="11" t="s">
        <v>114</v>
      </c>
    </row>
    <row r="68" spans="1:10" x14ac:dyDescent="0.35">
      <c r="A68" s="11" t="s">
        <v>63</v>
      </c>
      <c r="B68" s="11" t="s">
        <v>270</v>
      </c>
      <c r="C68" s="11" t="s">
        <v>234</v>
      </c>
      <c r="D68" s="11" t="s">
        <v>271</v>
      </c>
      <c r="E68" s="11" t="s">
        <v>111</v>
      </c>
      <c r="F68" s="11" t="s">
        <v>112</v>
      </c>
      <c r="G68" s="11" t="s">
        <v>112</v>
      </c>
      <c r="H68" s="11" t="s">
        <v>112</v>
      </c>
      <c r="I68" s="11" t="s">
        <v>112</v>
      </c>
      <c r="J68" s="11" t="s">
        <v>112</v>
      </c>
    </row>
    <row r="69" spans="1:10" x14ac:dyDescent="0.35">
      <c r="A69" s="11" t="s">
        <v>64</v>
      </c>
      <c r="B69" s="11" t="s">
        <v>272</v>
      </c>
      <c r="C69" s="11" t="s">
        <v>234</v>
      </c>
      <c r="D69" s="11" t="s">
        <v>273</v>
      </c>
      <c r="E69" s="11" t="s">
        <v>112</v>
      </c>
      <c r="F69" s="11" t="s">
        <v>112</v>
      </c>
      <c r="G69" s="11" t="s">
        <v>117</v>
      </c>
      <c r="H69" s="11" t="s">
        <v>117</v>
      </c>
      <c r="I69" s="11" t="s">
        <v>117</v>
      </c>
      <c r="J69" s="11" t="s">
        <v>117</v>
      </c>
    </row>
    <row r="70" spans="1:10" x14ac:dyDescent="0.35">
      <c r="A70" s="11" t="s">
        <v>65</v>
      </c>
      <c r="B70" s="11" t="s">
        <v>274</v>
      </c>
      <c r="C70" s="11" t="s">
        <v>234</v>
      </c>
      <c r="D70" s="11" t="s">
        <v>275</v>
      </c>
      <c r="E70" s="11" t="s">
        <v>111</v>
      </c>
      <c r="F70" s="11" t="s">
        <v>116</v>
      </c>
      <c r="G70" s="11" t="s">
        <v>118</v>
      </c>
      <c r="H70" s="11" t="s">
        <v>119</v>
      </c>
      <c r="I70" s="11" t="s">
        <v>115</v>
      </c>
      <c r="J70" s="11" t="s">
        <v>119</v>
      </c>
    </row>
    <row r="71" spans="1:10" x14ac:dyDescent="0.35">
      <c r="A71" s="11" t="s">
        <v>66</v>
      </c>
      <c r="B71" s="11" t="s">
        <v>189</v>
      </c>
      <c r="C71" s="11" t="s">
        <v>276</v>
      </c>
      <c r="D71" s="11" t="s">
        <v>190</v>
      </c>
      <c r="E71" s="11" t="s">
        <v>120</v>
      </c>
      <c r="F71" s="11" t="s">
        <v>112</v>
      </c>
      <c r="G71" s="11" t="s">
        <v>111</v>
      </c>
      <c r="H71" s="11" t="s">
        <v>121</v>
      </c>
      <c r="I71" s="11" t="s">
        <v>122</v>
      </c>
      <c r="J71" s="11" t="s">
        <v>121</v>
      </c>
    </row>
    <row r="72" spans="1:10" x14ac:dyDescent="0.35">
      <c r="A72" s="11" t="s">
        <v>67</v>
      </c>
      <c r="B72" s="11" t="s">
        <v>277</v>
      </c>
      <c r="C72" s="11" t="s">
        <v>276</v>
      </c>
      <c r="D72" s="11" t="s">
        <v>278</v>
      </c>
      <c r="E72" s="11" t="s">
        <v>111</v>
      </c>
      <c r="F72" s="11" t="s">
        <v>116</v>
      </c>
      <c r="G72" s="11" t="s">
        <v>119</v>
      </c>
      <c r="H72" s="11" t="s">
        <v>119</v>
      </c>
      <c r="I72" s="11" t="s">
        <v>118</v>
      </c>
      <c r="J72" s="11" t="s">
        <v>115</v>
      </c>
    </row>
    <row r="73" spans="1:10" x14ac:dyDescent="0.35">
      <c r="A73" s="11" t="s">
        <v>68</v>
      </c>
      <c r="B73" s="11" t="s">
        <v>279</v>
      </c>
      <c r="C73" s="11" t="s">
        <v>276</v>
      </c>
      <c r="D73" s="11" t="s">
        <v>280</v>
      </c>
      <c r="E73" s="11" t="s">
        <v>117</v>
      </c>
      <c r="F73" s="11" t="s">
        <v>117</v>
      </c>
      <c r="G73" s="11" t="s">
        <v>115</v>
      </c>
      <c r="H73" s="11" t="s">
        <v>117</v>
      </c>
      <c r="I73" s="11" t="s">
        <v>115</v>
      </c>
      <c r="J73" s="11" t="s">
        <v>115</v>
      </c>
    </row>
    <row r="74" spans="1:10" x14ac:dyDescent="0.35">
      <c r="A74" s="11" t="s">
        <v>69</v>
      </c>
      <c r="B74" s="11" t="s">
        <v>281</v>
      </c>
      <c r="C74" s="11" t="s">
        <v>276</v>
      </c>
      <c r="D74" s="11" t="s">
        <v>282</v>
      </c>
      <c r="E74" s="11" t="s">
        <v>112</v>
      </c>
      <c r="F74" s="11" t="s">
        <v>112</v>
      </c>
      <c r="G74" s="11" t="s">
        <v>117</v>
      </c>
      <c r="H74" s="11" t="s">
        <v>117</v>
      </c>
      <c r="I74" s="11" t="s">
        <v>117</v>
      </c>
      <c r="J74" s="11" t="s">
        <v>117</v>
      </c>
    </row>
    <row r="75" spans="1:10" x14ac:dyDescent="0.35">
      <c r="A75" s="11" t="s">
        <v>101</v>
      </c>
      <c r="B75" s="11" t="s">
        <v>166</v>
      </c>
      <c r="C75" s="11" t="s">
        <v>276</v>
      </c>
      <c r="D75" s="11" t="s">
        <v>136</v>
      </c>
      <c r="E75" s="11" t="s">
        <v>115</v>
      </c>
      <c r="F75" s="11" t="s">
        <v>115</v>
      </c>
      <c r="G75" s="11" t="s">
        <v>115</v>
      </c>
      <c r="H75" s="11" t="s">
        <v>115</v>
      </c>
      <c r="I75" s="11" t="s">
        <v>115</v>
      </c>
      <c r="J75" s="11" t="s">
        <v>115</v>
      </c>
    </row>
    <row r="76" spans="1:10" x14ac:dyDescent="0.35">
      <c r="A76" s="11" t="s">
        <v>70</v>
      </c>
      <c r="B76" s="11" t="s">
        <v>283</v>
      </c>
      <c r="C76" s="11" t="s">
        <v>276</v>
      </c>
      <c r="D76" s="11" t="s">
        <v>284</v>
      </c>
      <c r="E76" s="11" t="s">
        <v>113</v>
      </c>
      <c r="F76" s="11" t="s">
        <v>117</v>
      </c>
      <c r="G76" s="11" t="s">
        <v>115</v>
      </c>
      <c r="H76" s="11" t="s">
        <v>113</v>
      </c>
      <c r="I76" s="11" t="s">
        <v>115</v>
      </c>
      <c r="J76" s="11" t="s">
        <v>115</v>
      </c>
    </row>
    <row r="77" spans="1:10" x14ac:dyDescent="0.35">
      <c r="A77" s="11" t="s">
        <v>71</v>
      </c>
      <c r="B77" s="11" t="s">
        <v>285</v>
      </c>
      <c r="C77" s="11" t="s">
        <v>276</v>
      </c>
      <c r="D77" s="11" t="s">
        <v>286</v>
      </c>
      <c r="E77" s="11" t="s">
        <v>112</v>
      </c>
      <c r="F77" s="11" t="s">
        <v>114</v>
      </c>
      <c r="G77" s="11" t="s">
        <v>115</v>
      </c>
      <c r="H77" s="11" t="s">
        <v>115</v>
      </c>
      <c r="I77" s="11" t="s">
        <v>114</v>
      </c>
      <c r="J77" s="11" t="s">
        <v>114</v>
      </c>
    </row>
    <row r="78" spans="1:10" x14ac:dyDescent="0.35">
      <c r="A78" s="11" t="s">
        <v>72</v>
      </c>
      <c r="B78" s="11" t="s">
        <v>287</v>
      </c>
      <c r="C78" s="11" t="s">
        <v>276</v>
      </c>
      <c r="D78" s="11" t="s">
        <v>288</v>
      </c>
      <c r="E78" s="11" t="s">
        <v>113</v>
      </c>
      <c r="F78" s="11" t="s">
        <v>114</v>
      </c>
      <c r="G78" s="11" t="s">
        <v>112</v>
      </c>
      <c r="H78" s="11" t="s">
        <v>112</v>
      </c>
      <c r="I78" s="11" t="s">
        <v>115</v>
      </c>
      <c r="J78" s="11" t="s">
        <v>115</v>
      </c>
    </row>
    <row r="79" spans="1:10" x14ac:dyDescent="0.35">
      <c r="A79" s="11" t="s">
        <v>73</v>
      </c>
      <c r="B79" s="11" t="s">
        <v>289</v>
      </c>
      <c r="C79" s="11" t="s">
        <v>276</v>
      </c>
      <c r="D79" s="11" t="s">
        <v>290</v>
      </c>
      <c r="E79" s="11" t="s">
        <v>117</v>
      </c>
      <c r="F79" s="11" t="s">
        <v>117</v>
      </c>
      <c r="G79" s="11" t="s">
        <v>115</v>
      </c>
      <c r="H79" s="11" t="s">
        <v>115</v>
      </c>
      <c r="I79" s="11" t="s">
        <v>115</v>
      </c>
      <c r="J79" s="11" t="s">
        <v>117</v>
      </c>
    </row>
    <row r="80" spans="1:10" x14ac:dyDescent="0.35">
      <c r="A80" s="11" t="s">
        <v>74</v>
      </c>
      <c r="B80" s="11" t="s">
        <v>291</v>
      </c>
      <c r="C80" s="11" t="s">
        <v>276</v>
      </c>
      <c r="D80" s="11" t="s">
        <v>292</v>
      </c>
      <c r="E80" s="11" t="s">
        <v>113</v>
      </c>
      <c r="F80" s="11" t="s">
        <v>116</v>
      </c>
      <c r="G80" s="11" t="s">
        <v>114</v>
      </c>
      <c r="H80" s="11" t="s">
        <v>116</v>
      </c>
      <c r="I80" s="11" t="s">
        <v>116</v>
      </c>
      <c r="J80" s="11" t="s">
        <v>115</v>
      </c>
    </row>
    <row r="81" spans="1:10" x14ac:dyDescent="0.35">
      <c r="A81" s="11" t="s">
        <v>75</v>
      </c>
      <c r="B81" s="11" t="s">
        <v>293</v>
      </c>
      <c r="C81" s="11" t="s">
        <v>276</v>
      </c>
      <c r="D81" s="11" t="s">
        <v>294</v>
      </c>
      <c r="E81" s="11" t="s">
        <v>112</v>
      </c>
      <c r="F81" s="11" t="s">
        <v>116</v>
      </c>
      <c r="G81" s="11" t="s">
        <v>117</v>
      </c>
      <c r="H81" s="11" t="s">
        <v>115</v>
      </c>
      <c r="I81" s="11" t="s">
        <v>114</v>
      </c>
      <c r="J81" s="11" t="s">
        <v>117</v>
      </c>
    </row>
    <row r="82" spans="1:10" x14ac:dyDescent="0.35">
      <c r="A82" s="11" t="s">
        <v>76</v>
      </c>
      <c r="B82" s="11" t="s">
        <v>295</v>
      </c>
      <c r="C82" s="11" t="s">
        <v>276</v>
      </c>
      <c r="D82" s="11" t="s">
        <v>296</v>
      </c>
      <c r="E82" s="11" t="s">
        <v>117</v>
      </c>
      <c r="F82" s="11" t="s">
        <v>117</v>
      </c>
      <c r="G82" s="11" t="s">
        <v>117</v>
      </c>
      <c r="H82" s="11" t="s">
        <v>115</v>
      </c>
      <c r="I82" s="11" t="s">
        <v>115</v>
      </c>
      <c r="J82" s="11" t="s">
        <v>115</v>
      </c>
    </row>
    <row r="83" spans="1:10" x14ac:dyDescent="0.35">
      <c r="A83" s="11" t="s">
        <v>77</v>
      </c>
      <c r="B83" s="11" t="s">
        <v>297</v>
      </c>
      <c r="C83" s="11" t="s">
        <v>276</v>
      </c>
      <c r="D83" s="11" t="s">
        <v>298</v>
      </c>
      <c r="E83" s="11" t="s">
        <v>117</v>
      </c>
      <c r="F83" s="11" t="s">
        <v>117</v>
      </c>
      <c r="G83" s="11" t="s">
        <v>115</v>
      </c>
      <c r="H83" s="11" t="s">
        <v>115</v>
      </c>
      <c r="I83" s="11" t="s">
        <v>117</v>
      </c>
      <c r="J83" s="11" t="s">
        <v>115</v>
      </c>
    </row>
    <row r="84" spans="1:10" x14ac:dyDescent="0.35">
      <c r="A84" s="11" t="s">
        <v>78</v>
      </c>
      <c r="B84" s="11" t="s">
        <v>299</v>
      </c>
      <c r="C84" s="11" t="s">
        <v>276</v>
      </c>
      <c r="D84" s="11" t="s">
        <v>300</v>
      </c>
      <c r="E84" s="11" t="s">
        <v>114</v>
      </c>
      <c r="F84" s="11" t="s">
        <v>117</v>
      </c>
      <c r="G84" s="11" t="s">
        <v>115</v>
      </c>
      <c r="H84" s="11" t="s">
        <v>114</v>
      </c>
      <c r="I84" s="11" t="s">
        <v>115</v>
      </c>
      <c r="J84" s="11" t="s">
        <v>115</v>
      </c>
    </row>
    <row r="85" spans="1:10" x14ac:dyDescent="0.35">
      <c r="A85" s="11" t="s">
        <v>79</v>
      </c>
      <c r="B85" s="11" t="s">
        <v>301</v>
      </c>
      <c r="C85" s="11" t="s">
        <v>276</v>
      </c>
      <c r="D85" s="11" t="s">
        <v>302</v>
      </c>
      <c r="E85" s="11" t="s">
        <v>114</v>
      </c>
      <c r="F85" s="11" t="s">
        <v>114</v>
      </c>
      <c r="G85" s="11" t="s">
        <v>115</v>
      </c>
      <c r="H85" s="11" t="s">
        <v>117</v>
      </c>
      <c r="I85" s="11" t="s">
        <v>115</v>
      </c>
      <c r="J85" s="11" t="s">
        <v>117</v>
      </c>
    </row>
    <row r="86" spans="1:10" x14ac:dyDescent="0.35">
      <c r="A86" s="11" t="s">
        <v>80</v>
      </c>
      <c r="B86" s="11" t="s">
        <v>303</v>
      </c>
      <c r="C86" s="11" t="s">
        <v>276</v>
      </c>
      <c r="D86" s="11" t="s">
        <v>304</v>
      </c>
      <c r="E86" s="11" t="s">
        <v>113</v>
      </c>
      <c r="F86" s="11" t="s">
        <v>112</v>
      </c>
      <c r="G86" s="11" t="s">
        <v>114</v>
      </c>
      <c r="H86" s="11" t="s">
        <v>114</v>
      </c>
      <c r="I86" s="11" t="s">
        <v>114</v>
      </c>
      <c r="J86" s="11" t="s">
        <v>114</v>
      </c>
    </row>
    <row r="87" spans="1:10" x14ac:dyDescent="0.35">
      <c r="A87" s="11" t="s">
        <v>81</v>
      </c>
      <c r="B87" s="11" t="s">
        <v>305</v>
      </c>
      <c r="C87" s="11" t="s">
        <v>276</v>
      </c>
      <c r="D87" s="11" t="s">
        <v>306</v>
      </c>
      <c r="E87" s="11" t="s">
        <v>114</v>
      </c>
      <c r="F87" s="11" t="s">
        <v>117</v>
      </c>
      <c r="G87" s="11" t="s">
        <v>115</v>
      </c>
      <c r="H87" s="11" t="s">
        <v>115</v>
      </c>
      <c r="I87" s="11" t="s">
        <v>114</v>
      </c>
      <c r="J87" s="11" t="s">
        <v>115</v>
      </c>
    </row>
    <row r="88" spans="1:10" x14ac:dyDescent="0.35">
      <c r="A88" s="11" t="s">
        <v>82</v>
      </c>
      <c r="B88" s="11" t="s">
        <v>307</v>
      </c>
      <c r="C88" s="11" t="s">
        <v>276</v>
      </c>
      <c r="D88" s="11" t="s">
        <v>308</v>
      </c>
      <c r="E88" s="11" t="s">
        <v>111</v>
      </c>
      <c r="F88" s="11" t="s">
        <v>112</v>
      </c>
      <c r="G88" s="11" t="s">
        <v>112</v>
      </c>
      <c r="H88" s="11" t="s">
        <v>112</v>
      </c>
      <c r="I88" s="11" t="s">
        <v>112</v>
      </c>
      <c r="J88" s="11" t="s">
        <v>112</v>
      </c>
    </row>
    <row r="89" spans="1:10" x14ac:dyDescent="0.35">
      <c r="A89" s="11" t="s">
        <v>89</v>
      </c>
      <c r="B89" s="11" t="s">
        <v>208</v>
      </c>
      <c r="C89" s="11" t="s">
        <v>276</v>
      </c>
      <c r="D89" s="11" t="s">
        <v>209</v>
      </c>
      <c r="E89" s="11" t="s">
        <v>130</v>
      </c>
      <c r="F89" s="11" t="s">
        <v>130</v>
      </c>
      <c r="G89" s="11" t="s">
        <v>130</v>
      </c>
      <c r="H89" s="11" t="s">
        <v>130</v>
      </c>
      <c r="I89" s="11" t="s">
        <v>130</v>
      </c>
      <c r="J89" s="11" t="s">
        <v>130</v>
      </c>
    </row>
    <row r="90" spans="1:10" x14ac:dyDescent="0.35">
      <c r="A90" s="11" t="s">
        <v>83</v>
      </c>
      <c r="B90" s="11" t="s">
        <v>309</v>
      </c>
      <c r="C90" s="11" t="s">
        <v>276</v>
      </c>
      <c r="D90" s="11" t="s">
        <v>310</v>
      </c>
      <c r="E90" s="11" t="s">
        <v>111</v>
      </c>
      <c r="F90" s="11" t="s">
        <v>114</v>
      </c>
      <c r="G90" s="11" t="s">
        <v>115</v>
      </c>
      <c r="H90" s="11" t="s">
        <v>115</v>
      </c>
      <c r="I90" s="11" t="s">
        <v>113</v>
      </c>
      <c r="J90" s="11" t="s">
        <v>113</v>
      </c>
    </row>
    <row r="91" spans="1:10" x14ac:dyDescent="0.35">
      <c r="A91" s="11" t="s">
        <v>84</v>
      </c>
      <c r="B91" s="11" t="s">
        <v>311</v>
      </c>
      <c r="C91" s="11" t="s">
        <v>276</v>
      </c>
      <c r="D91" s="11" t="s">
        <v>312</v>
      </c>
      <c r="E91" s="11" t="s">
        <v>114</v>
      </c>
      <c r="F91" s="11" t="s">
        <v>114</v>
      </c>
      <c r="G91" s="11" t="s">
        <v>115</v>
      </c>
      <c r="H91" s="11" t="s">
        <v>115</v>
      </c>
      <c r="I91" s="11" t="s">
        <v>117</v>
      </c>
      <c r="J91" s="11" t="s">
        <v>117</v>
      </c>
    </row>
    <row r="92" spans="1:10" x14ac:dyDescent="0.35">
      <c r="A92" s="11" t="s">
        <v>85</v>
      </c>
      <c r="B92" s="11" t="s">
        <v>313</v>
      </c>
      <c r="C92" s="11" t="s">
        <v>276</v>
      </c>
      <c r="D92" s="11" t="s">
        <v>314</v>
      </c>
      <c r="E92" s="11" t="s">
        <v>112</v>
      </c>
      <c r="F92" s="11" t="s">
        <v>117</v>
      </c>
      <c r="G92" s="11" t="s">
        <v>115</v>
      </c>
      <c r="H92" s="11" t="s">
        <v>115</v>
      </c>
      <c r="I92" s="11" t="s">
        <v>112</v>
      </c>
      <c r="J92" s="11" t="s">
        <v>115</v>
      </c>
    </row>
    <row r="93" spans="1:10" x14ac:dyDescent="0.35">
      <c r="A93" s="11" t="s">
        <v>93</v>
      </c>
      <c r="B93" s="11" t="s">
        <v>258</v>
      </c>
      <c r="C93" s="11" t="s">
        <v>276</v>
      </c>
      <c r="D93" s="11" t="s">
        <v>259</v>
      </c>
      <c r="E93" s="11" t="s">
        <v>130</v>
      </c>
      <c r="F93" s="11" t="s">
        <v>130</v>
      </c>
      <c r="G93" s="11" t="s">
        <v>130</v>
      </c>
      <c r="H93" s="11" t="s">
        <v>130</v>
      </c>
      <c r="I93" s="11" t="s">
        <v>130</v>
      </c>
      <c r="J93" s="11" t="s">
        <v>130</v>
      </c>
    </row>
    <row r="94" spans="1:10" x14ac:dyDescent="0.35">
      <c r="A94" s="11" t="s">
        <v>90</v>
      </c>
      <c r="B94" s="11" t="s">
        <v>315</v>
      </c>
      <c r="C94" s="11" t="s">
        <v>316</v>
      </c>
      <c r="D94" s="11" t="s">
        <v>130</v>
      </c>
      <c r="E94" s="11" t="s">
        <v>130</v>
      </c>
      <c r="F94" s="11" t="s">
        <v>130</v>
      </c>
      <c r="G94" s="11" t="s">
        <v>130</v>
      </c>
      <c r="H94" s="11" t="s">
        <v>130</v>
      </c>
      <c r="I94" s="11" t="s">
        <v>130</v>
      </c>
      <c r="J94" s="11" t="s">
        <v>130</v>
      </c>
    </row>
    <row r="95" spans="1:10" x14ac:dyDescent="0.35">
      <c r="A95" s="11" t="s">
        <v>91</v>
      </c>
      <c r="B95" s="11" t="s">
        <v>317</v>
      </c>
      <c r="C95" s="11" t="s">
        <v>316</v>
      </c>
      <c r="D95" s="11" t="s">
        <v>130</v>
      </c>
      <c r="E95" s="11" t="s">
        <v>130</v>
      </c>
      <c r="F95" s="11" t="s">
        <v>130</v>
      </c>
      <c r="G95" s="11" t="s">
        <v>130</v>
      </c>
      <c r="H95" s="11" t="s">
        <v>130</v>
      </c>
      <c r="I95" s="11" t="s">
        <v>130</v>
      </c>
      <c r="J95" s="11" t="s">
        <v>130</v>
      </c>
    </row>
    <row r="96" spans="1:10" x14ac:dyDescent="0.35">
      <c r="A96" s="11" t="s">
        <v>86</v>
      </c>
      <c r="B96" s="11" t="s">
        <v>127</v>
      </c>
      <c r="C96" s="11" t="s">
        <v>148</v>
      </c>
      <c r="D96" s="11" t="s">
        <v>130</v>
      </c>
      <c r="E96" s="11" t="s">
        <v>130</v>
      </c>
      <c r="F96" s="11" t="s">
        <v>130</v>
      </c>
      <c r="G96" s="11" t="s">
        <v>130</v>
      </c>
      <c r="H96" s="11" t="s">
        <v>130</v>
      </c>
      <c r="I96" s="11" t="s">
        <v>130</v>
      </c>
      <c r="J96" s="11" t="s">
        <v>130</v>
      </c>
    </row>
    <row r="97" spans="1:10" x14ac:dyDescent="0.35">
      <c r="A97" s="11" t="s">
        <v>87</v>
      </c>
      <c r="B97" s="11" t="s">
        <v>133</v>
      </c>
      <c r="C97" s="11" t="s">
        <v>234</v>
      </c>
      <c r="D97" s="11" t="s">
        <v>130</v>
      </c>
      <c r="E97" s="11" t="s">
        <v>130</v>
      </c>
      <c r="F97" s="11" t="s">
        <v>130</v>
      </c>
      <c r="G97" s="11" t="s">
        <v>130</v>
      </c>
      <c r="H97" s="11" t="s">
        <v>130</v>
      </c>
      <c r="I97" s="11" t="s">
        <v>130</v>
      </c>
      <c r="J97" s="11" t="s">
        <v>130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4C656-01AC-42E8-802A-E51F58431AF7}">
  <dimension ref="A1:B2"/>
  <sheetViews>
    <sheetView workbookViewId="0">
      <selection activeCell="R30" sqref="R30"/>
    </sheetView>
  </sheetViews>
  <sheetFormatPr baseColWidth="10" defaultRowHeight="14.5" x14ac:dyDescent="0.35"/>
  <cols>
    <col min="1" max="1" width="12.26953125" bestFit="1" customWidth="1"/>
    <col min="2" max="2" width="23.1796875" bestFit="1" customWidth="1"/>
  </cols>
  <sheetData>
    <row r="1" spans="1:2" x14ac:dyDescent="0.35">
      <c r="A1" t="s">
        <v>140</v>
      </c>
      <c r="B1" t="s">
        <v>141</v>
      </c>
    </row>
    <row r="2" spans="1:2" x14ac:dyDescent="0.35">
      <c r="A2" t="s">
        <v>139</v>
      </c>
      <c r="B2" t="s">
        <v>142</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Data</vt:lpstr>
      <vt:lpstr>Block Code</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2023-07-10T10:13:17Z</dcterms:created>
  <dcterms:modified xsi:type="dcterms:W3CDTF">2023-10-19T13:40:57Z</dcterms:modified>
</cp:coreProperties>
</file>